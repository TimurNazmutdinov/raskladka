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bookViews>
    <workbookView xWindow="0" yWindow="0" windowWidth="20490" windowHeight="7650" activeTab="7"/>
  </bookViews>
  <sheets>
    <sheet name="Инструкция" sheetId="1" r:id="rId1"/>
    <sheet name="Ввод" sheetId="2" r:id="rId2"/>
    <sheet name="Продукты" sheetId="3" r:id="rId3"/>
    <sheet name="Рецепты" sheetId="4" r:id="rId4"/>
    <sheet name="Меню" sheetId="5" r:id="rId5"/>
    <sheet name="Калькуляция" sheetId="6" r:id="rId6"/>
    <sheet name="Раскладка" sheetId="7" r:id="rId7"/>
    <sheet name="Сводка" sheetId="8" r:id="rId8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8" l="1"/>
  <c r="M66" i="7"/>
  <c r="L66" i="7"/>
  <c r="J66" i="7"/>
  <c r="H66" i="7"/>
  <c r="G66" i="7"/>
  <c r="C66" i="7"/>
  <c r="B66" i="7"/>
  <c r="A66" i="7"/>
  <c r="M65" i="7"/>
  <c r="L65" i="7"/>
  <c r="J65" i="7"/>
  <c r="H65" i="7"/>
  <c r="G65" i="7"/>
  <c r="C65" i="7"/>
  <c r="B65" i="7"/>
  <c r="A65" i="7"/>
  <c r="M64" i="7"/>
  <c r="L64" i="7"/>
  <c r="J64" i="7"/>
  <c r="H64" i="7"/>
  <c r="G64" i="7"/>
  <c r="C64" i="7"/>
  <c r="B64" i="7"/>
  <c r="A64" i="7"/>
  <c r="M63" i="7"/>
  <c r="L63" i="7"/>
  <c r="J63" i="7"/>
  <c r="H63" i="7"/>
  <c r="G63" i="7"/>
  <c r="C63" i="7"/>
  <c r="B63" i="7"/>
  <c r="A63" i="7"/>
  <c r="M62" i="7"/>
  <c r="L62" i="7"/>
  <c r="J62" i="7"/>
  <c r="H62" i="7"/>
  <c r="G62" i="7"/>
  <c r="C62" i="7"/>
  <c r="B62" i="7"/>
  <c r="A62" i="7"/>
  <c r="M61" i="7"/>
  <c r="L61" i="7"/>
  <c r="J61" i="7"/>
  <c r="H61" i="7"/>
  <c r="G61" i="7"/>
  <c r="C61" i="7"/>
  <c r="B61" i="7"/>
  <c r="A61" i="7"/>
  <c r="M60" i="7"/>
  <c r="L60" i="7"/>
  <c r="J60" i="7"/>
  <c r="H60" i="7"/>
  <c r="G60" i="7"/>
  <c r="C60" i="7"/>
  <c r="B60" i="7"/>
  <c r="A60" i="7"/>
  <c r="M59" i="7"/>
  <c r="L59" i="7"/>
  <c r="J59" i="7"/>
  <c r="H59" i="7"/>
  <c r="G59" i="7"/>
  <c r="C59" i="7"/>
  <c r="B59" i="7"/>
  <c r="A59" i="7"/>
  <c r="M58" i="7"/>
  <c r="L58" i="7"/>
  <c r="J58" i="7"/>
  <c r="H58" i="7"/>
  <c r="G58" i="7"/>
  <c r="C58" i="7"/>
  <c r="B58" i="7"/>
  <c r="A58" i="7"/>
  <c r="M57" i="7"/>
  <c r="L57" i="7"/>
  <c r="J57" i="7"/>
  <c r="H57" i="7"/>
  <c r="G57" i="7"/>
  <c r="C57" i="7"/>
  <c r="B57" i="7"/>
  <c r="A57" i="7"/>
  <c r="M56" i="7"/>
  <c r="L56" i="7"/>
  <c r="J56" i="7"/>
  <c r="H56" i="7"/>
  <c r="G56" i="7"/>
  <c r="C56" i="7"/>
  <c r="B56" i="7"/>
  <c r="A56" i="7"/>
  <c r="M55" i="7"/>
  <c r="L55" i="7"/>
  <c r="J55" i="7"/>
  <c r="H55" i="7"/>
  <c r="G55" i="7"/>
  <c r="C55" i="7"/>
  <c r="B55" i="7"/>
  <c r="A55" i="7"/>
  <c r="M54" i="7"/>
  <c r="L54" i="7"/>
  <c r="J54" i="7"/>
  <c r="H54" i="7"/>
  <c r="G54" i="7"/>
  <c r="C54" i="7"/>
  <c r="B54" i="7"/>
  <c r="A54" i="7"/>
  <c r="M53" i="7"/>
  <c r="L53" i="7"/>
  <c r="J53" i="7"/>
  <c r="H53" i="7"/>
  <c r="G53" i="7"/>
  <c r="C53" i="7"/>
  <c r="B53" i="7"/>
  <c r="A53" i="7"/>
  <c r="M52" i="7"/>
  <c r="L52" i="7"/>
  <c r="J52" i="7"/>
  <c r="H52" i="7"/>
  <c r="G52" i="7"/>
  <c r="C52" i="7"/>
  <c r="B52" i="7"/>
  <c r="A52" i="7"/>
  <c r="M51" i="7"/>
  <c r="L51" i="7"/>
  <c r="J51" i="7"/>
  <c r="H51" i="7"/>
  <c r="G51" i="7"/>
  <c r="C51" i="7"/>
  <c r="B51" i="7"/>
  <c r="A51" i="7"/>
  <c r="M50" i="7"/>
  <c r="L50" i="7"/>
  <c r="J50" i="7"/>
  <c r="H50" i="7"/>
  <c r="G50" i="7"/>
  <c r="C50" i="7"/>
  <c r="B50" i="7"/>
  <c r="A50" i="7"/>
  <c r="M49" i="7"/>
  <c r="L49" i="7"/>
  <c r="J49" i="7"/>
  <c r="H49" i="7"/>
  <c r="G49" i="7"/>
  <c r="C49" i="7"/>
  <c r="B49" i="7"/>
  <c r="A49" i="7"/>
  <c r="M48" i="7"/>
  <c r="L48" i="7"/>
  <c r="J48" i="7"/>
  <c r="H48" i="7"/>
  <c r="G48" i="7"/>
  <c r="C48" i="7"/>
  <c r="B48" i="7"/>
  <c r="A48" i="7"/>
  <c r="M47" i="7"/>
  <c r="L47" i="7"/>
  <c r="J47" i="7"/>
  <c r="H47" i="7"/>
  <c r="G47" i="7"/>
  <c r="C47" i="7"/>
  <c r="B47" i="7"/>
  <c r="A47" i="7"/>
  <c r="M46" i="7"/>
  <c r="L46" i="7"/>
  <c r="J46" i="7"/>
  <c r="H46" i="7"/>
  <c r="G46" i="7"/>
  <c r="C46" i="7"/>
  <c r="B46" i="7"/>
  <c r="A46" i="7"/>
  <c r="M45" i="7"/>
  <c r="L45" i="7"/>
  <c r="J45" i="7"/>
  <c r="H45" i="7"/>
  <c r="G45" i="7"/>
  <c r="C45" i="7"/>
  <c r="B45" i="7"/>
  <c r="A45" i="7"/>
  <c r="M44" i="7"/>
  <c r="L44" i="7"/>
  <c r="J44" i="7"/>
  <c r="H44" i="7"/>
  <c r="G44" i="7"/>
  <c r="C44" i="7"/>
  <c r="B44" i="7"/>
  <c r="A44" i="7"/>
  <c r="M43" i="7"/>
  <c r="L43" i="7"/>
  <c r="J43" i="7"/>
  <c r="H43" i="7"/>
  <c r="G43" i="7"/>
  <c r="C43" i="7"/>
  <c r="B43" i="7"/>
  <c r="A43" i="7"/>
  <c r="M42" i="7"/>
  <c r="L42" i="7"/>
  <c r="J42" i="7"/>
  <c r="H42" i="7"/>
  <c r="G42" i="7"/>
  <c r="C42" i="7"/>
  <c r="B42" i="7"/>
  <c r="A42" i="7"/>
  <c r="M41" i="7"/>
  <c r="L41" i="7"/>
  <c r="J41" i="7"/>
  <c r="H41" i="7"/>
  <c r="G41" i="7"/>
  <c r="C41" i="7"/>
  <c r="B41" i="7"/>
  <c r="A41" i="7"/>
  <c r="M40" i="7"/>
  <c r="L40" i="7"/>
  <c r="J40" i="7"/>
  <c r="H40" i="7"/>
  <c r="G40" i="7"/>
  <c r="C40" i="7"/>
  <c r="B40" i="7"/>
  <c r="A40" i="7"/>
  <c r="M39" i="7"/>
  <c r="L39" i="7"/>
  <c r="J39" i="7"/>
  <c r="H39" i="7"/>
  <c r="G39" i="7"/>
  <c r="C39" i="7"/>
  <c r="B39" i="7"/>
  <c r="A39" i="7"/>
  <c r="M38" i="7"/>
  <c r="L38" i="7"/>
  <c r="J38" i="7"/>
  <c r="H38" i="7"/>
  <c r="G38" i="7"/>
  <c r="C38" i="7"/>
  <c r="B38" i="7"/>
  <c r="A38" i="7"/>
  <c r="M37" i="7"/>
  <c r="L37" i="7"/>
  <c r="J37" i="7"/>
  <c r="H37" i="7"/>
  <c r="G37" i="7"/>
  <c r="C37" i="7"/>
  <c r="B37" i="7"/>
  <c r="A37" i="7"/>
  <c r="M36" i="7"/>
  <c r="L36" i="7"/>
  <c r="J36" i="7"/>
  <c r="H36" i="7"/>
  <c r="G36" i="7"/>
  <c r="C36" i="7"/>
  <c r="B36" i="7"/>
  <c r="A36" i="7"/>
  <c r="M35" i="7"/>
  <c r="L35" i="7"/>
  <c r="J35" i="7"/>
  <c r="H35" i="7"/>
  <c r="G35" i="7"/>
  <c r="C35" i="7"/>
  <c r="B35" i="7"/>
  <c r="A35" i="7"/>
  <c r="M34" i="7"/>
  <c r="L34" i="7"/>
  <c r="J34" i="7"/>
  <c r="H34" i="7"/>
  <c r="G34" i="7"/>
  <c r="C34" i="7"/>
  <c r="B34" i="7"/>
  <c r="A34" i="7"/>
  <c r="M33" i="7"/>
  <c r="L33" i="7"/>
  <c r="J33" i="7"/>
  <c r="H33" i="7"/>
  <c r="G33" i="7"/>
  <c r="C33" i="7"/>
  <c r="B33" i="7"/>
  <c r="A33" i="7"/>
  <c r="M32" i="7"/>
  <c r="L32" i="7"/>
  <c r="J32" i="7"/>
  <c r="H32" i="7"/>
  <c r="G32" i="7"/>
  <c r="C32" i="7"/>
  <c r="B32" i="7"/>
  <c r="A32" i="7"/>
  <c r="M31" i="7"/>
  <c r="L31" i="7"/>
  <c r="J31" i="7"/>
  <c r="H31" i="7"/>
  <c r="G31" i="7"/>
  <c r="F31" i="7"/>
  <c r="C31" i="7"/>
  <c r="B31" i="7"/>
  <c r="A31" i="7"/>
  <c r="M30" i="7"/>
  <c r="L30" i="7"/>
  <c r="J30" i="7"/>
  <c r="H30" i="7"/>
  <c r="G30" i="7"/>
  <c r="C30" i="7"/>
  <c r="B30" i="7"/>
  <c r="A30" i="7"/>
  <c r="M29" i="7"/>
  <c r="L29" i="7"/>
  <c r="J29" i="7"/>
  <c r="H29" i="7"/>
  <c r="G29" i="7"/>
  <c r="C29" i="7"/>
  <c r="B29" i="7"/>
  <c r="A29" i="7"/>
  <c r="M28" i="7"/>
  <c r="L28" i="7"/>
  <c r="J28" i="7"/>
  <c r="H28" i="7"/>
  <c r="G28" i="7"/>
  <c r="C28" i="7"/>
  <c r="B28" i="7"/>
  <c r="A28" i="7"/>
  <c r="M27" i="7"/>
  <c r="L27" i="7"/>
  <c r="J27" i="7"/>
  <c r="H27" i="7"/>
  <c r="G27" i="7"/>
  <c r="C27" i="7"/>
  <c r="B27" i="7"/>
  <c r="A27" i="7"/>
  <c r="M26" i="7"/>
  <c r="L26" i="7"/>
  <c r="J26" i="7"/>
  <c r="H26" i="7"/>
  <c r="G26" i="7"/>
  <c r="C26" i="7"/>
  <c r="B26" i="7"/>
  <c r="A26" i="7"/>
  <c r="M25" i="7"/>
  <c r="L25" i="7"/>
  <c r="J25" i="7"/>
  <c r="H25" i="7"/>
  <c r="G25" i="7"/>
  <c r="C25" i="7"/>
  <c r="B25" i="7"/>
  <c r="A25" i="7"/>
  <c r="M24" i="7"/>
  <c r="L24" i="7"/>
  <c r="J24" i="7"/>
  <c r="H24" i="7"/>
  <c r="G24" i="7"/>
  <c r="C24" i="7"/>
  <c r="B24" i="7"/>
  <c r="A24" i="7"/>
  <c r="M23" i="7"/>
  <c r="L23" i="7"/>
  <c r="J23" i="7"/>
  <c r="H23" i="7"/>
  <c r="G23" i="7"/>
  <c r="C23" i="7"/>
  <c r="B23" i="7"/>
  <c r="A23" i="7"/>
  <c r="M22" i="7"/>
  <c r="L22" i="7"/>
  <c r="J22" i="7"/>
  <c r="H22" i="7"/>
  <c r="G22" i="7"/>
  <c r="C22" i="7"/>
  <c r="B22" i="7"/>
  <c r="A22" i="7"/>
  <c r="M21" i="7"/>
  <c r="L21" i="7"/>
  <c r="J21" i="7"/>
  <c r="H21" i="7"/>
  <c r="G21" i="7"/>
  <c r="C21" i="7"/>
  <c r="B21" i="7"/>
  <c r="A21" i="7"/>
  <c r="M20" i="7"/>
  <c r="L20" i="7"/>
  <c r="J20" i="7"/>
  <c r="H20" i="7"/>
  <c r="G20" i="7"/>
  <c r="C20" i="7"/>
  <c r="B20" i="7"/>
  <c r="A20" i="7"/>
  <c r="M19" i="7"/>
  <c r="L19" i="7"/>
  <c r="J19" i="7"/>
  <c r="H19" i="7"/>
  <c r="G19" i="7"/>
  <c r="C19" i="7"/>
  <c r="B19" i="7"/>
  <c r="A19" i="7"/>
  <c r="M18" i="7"/>
  <c r="L18" i="7"/>
  <c r="J18" i="7"/>
  <c r="H18" i="7"/>
  <c r="G18" i="7"/>
  <c r="C18" i="7"/>
  <c r="B18" i="7"/>
  <c r="A18" i="7"/>
  <c r="M17" i="7"/>
  <c r="L17" i="7"/>
  <c r="J17" i="7"/>
  <c r="H17" i="7"/>
  <c r="G17" i="7"/>
  <c r="C17" i="7"/>
  <c r="B17" i="7"/>
  <c r="A17" i="7"/>
  <c r="M16" i="7"/>
  <c r="L16" i="7"/>
  <c r="J16" i="7"/>
  <c r="H16" i="7"/>
  <c r="G16" i="7"/>
  <c r="C16" i="7"/>
  <c r="B16" i="7"/>
  <c r="A16" i="7"/>
  <c r="M15" i="7"/>
  <c r="L15" i="7"/>
  <c r="J15" i="7"/>
  <c r="H15" i="7"/>
  <c r="G15" i="7"/>
  <c r="C15" i="7"/>
  <c r="B15" i="7"/>
  <c r="A15" i="7"/>
  <c r="M14" i="7"/>
  <c r="L14" i="7"/>
  <c r="J14" i="7"/>
  <c r="H14" i="7"/>
  <c r="G14" i="7"/>
  <c r="C14" i="7"/>
  <c r="B14" i="7"/>
  <c r="A14" i="7"/>
  <c r="M13" i="7"/>
  <c r="L13" i="7"/>
  <c r="J13" i="7"/>
  <c r="H13" i="7"/>
  <c r="G13" i="7"/>
  <c r="C13" i="7"/>
  <c r="B13" i="7"/>
  <c r="A13" i="7"/>
  <c r="M12" i="7"/>
  <c r="L12" i="7"/>
  <c r="J12" i="7"/>
  <c r="H12" i="7"/>
  <c r="G12" i="7"/>
  <c r="C12" i="7"/>
  <c r="B12" i="7"/>
  <c r="A12" i="7"/>
  <c r="M11" i="7"/>
  <c r="L11" i="7"/>
  <c r="J11" i="7"/>
  <c r="H11" i="7"/>
  <c r="G11" i="7"/>
  <c r="C11" i="7"/>
  <c r="B11" i="7"/>
  <c r="A11" i="7"/>
  <c r="M10" i="7"/>
  <c r="L10" i="7"/>
  <c r="J10" i="7"/>
  <c r="H10" i="7"/>
  <c r="G10" i="7"/>
  <c r="C10" i="7"/>
  <c r="B10" i="7"/>
  <c r="A10" i="7"/>
  <c r="M9" i="7"/>
  <c r="L9" i="7"/>
  <c r="J9" i="7"/>
  <c r="H9" i="7"/>
  <c r="G9" i="7"/>
  <c r="C9" i="7"/>
  <c r="B9" i="7"/>
  <c r="A9" i="7"/>
  <c r="M8" i="7"/>
  <c r="L8" i="7"/>
  <c r="J8" i="7"/>
  <c r="H8" i="7"/>
  <c r="G8" i="7"/>
  <c r="C8" i="7"/>
  <c r="B8" i="7"/>
  <c r="A8" i="7"/>
  <c r="M7" i="7"/>
  <c r="L7" i="7"/>
  <c r="J7" i="7"/>
  <c r="H7" i="7"/>
  <c r="G7" i="7"/>
  <c r="C7" i="7"/>
  <c r="B7" i="7"/>
  <c r="A7" i="7"/>
  <c r="M6" i="7"/>
  <c r="L6" i="7"/>
  <c r="J6" i="7"/>
  <c r="H6" i="7"/>
  <c r="G6" i="7"/>
  <c r="C6" i="7"/>
  <c r="B6" i="7"/>
  <c r="A6" i="7"/>
  <c r="J725" i="6"/>
  <c r="J724" i="6"/>
  <c r="J723" i="6"/>
  <c r="J722" i="6"/>
  <c r="J721" i="6"/>
  <c r="J720" i="6"/>
  <c r="J719" i="6"/>
  <c r="J718" i="6"/>
  <c r="J717" i="6"/>
  <c r="J716" i="6"/>
  <c r="J715" i="6"/>
  <c r="J714" i="6"/>
  <c r="J713" i="6"/>
  <c r="J712" i="6"/>
  <c r="J711" i="6"/>
  <c r="J710" i="6"/>
  <c r="J709" i="6"/>
  <c r="J708" i="6"/>
  <c r="J707" i="6"/>
  <c r="J706" i="6"/>
  <c r="J705" i="6"/>
  <c r="J704" i="6"/>
  <c r="J703" i="6"/>
  <c r="J702" i="6"/>
  <c r="J701" i="6"/>
  <c r="J700" i="6"/>
  <c r="J699" i="6"/>
  <c r="J698" i="6"/>
  <c r="J697" i="6"/>
  <c r="J696" i="6"/>
  <c r="J695" i="6"/>
  <c r="J694" i="6"/>
  <c r="J693" i="6"/>
  <c r="J692" i="6"/>
  <c r="J691" i="6"/>
  <c r="J690" i="6"/>
  <c r="J689" i="6"/>
  <c r="J688" i="6"/>
  <c r="J687" i="6"/>
  <c r="J686" i="6"/>
  <c r="J685" i="6"/>
  <c r="J684" i="6"/>
  <c r="J683" i="6"/>
  <c r="J682" i="6"/>
  <c r="J681" i="6"/>
  <c r="J680" i="6"/>
  <c r="J679" i="6"/>
  <c r="J678" i="6"/>
  <c r="J677" i="6"/>
  <c r="J676" i="6"/>
  <c r="J675" i="6"/>
  <c r="J674" i="6"/>
  <c r="J673" i="6"/>
  <c r="J672" i="6"/>
  <c r="J671" i="6"/>
  <c r="J670" i="6"/>
  <c r="J669" i="6"/>
  <c r="J668" i="6"/>
  <c r="J667" i="6"/>
  <c r="J666" i="6"/>
  <c r="J665" i="6"/>
  <c r="J664" i="6"/>
  <c r="J663" i="6"/>
  <c r="J662" i="6"/>
  <c r="J661" i="6"/>
  <c r="J660" i="6"/>
  <c r="J659" i="6"/>
  <c r="J658" i="6"/>
  <c r="J657" i="6"/>
  <c r="J656" i="6"/>
  <c r="J655" i="6"/>
  <c r="J654" i="6"/>
  <c r="J653" i="6"/>
  <c r="J652" i="6"/>
  <c r="J651" i="6"/>
  <c r="J650" i="6"/>
  <c r="J649" i="6"/>
  <c r="J648" i="6"/>
  <c r="J647" i="6"/>
  <c r="J646" i="6"/>
  <c r="J645" i="6"/>
  <c r="J644" i="6"/>
  <c r="J643" i="6"/>
  <c r="J642" i="6"/>
  <c r="J641" i="6"/>
  <c r="J640" i="6"/>
  <c r="J639" i="6"/>
  <c r="J638" i="6"/>
  <c r="J637" i="6"/>
  <c r="J636" i="6"/>
  <c r="J635" i="6"/>
  <c r="J634" i="6"/>
  <c r="J633" i="6"/>
  <c r="J632" i="6"/>
  <c r="J631" i="6"/>
  <c r="E95" i="5"/>
  <c r="E94" i="5"/>
  <c r="E93" i="5"/>
  <c r="E92" i="5"/>
  <c r="E91" i="5"/>
  <c r="E90" i="5"/>
  <c r="E7" i="8"/>
  <c r="H85" i="4"/>
  <c r="E281" i="6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E207" i="6"/>
  <c r="C207" i="6" s="1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E59" i="6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P14" i="4"/>
  <c r="H14" i="4"/>
  <c r="P13" i="4"/>
  <c r="H13" i="4"/>
  <c r="P12" i="4"/>
  <c r="H12" i="4"/>
  <c r="P11" i="4"/>
  <c r="H11" i="4"/>
  <c r="P10" i="4"/>
  <c r="H10" i="4"/>
  <c r="P9" i="4"/>
  <c r="H9" i="4"/>
  <c r="P8" i="4"/>
  <c r="H8" i="4"/>
  <c r="P7" i="4"/>
  <c r="H7" i="4"/>
  <c r="P6" i="4"/>
  <c r="H6" i="4"/>
  <c r="P5" i="4"/>
  <c r="D94" i="5"/>
  <c r="E158" i="6"/>
  <c r="E219" i="6"/>
  <c r="D91" i="5"/>
  <c r="D93" i="5"/>
  <c r="E232" i="6"/>
  <c r="E111" i="6"/>
  <c r="D92" i="5"/>
  <c r="D90" i="5"/>
  <c r="E63" i="6"/>
  <c r="D95" i="5"/>
  <c r="E282" i="6"/>
  <c r="E531" i="6"/>
  <c r="H531" i="6"/>
  <c r="O531" i="6"/>
  <c r="E532" i="6"/>
  <c r="H532" i="6"/>
  <c r="O532" i="6"/>
  <c r="E533" i="6"/>
  <c r="H533" i="6"/>
  <c r="O533" i="6"/>
  <c r="E534" i="6"/>
  <c r="B534" i="6" s="1"/>
  <c r="H534" i="6"/>
  <c r="O534" i="6"/>
  <c r="E535" i="6"/>
  <c r="H535" i="6"/>
  <c r="O535" i="6"/>
  <c r="E536" i="6"/>
  <c r="H536" i="6"/>
  <c r="O536" i="6"/>
  <c r="E537" i="6"/>
  <c r="H537" i="6"/>
  <c r="O537" i="6"/>
  <c r="E538" i="6"/>
  <c r="H538" i="6"/>
  <c r="O538" i="6"/>
  <c r="E539" i="6"/>
  <c r="H539" i="6"/>
  <c r="O539" i="6"/>
  <c r="E540" i="6"/>
  <c r="H540" i="6"/>
  <c r="O540" i="6"/>
  <c r="E541" i="6"/>
  <c r="H541" i="6"/>
  <c r="O541" i="6"/>
  <c r="E542" i="6"/>
  <c r="B542" i="6" s="1"/>
  <c r="H542" i="6"/>
  <c r="O542" i="6"/>
  <c r="E543" i="6"/>
  <c r="H543" i="6"/>
  <c r="O543" i="6"/>
  <c r="E544" i="6"/>
  <c r="H544" i="6"/>
  <c r="O544" i="6"/>
  <c r="E545" i="6"/>
  <c r="H545" i="6"/>
  <c r="O545" i="6"/>
  <c r="E546" i="6"/>
  <c r="A546" i="6" s="1"/>
  <c r="H546" i="6"/>
  <c r="O546" i="6"/>
  <c r="E547" i="6"/>
  <c r="H547" i="6"/>
  <c r="O547" i="6"/>
  <c r="E548" i="6"/>
  <c r="H548" i="6"/>
  <c r="O548" i="6"/>
  <c r="E549" i="6"/>
  <c r="H549" i="6"/>
  <c r="O549" i="6"/>
  <c r="E550" i="6"/>
  <c r="H550" i="6"/>
  <c r="O550" i="6"/>
  <c r="E551" i="6"/>
  <c r="H551" i="6"/>
  <c r="O551" i="6"/>
  <c r="E552" i="6"/>
  <c r="H552" i="6"/>
  <c r="O552" i="6"/>
  <c r="E553" i="6"/>
  <c r="H553" i="6"/>
  <c r="O553" i="6"/>
  <c r="E554" i="6"/>
  <c r="H554" i="6"/>
  <c r="O554" i="6"/>
  <c r="E555" i="6"/>
  <c r="H555" i="6"/>
  <c r="O555" i="6"/>
  <c r="E306" i="6"/>
  <c r="H306" i="6"/>
  <c r="O306" i="6"/>
  <c r="E307" i="6"/>
  <c r="H307" i="6"/>
  <c r="O307" i="6"/>
  <c r="E308" i="6"/>
  <c r="H308" i="6"/>
  <c r="O308" i="6"/>
  <c r="E309" i="6"/>
  <c r="H309" i="6"/>
  <c r="O309" i="6"/>
  <c r="E310" i="6"/>
  <c r="H310" i="6"/>
  <c r="O310" i="6"/>
  <c r="E311" i="6"/>
  <c r="H311" i="6"/>
  <c r="O311" i="6"/>
  <c r="E312" i="6"/>
  <c r="H312" i="6"/>
  <c r="O312" i="6"/>
  <c r="E313" i="6"/>
  <c r="H313" i="6"/>
  <c r="O313" i="6"/>
  <c r="E314" i="6"/>
  <c r="H314" i="6"/>
  <c r="O314" i="6"/>
  <c r="E315" i="6"/>
  <c r="H315" i="6"/>
  <c r="O315" i="6"/>
  <c r="E316" i="6"/>
  <c r="B316" i="6" s="1"/>
  <c r="H316" i="6"/>
  <c r="O316" i="6"/>
  <c r="E317" i="6"/>
  <c r="H317" i="6"/>
  <c r="O317" i="6"/>
  <c r="E318" i="6"/>
  <c r="H318" i="6"/>
  <c r="O318" i="6"/>
  <c r="E319" i="6"/>
  <c r="H319" i="6"/>
  <c r="O319" i="6"/>
  <c r="E320" i="6"/>
  <c r="H320" i="6"/>
  <c r="O320" i="6"/>
  <c r="E321" i="6"/>
  <c r="H321" i="6"/>
  <c r="O321" i="6"/>
  <c r="E322" i="6"/>
  <c r="H322" i="6"/>
  <c r="O322" i="6"/>
  <c r="E323" i="6"/>
  <c r="H323" i="6"/>
  <c r="O323" i="6"/>
  <c r="E324" i="6"/>
  <c r="H324" i="6"/>
  <c r="O324" i="6"/>
  <c r="E325" i="6"/>
  <c r="H325" i="6"/>
  <c r="O325" i="6"/>
  <c r="E326" i="6"/>
  <c r="H326" i="6"/>
  <c r="O326" i="6"/>
  <c r="E327" i="6"/>
  <c r="H327" i="6"/>
  <c r="O327" i="6"/>
  <c r="E328" i="6"/>
  <c r="A328" i="6" s="1"/>
  <c r="H328" i="6"/>
  <c r="O328" i="6"/>
  <c r="E329" i="6"/>
  <c r="H329" i="6"/>
  <c r="O329" i="6"/>
  <c r="E330" i="6"/>
  <c r="H330" i="6"/>
  <c r="O330" i="6"/>
  <c r="O164" i="6"/>
  <c r="O167" i="6"/>
  <c r="E169" i="6"/>
  <c r="H170" i="6"/>
  <c r="O171" i="6"/>
  <c r="E173" i="6"/>
  <c r="H174" i="6"/>
  <c r="O175" i="6"/>
  <c r="E177" i="6"/>
  <c r="H178" i="6"/>
  <c r="O179" i="6"/>
  <c r="O156" i="6"/>
  <c r="O161" i="6"/>
  <c r="O163" i="6"/>
  <c r="H156" i="6"/>
  <c r="H160" i="6"/>
  <c r="E163" i="6"/>
  <c r="D163" i="6" s="1"/>
  <c r="H166" i="6"/>
  <c r="E556" i="6"/>
  <c r="H556" i="6"/>
  <c r="O556" i="6"/>
  <c r="E557" i="6"/>
  <c r="H557" i="6"/>
  <c r="O557" i="6"/>
  <c r="E558" i="6"/>
  <c r="D558" i="6" s="1"/>
  <c r="H558" i="6"/>
  <c r="O558" i="6"/>
  <c r="E559" i="6"/>
  <c r="A559" i="6" s="1"/>
  <c r="H559" i="6"/>
  <c r="O559" i="6"/>
  <c r="E560" i="6"/>
  <c r="H560" i="6"/>
  <c r="O560" i="6"/>
  <c r="E561" i="6"/>
  <c r="H561" i="6"/>
  <c r="O561" i="6"/>
  <c r="E562" i="6"/>
  <c r="H562" i="6"/>
  <c r="O562" i="6"/>
  <c r="E563" i="6"/>
  <c r="B563" i="6" s="1"/>
  <c r="H563" i="6"/>
  <c r="O563" i="6"/>
  <c r="E564" i="6"/>
  <c r="H564" i="6"/>
  <c r="O564" i="6"/>
  <c r="E565" i="6"/>
  <c r="H565" i="6"/>
  <c r="O565" i="6"/>
  <c r="E566" i="6"/>
  <c r="H566" i="6"/>
  <c r="O566" i="6"/>
  <c r="E567" i="6"/>
  <c r="C567" i="6" s="1"/>
  <c r="H567" i="6"/>
  <c r="O567" i="6"/>
  <c r="E568" i="6"/>
  <c r="B568" i="6" s="1"/>
  <c r="H568" i="6"/>
  <c r="O568" i="6"/>
  <c r="E569" i="6"/>
  <c r="H569" i="6"/>
  <c r="O569" i="6"/>
  <c r="E570" i="6"/>
  <c r="B570" i="6" s="1"/>
  <c r="H570" i="6"/>
  <c r="O570" i="6"/>
  <c r="E571" i="6"/>
  <c r="A571" i="6" s="1"/>
  <c r="H571" i="6"/>
  <c r="O571" i="6"/>
  <c r="E572" i="6"/>
  <c r="B572" i="6" s="1"/>
  <c r="H572" i="6"/>
  <c r="O572" i="6"/>
  <c r="E573" i="6"/>
  <c r="H573" i="6"/>
  <c r="O573" i="6"/>
  <c r="E574" i="6"/>
  <c r="B574" i="6" s="1"/>
  <c r="H574" i="6"/>
  <c r="O574" i="6"/>
  <c r="E575" i="6"/>
  <c r="A575" i="6" s="1"/>
  <c r="H575" i="6"/>
  <c r="O575" i="6"/>
  <c r="E576" i="6"/>
  <c r="B576" i="6" s="1"/>
  <c r="H576" i="6"/>
  <c r="O576" i="6"/>
  <c r="E577" i="6"/>
  <c r="H577" i="6"/>
  <c r="O577" i="6"/>
  <c r="E578" i="6"/>
  <c r="H578" i="6"/>
  <c r="O578" i="6"/>
  <c r="E579" i="6"/>
  <c r="B579" i="6" s="1"/>
  <c r="H579" i="6"/>
  <c r="O579" i="6"/>
  <c r="E580" i="6"/>
  <c r="B580" i="6" s="1"/>
  <c r="H580" i="6"/>
  <c r="O580" i="6"/>
  <c r="H431" i="6"/>
  <c r="O431" i="6"/>
  <c r="H432" i="6"/>
  <c r="E433" i="6"/>
  <c r="H434" i="6"/>
  <c r="O434" i="6"/>
  <c r="O435" i="6"/>
  <c r="H436" i="6"/>
  <c r="H437" i="6"/>
  <c r="E438" i="6"/>
  <c r="D438" i="6" s="1"/>
  <c r="H439" i="6"/>
  <c r="E434" i="6"/>
  <c r="O441" i="6"/>
  <c r="O442" i="6"/>
  <c r="E443" i="6"/>
  <c r="A443" i="6" s="1"/>
  <c r="H443" i="6"/>
  <c r="O443" i="6"/>
  <c r="E444" i="6"/>
  <c r="H444" i="6"/>
  <c r="O444" i="6"/>
  <c r="E445" i="6"/>
  <c r="H445" i="6"/>
  <c r="O445" i="6"/>
  <c r="E446" i="6"/>
  <c r="H446" i="6"/>
  <c r="O446" i="6"/>
  <c r="E447" i="6"/>
  <c r="B447" i="6" s="1"/>
  <c r="H447" i="6"/>
  <c r="O447" i="6"/>
  <c r="E448" i="6"/>
  <c r="A448" i="6" s="1"/>
  <c r="H448" i="6"/>
  <c r="O448" i="6"/>
  <c r="E449" i="6"/>
  <c r="H449" i="6"/>
  <c r="O449" i="6"/>
  <c r="E450" i="6"/>
  <c r="H450" i="6"/>
  <c r="O450" i="6"/>
  <c r="E451" i="6"/>
  <c r="A451" i="6" s="1"/>
  <c r="H451" i="6"/>
  <c r="O451" i="6"/>
  <c r="E452" i="6"/>
  <c r="A452" i="6" s="1"/>
  <c r="H452" i="6"/>
  <c r="O452" i="6"/>
  <c r="E453" i="6"/>
  <c r="H453" i="6"/>
  <c r="O453" i="6"/>
  <c r="E454" i="6"/>
  <c r="C454" i="6" s="1"/>
  <c r="H454" i="6"/>
  <c r="O454" i="6"/>
  <c r="E455" i="6"/>
  <c r="B455" i="6" s="1"/>
  <c r="H455" i="6"/>
  <c r="O455" i="6"/>
  <c r="E431" i="6"/>
  <c r="C431" i="6" s="1"/>
  <c r="E435" i="6"/>
  <c r="E436" i="6"/>
  <c r="H438" i="6"/>
  <c r="E439" i="6"/>
  <c r="O439" i="6"/>
  <c r="E440" i="6"/>
  <c r="H440" i="6"/>
  <c r="O440" i="6"/>
  <c r="E441" i="6"/>
  <c r="H441" i="6"/>
  <c r="E442" i="6"/>
  <c r="H442" i="6"/>
  <c r="E432" i="6"/>
  <c r="O432" i="6"/>
  <c r="H433" i="6"/>
  <c r="O433" i="6"/>
  <c r="H435" i="6"/>
  <c r="O436" i="6"/>
  <c r="E437" i="6"/>
  <c r="O437" i="6"/>
  <c r="O438" i="6"/>
  <c r="E206" i="6"/>
  <c r="H206" i="6"/>
  <c r="O206" i="6"/>
  <c r="H207" i="6"/>
  <c r="O207" i="6"/>
  <c r="E208" i="6"/>
  <c r="H208" i="6"/>
  <c r="O208" i="6"/>
  <c r="E209" i="6"/>
  <c r="D209" i="6" s="1"/>
  <c r="H209" i="6"/>
  <c r="O209" i="6"/>
  <c r="E210" i="6"/>
  <c r="H210" i="6"/>
  <c r="O210" i="6"/>
  <c r="H211" i="6"/>
  <c r="O211" i="6"/>
  <c r="E212" i="6"/>
  <c r="H212" i="6"/>
  <c r="O212" i="6"/>
  <c r="E213" i="6"/>
  <c r="B213" i="6" s="1"/>
  <c r="H213" i="6"/>
  <c r="O213" i="6"/>
  <c r="E214" i="6"/>
  <c r="B214" i="6" s="1"/>
  <c r="H214" i="6"/>
  <c r="O214" i="6"/>
  <c r="H215" i="6"/>
  <c r="O215" i="6"/>
  <c r="E216" i="6"/>
  <c r="H216" i="6"/>
  <c r="O216" i="6"/>
  <c r="E217" i="6"/>
  <c r="F217" i="6" s="1"/>
  <c r="H217" i="6"/>
  <c r="O217" i="6"/>
  <c r="E218" i="6"/>
  <c r="H218" i="6"/>
  <c r="O218" i="6"/>
  <c r="H219" i="6"/>
  <c r="O219" i="6"/>
  <c r="E220" i="6"/>
  <c r="H220" i="6"/>
  <c r="O220" i="6"/>
  <c r="E221" i="6"/>
  <c r="H221" i="6"/>
  <c r="O221" i="6"/>
  <c r="E222" i="6"/>
  <c r="F222" i="6" s="1"/>
  <c r="I222" i="6" s="1"/>
  <c r="J222" i="6" s="1"/>
  <c r="H222" i="6"/>
  <c r="O222" i="6"/>
  <c r="E223" i="6"/>
  <c r="A223" i="6" s="1"/>
  <c r="H223" i="6"/>
  <c r="O223" i="6"/>
  <c r="E224" i="6"/>
  <c r="H224" i="6"/>
  <c r="O224" i="6"/>
  <c r="E225" i="6"/>
  <c r="H225" i="6"/>
  <c r="O225" i="6"/>
  <c r="E226" i="6"/>
  <c r="H226" i="6"/>
  <c r="O226" i="6"/>
  <c r="E227" i="6"/>
  <c r="H227" i="6"/>
  <c r="O227" i="6"/>
  <c r="E228" i="6"/>
  <c r="H228" i="6"/>
  <c r="O228" i="6"/>
  <c r="E229" i="6"/>
  <c r="H229" i="6"/>
  <c r="O229" i="6"/>
  <c r="E230" i="6"/>
  <c r="G230" i="6" s="1"/>
  <c r="H230" i="6"/>
  <c r="O230" i="6"/>
  <c r="E81" i="6"/>
  <c r="H81" i="6"/>
  <c r="O81" i="6"/>
  <c r="E82" i="6"/>
  <c r="H82" i="6"/>
  <c r="O82" i="6"/>
  <c r="E83" i="6"/>
  <c r="H83" i="6"/>
  <c r="O83" i="6"/>
  <c r="E84" i="6"/>
  <c r="H84" i="6"/>
  <c r="O84" i="6"/>
  <c r="E85" i="6"/>
  <c r="A85" i="6" s="1"/>
  <c r="H85" i="6"/>
  <c r="O85" i="6"/>
  <c r="E86" i="6"/>
  <c r="D86" i="6" s="1"/>
  <c r="H86" i="6"/>
  <c r="O86" i="6"/>
  <c r="E87" i="6"/>
  <c r="H87" i="6"/>
  <c r="O87" i="6"/>
  <c r="E88" i="6"/>
  <c r="A88" i="6" s="1"/>
  <c r="H88" i="6"/>
  <c r="O88" i="6"/>
  <c r="E89" i="6"/>
  <c r="A89" i="6" s="1"/>
  <c r="H89" i="6"/>
  <c r="O89" i="6"/>
  <c r="E90" i="6"/>
  <c r="H90" i="6"/>
  <c r="O90" i="6"/>
  <c r="E91" i="6"/>
  <c r="H91" i="6"/>
  <c r="O91" i="6"/>
  <c r="E92" i="6"/>
  <c r="H92" i="6"/>
  <c r="O92" i="6"/>
  <c r="E93" i="6"/>
  <c r="A93" i="6" s="1"/>
  <c r="H93" i="6"/>
  <c r="E94" i="6"/>
  <c r="H94" i="6"/>
  <c r="O94" i="6"/>
  <c r="E95" i="6"/>
  <c r="D95" i="6" s="1"/>
  <c r="H95" i="6"/>
  <c r="O95" i="6"/>
  <c r="E96" i="6"/>
  <c r="H96" i="6"/>
  <c r="O96" i="6"/>
  <c r="E97" i="6"/>
  <c r="A97" i="6" s="1"/>
  <c r="H97" i="6"/>
  <c r="O97" i="6"/>
  <c r="E98" i="6"/>
  <c r="H98" i="6"/>
  <c r="O98" i="6"/>
  <c r="E99" i="6"/>
  <c r="H99" i="6"/>
  <c r="O99" i="6"/>
  <c r="E100" i="6"/>
  <c r="H100" i="6"/>
  <c r="O100" i="6"/>
  <c r="E101" i="6"/>
  <c r="F101" i="6" s="1"/>
  <c r="I101" i="6" s="1"/>
  <c r="J101" i="6" s="1"/>
  <c r="L101" i="6" s="1"/>
  <c r="H101" i="6"/>
  <c r="O101" i="6"/>
  <c r="E102" i="6"/>
  <c r="H102" i="6"/>
  <c r="O102" i="6"/>
  <c r="E103" i="6"/>
  <c r="H103" i="6"/>
  <c r="O103" i="6"/>
  <c r="E104" i="6"/>
  <c r="H104" i="6"/>
  <c r="O104" i="6"/>
  <c r="E105" i="6"/>
  <c r="F105" i="6" s="1"/>
  <c r="I105" i="6" s="1"/>
  <c r="J105" i="6" s="1"/>
  <c r="L105" i="6" s="1"/>
  <c r="H105" i="6"/>
  <c r="O105" i="6"/>
  <c r="O93" i="6"/>
  <c r="E356" i="6"/>
  <c r="H356" i="6"/>
  <c r="O356" i="6"/>
  <c r="E357" i="6"/>
  <c r="H357" i="6"/>
  <c r="O357" i="6"/>
  <c r="E358" i="6"/>
  <c r="H358" i="6"/>
  <c r="O358" i="6"/>
  <c r="E359" i="6"/>
  <c r="H359" i="6"/>
  <c r="O359" i="6"/>
  <c r="E360" i="6"/>
  <c r="H360" i="6"/>
  <c r="O360" i="6"/>
  <c r="E361" i="6"/>
  <c r="H361" i="6"/>
  <c r="O361" i="6"/>
  <c r="E362" i="6"/>
  <c r="D362" i="6" s="1"/>
  <c r="H362" i="6"/>
  <c r="O362" i="6"/>
  <c r="E363" i="6"/>
  <c r="H363" i="6"/>
  <c r="O363" i="6"/>
  <c r="E364" i="6"/>
  <c r="D364" i="6" s="1"/>
  <c r="H364" i="6"/>
  <c r="O364" i="6"/>
  <c r="E365" i="6"/>
  <c r="H365" i="6"/>
  <c r="O365" i="6"/>
  <c r="E366" i="6"/>
  <c r="H366" i="6"/>
  <c r="O366" i="6"/>
  <c r="E367" i="6"/>
  <c r="H367" i="6"/>
  <c r="O367" i="6"/>
  <c r="E368" i="6"/>
  <c r="H368" i="6"/>
  <c r="O368" i="6"/>
  <c r="E369" i="6"/>
  <c r="H369" i="6"/>
  <c r="O369" i="6"/>
  <c r="E370" i="6"/>
  <c r="H370" i="6"/>
  <c r="O370" i="6"/>
  <c r="E371" i="6"/>
  <c r="H371" i="6"/>
  <c r="O371" i="6"/>
  <c r="E372" i="6"/>
  <c r="H372" i="6"/>
  <c r="O372" i="6"/>
  <c r="E373" i="6"/>
  <c r="H373" i="6"/>
  <c r="O373" i="6"/>
  <c r="E374" i="6"/>
  <c r="A374" i="6" s="1"/>
  <c r="H374" i="6"/>
  <c r="O374" i="6"/>
  <c r="E375" i="6"/>
  <c r="H375" i="6"/>
  <c r="O375" i="6"/>
  <c r="E376" i="6"/>
  <c r="B376" i="6" s="1"/>
  <c r="H376" i="6"/>
  <c r="O376" i="6"/>
  <c r="E377" i="6"/>
  <c r="H377" i="6"/>
  <c r="O377" i="6"/>
  <c r="E378" i="6"/>
  <c r="H378" i="6"/>
  <c r="O378" i="6"/>
  <c r="E379" i="6"/>
  <c r="H379" i="6"/>
  <c r="O379" i="6"/>
  <c r="E380" i="6"/>
  <c r="H380" i="6"/>
  <c r="O380" i="6"/>
  <c r="E231" i="6"/>
  <c r="H233" i="6"/>
  <c r="E235" i="6"/>
  <c r="H236" i="6"/>
  <c r="O237" i="6"/>
  <c r="E239" i="6"/>
  <c r="H240" i="6"/>
  <c r="O241" i="6"/>
  <c r="E243" i="6"/>
  <c r="H244" i="6"/>
  <c r="O245" i="6"/>
  <c r="E247" i="6"/>
  <c r="H248" i="6"/>
  <c r="O249" i="6"/>
  <c r="E251" i="6"/>
  <c r="H252" i="6"/>
  <c r="O253" i="6"/>
  <c r="E255" i="6"/>
  <c r="E106" i="6"/>
  <c r="H106" i="6"/>
  <c r="O106" i="6"/>
  <c r="H107" i="6"/>
  <c r="O107" i="6"/>
  <c r="E108" i="6"/>
  <c r="H108" i="6"/>
  <c r="O108" i="6"/>
  <c r="E109" i="6"/>
  <c r="H109" i="6"/>
  <c r="O109" i="6"/>
  <c r="E110" i="6"/>
  <c r="H110" i="6"/>
  <c r="O110" i="6"/>
  <c r="H111" i="6"/>
  <c r="O111" i="6"/>
  <c r="E112" i="6"/>
  <c r="H112" i="6"/>
  <c r="O112" i="6"/>
  <c r="E113" i="6"/>
  <c r="H113" i="6"/>
  <c r="O113" i="6"/>
  <c r="E114" i="6"/>
  <c r="H114" i="6"/>
  <c r="O114" i="6"/>
  <c r="E115" i="6"/>
  <c r="H115" i="6"/>
  <c r="O115" i="6"/>
  <c r="E116" i="6"/>
  <c r="H116" i="6"/>
  <c r="O116" i="6"/>
  <c r="E117" i="6"/>
  <c r="H117" i="6"/>
  <c r="O117" i="6"/>
  <c r="E118" i="6"/>
  <c r="H118" i="6"/>
  <c r="O118" i="6"/>
  <c r="E119" i="6"/>
  <c r="H119" i="6"/>
  <c r="O119" i="6"/>
  <c r="E120" i="6"/>
  <c r="H120" i="6"/>
  <c r="O120" i="6"/>
  <c r="E121" i="6"/>
  <c r="H121" i="6"/>
  <c r="O121" i="6"/>
  <c r="E122" i="6"/>
  <c r="H122" i="6"/>
  <c r="O122" i="6"/>
  <c r="E123" i="6"/>
  <c r="H123" i="6"/>
  <c r="O123" i="6"/>
  <c r="E124" i="6"/>
  <c r="H124" i="6"/>
  <c r="O124" i="6"/>
  <c r="E125" i="6"/>
  <c r="H125" i="6"/>
  <c r="O125" i="6"/>
  <c r="E126" i="6"/>
  <c r="H126" i="6"/>
  <c r="O126" i="6"/>
  <c r="E127" i="6"/>
  <c r="G127" i="6" s="1"/>
  <c r="H127" i="6"/>
  <c r="O127" i="6"/>
  <c r="E128" i="6"/>
  <c r="H128" i="6"/>
  <c r="O128" i="6"/>
  <c r="E129" i="6"/>
  <c r="H129" i="6"/>
  <c r="O129" i="6"/>
  <c r="E130" i="6"/>
  <c r="H130" i="6"/>
  <c r="O130" i="6"/>
  <c r="E581" i="6"/>
  <c r="H582" i="6"/>
  <c r="O583" i="6"/>
  <c r="E585" i="6"/>
  <c r="H586" i="6"/>
  <c r="O587" i="6"/>
  <c r="E589" i="6"/>
  <c r="H590" i="6"/>
  <c r="O591" i="6"/>
  <c r="E593" i="6"/>
  <c r="H594" i="6"/>
  <c r="O595" i="6"/>
  <c r="E597" i="6"/>
  <c r="H598" i="6"/>
  <c r="O599" i="6"/>
  <c r="E601" i="6"/>
  <c r="H602" i="6"/>
  <c r="O603" i="6"/>
  <c r="E605" i="6"/>
  <c r="E456" i="6"/>
  <c r="H456" i="6"/>
  <c r="O456" i="6"/>
  <c r="E457" i="6"/>
  <c r="H457" i="6"/>
  <c r="O457" i="6"/>
  <c r="E458" i="6"/>
  <c r="H458" i="6"/>
  <c r="O458" i="6"/>
  <c r="E459" i="6"/>
  <c r="H459" i="6"/>
  <c r="O459" i="6"/>
  <c r="E460" i="6"/>
  <c r="H460" i="6"/>
  <c r="O460" i="6"/>
  <c r="E461" i="6"/>
  <c r="H461" i="6"/>
  <c r="O461" i="6"/>
  <c r="E462" i="6"/>
  <c r="H462" i="6"/>
  <c r="O462" i="6"/>
  <c r="E463" i="6"/>
  <c r="H463" i="6"/>
  <c r="O463" i="6"/>
  <c r="E464" i="6"/>
  <c r="H464" i="6"/>
  <c r="O464" i="6"/>
  <c r="E465" i="6"/>
  <c r="H465" i="6"/>
  <c r="O465" i="6"/>
  <c r="E466" i="6"/>
  <c r="H466" i="6"/>
  <c r="O466" i="6"/>
  <c r="E467" i="6"/>
  <c r="H467" i="6"/>
  <c r="O467" i="6"/>
  <c r="E468" i="6"/>
  <c r="H468" i="6"/>
  <c r="O468" i="6"/>
  <c r="E469" i="6"/>
  <c r="H469" i="6"/>
  <c r="O469" i="6"/>
  <c r="E470" i="6"/>
  <c r="H470" i="6"/>
  <c r="O470" i="6"/>
  <c r="E471" i="6"/>
  <c r="H471" i="6"/>
  <c r="O471" i="6"/>
  <c r="E472" i="6"/>
  <c r="H472" i="6"/>
  <c r="O472" i="6"/>
  <c r="E473" i="6"/>
  <c r="H473" i="6"/>
  <c r="O473" i="6"/>
  <c r="E474" i="6"/>
  <c r="H474" i="6"/>
  <c r="O474" i="6"/>
  <c r="E475" i="6"/>
  <c r="H475" i="6"/>
  <c r="O475" i="6"/>
  <c r="E476" i="6"/>
  <c r="H476" i="6"/>
  <c r="O476" i="6"/>
  <c r="E477" i="6"/>
  <c r="H477" i="6"/>
  <c r="O477" i="6"/>
  <c r="E478" i="6"/>
  <c r="H478" i="6"/>
  <c r="O478" i="6"/>
  <c r="E479" i="6"/>
  <c r="H479" i="6"/>
  <c r="O479" i="6"/>
  <c r="E480" i="6"/>
  <c r="H480" i="6"/>
  <c r="O480" i="6"/>
  <c r="E256" i="6"/>
  <c r="H256" i="6"/>
  <c r="O256" i="6"/>
  <c r="E257" i="6"/>
  <c r="H257" i="6"/>
  <c r="O257" i="6"/>
  <c r="E258" i="6"/>
  <c r="A258" i="6" s="1"/>
  <c r="H258" i="6"/>
  <c r="O258" i="6"/>
  <c r="E259" i="6"/>
  <c r="H259" i="6"/>
  <c r="O259" i="6"/>
  <c r="E260" i="6"/>
  <c r="H260" i="6"/>
  <c r="O260" i="6"/>
  <c r="E261" i="6"/>
  <c r="H261" i="6"/>
  <c r="O261" i="6"/>
  <c r="E262" i="6"/>
  <c r="H262" i="6"/>
  <c r="O262" i="6"/>
  <c r="E263" i="6"/>
  <c r="H263" i="6"/>
  <c r="O263" i="6"/>
  <c r="E264" i="6"/>
  <c r="H264" i="6"/>
  <c r="O264" i="6"/>
  <c r="E265" i="6"/>
  <c r="H265" i="6"/>
  <c r="O265" i="6"/>
  <c r="E266" i="6"/>
  <c r="H266" i="6"/>
  <c r="O266" i="6"/>
  <c r="E267" i="6"/>
  <c r="H267" i="6"/>
  <c r="O267" i="6"/>
  <c r="E268" i="6"/>
  <c r="H268" i="6"/>
  <c r="O268" i="6"/>
  <c r="E269" i="6"/>
  <c r="H269" i="6"/>
  <c r="O269" i="6"/>
  <c r="E270" i="6"/>
  <c r="C270" i="6" s="1"/>
  <c r="H270" i="6"/>
  <c r="O270" i="6"/>
  <c r="E271" i="6"/>
  <c r="H271" i="6"/>
  <c r="O271" i="6"/>
  <c r="E272" i="6"/>
  <c r="H272" i="6"/>
  <c r="O272" i="6"/>
  <c r="E273" i="6"/>
  <c r="H273" i="6"/>
  <c r="O273" i="6"/>
  <c r="E274" i="6"/>
  <c r="A274" i="6" s="1"/>
  <c r="H274" i="6"/>
  <c r="O274" i="6"/>
  <c r="E275" i="6"/>
  <c r="H275" i="6"/>
  <c r="O275" i="6"/>
  <c r="E276" i="6"/>
  <c r="H276" i="6"/>
  <c r="O276" i="6"/>
  <c r="E277" i="6"/>
  <c r="H277" i="6"/>
  <c r="O277" i="6"/>
  <c r="E279" i="6"/>
  <c r="H279" i="6"/>
  <c r="O279" i="6"/>
  <c r="E280" i="6"/>
  <c r="H280" i="6"/>
  <c r="O280" i="6"/>
  <c r="E278" i="6"/>
  <c r="H278" i="6"/>
  <c r="O278" i="6"/>
  <c r="E56" i="6"/>
  <c r="H56" i="6"/>
  <c r="O56" i="6"/>
  <c r="E57" i="6"/>
  <c r="H57" i="6"/>
  <c r="O57" i="6"/>
  <c r="E58" i="6"/>
  <c r="H58" i="6"/>
  <c r="O58" i="6"/>
  <c r="H59" i="6"/>
  <c r="O59" i="6"/>
  <c r="E60" i="6"/>
  <c r="D60" i="6" s="1"/>
  <c r="H60" i="6"/>
  <c r="O60" i="6"/>
  <c r="E61" i="6"/>
  <c r="H61" i="6"/>
  <c r="O61" i="6"/>
  <c r="E62" i="6"/>
  <c r="H62" i="6"/>
  <c r="O62" i="6"/>
  <c r="H63" i="6"/>
  <c r="O63" i="6"/>
  <c r="E64" i="6"/>
  <c r="H64" i="6"/>
  <c r="O64" i="6"/>
  <c r="E65" i="6"/>
  <c r="H65" i="6"/>
  <c r="O65" i="6"/>
  <c r="E66" i="6"/>
  <c r="H66" i="6"/>
  <c r="O66" i="6"/>
  <c r="E67" i="6"/>
  <c r="H67" i="6"/>
  <c r="O67" i="6"/>
  <c r="E68" i="6"/>
  <c r="H68" i="6"/>
  <c r="O68" i="6"/>
  <c r="E69" i="6"/>
  <c r="H69" i="6"/>
  <c r="O69" i="6"/>
  <c r="E70" i="6"/>
  <c r="H70" i="6"/>
  <c r="O70" i="6"/>
  <c r="E71" i="6"/>
  <c r="H71" i="6"/>
  <c r="O71" i="6"/>
  <c r="E72" i="6"/>
  <c r="H72" i="6"/>
  <c r="O72" i="6"/>
  <c r="E73" i="6"/>
  <c r="H73" i="6"/>
  <c r="O73" i="6"/>
  <c r="E74" i="6"/>
  <c r="H74" i="6"/>
  <c r="O74" i="6"/>
  <c r="E75" i="6"/>
  <c r="D75" i="6" s="1"/>
  <c r="H75" i="6"/>
  <c r="O75" i="6"/>
  <c r="E76" i="6"/>
  <c r="H76" i="6"/>
  <c r="O76" i="6"/>
  <c r="E77" i="6"/>
  <c r="H77" i="6"/>
  <c r="O77" i="6"/>
  <c r="E78" i="6"/>
  <c r="H78" i="6"/>
  <c r="O78" i="6"/>
  <c r="E79" i="6"/>
  <c r="H79" i="6"/>
  <c r="O79" i="6"/>
  <c r="E80" i="6"/>
  <c r="H80" i="6"/>
  <c r="O80" i="6"/>
  <c r="E506" i="6"/>
  <c r="H506" i="6"/>
  <c r="O506" i="6"/>
  <c r="E507" i="6"/>
  <c r="H507" i="6"/>
  <c r="O507" i="6"/>
  <c r="E508" i="6"/>
  <c r="H508" i="6"/>
  <c r="E509" i="6"/>
  <c r="H509" i="6"/>
  <c r="O509" i="6"/>
  <c r="O510" i="6"/>
  <c r="E511" i="6"/>
  <c r="H511" i="6"/>
  <c r="H512" i="6"/>
  <c r="E513" i="6"/>
  <c r="H513" i="6"/>
  <c r="E514" i="6"/>
  <c r="O514" i="6"/>
  <c r="E515" i="6"/>
  <c r="E516" i="6"/>
  <c r="E517" i="6"/>
  <c r="H517" i="6"/>
  <c r="H518" i="6"/>
  <c r="O518" i="6"/>
  <c r="E519" i="6"/>
  <c r="H519" i="6"/>
  <c r="O519" i="6"/>
  <c r="E520" i="6"/>
  <c r="H520" i="6"/>
  <c r="O520" i="6"/>
  <c r="E521" i="6"/>
  <c r="H521" i="6"/>
  <c r="O521" i="6"/>
  <c r="E522" i="6"/>
  <c r="H522" i="6"/>
  <c r="O522" i="6"/>
  <c r="E523" i="6"/>
  <c r="H523" i="6"/>
  <c r="O523" i="6"/>
  <c r="E524" i="6"/>
  <c r="H524" i="6"/>
  <c r="O524" i="6"/>
  <c r="E525" i="6"/>
  <c r="H525" i="6"/>
  <c r="O525" i="6"/>
  <c r="E526" i="6"/>
  <c r="A526" i="6" s="1"/>
  <c r="H526" i="6"/>
  <c r="O526" i="6"/>
  <c r="E527" i="6"/>
  <c r="H527" i="6"/>
  <c r="O527" i="6"/>
  <c r="E528" i="6"/>
  <c r="H528" i="6"/>
  <c r="O528" i="6"/>
  <c r="E529" i="6"/>
  <c r="H529" i="6"/>
  <c r="O529" i="6"/>
  <c r="E530" i="6"/>
  <c r="H530" i="6"/>
  <c r="O530" i="6"/>
  <c r="O508" i="6"/>
  <c r="E510" i="6"/>
  <c r="A510" i="6" s="1"/>
  <c r="H510" i="6"/>
  <c r="O511" i="6"/>
  <c r="E512" i="6"/>
  <c r="O512" i="6"/>
  <c r="O513" i="6"/>
  <c r="H514" i="6"/>
  <c r="H515" i="6"/>
  <c r="O515" i="6"/>
  <c r="H516" i="6"/>
  <c r="O516" i="6"/>
  <c r="O517" i="6"/>
  <c r="E518" i="6"/>
  <c r="H281" i="6"/>
  <c r="H282" i="6"/>
  <c r="O282" i="6"/>
  <c r="E283" i="6"/>
  <c r="H283" i="6"/>
  <c r="O283" i="6"/>
  <c r="E284" i="6"/>
  <c r="H284" i="6"/>
  <c r="O284" i="6"/>
  <c r="E285" i="6"/>
  <c r="H285" i="6"/>
  <c r="O285" i="6"/>
  <c r="E286" i="6"/>
  <c r="H286" i="6"/>
  <c r="O286" i="6"/>
  <c r="E287" i="6"/>
  <c r="H287" i="6"/>
  <c r="O287" i="6"/>
  <c r="E288" i="6"/>
  <c r="H288" i="6"/>
  <c r="O288" i="6"/>
  <c r="E289" i="6"/>
  <c r="H289" i="6"/>
  <c r="O289" i="6"/>
  <c r="E290" i="6"/>
  <c r="H290" i="6"/>
  <c r="O290" i="6"/>
  <c r="E291" i="6"/>
  <c r="H291" i="6"/>
  <c r="O291" i="6"/>
  <c r="E292" i="6"/>
  <c r="H292" i="6"/>
  <c r="O292" i="6"/>
  <c r="E293" i="6"/>
  <c r="H293" i="6"/>
  <c r="O293" i="6"/>
  <c r="E294" i="6"/>
  <c r="H294" i="6"/>
  <c r="O294" i="6"/>
  <c r="E295" i="6"/>
  <c r="H295" i="6"/>
  <c r="O295" i="6"/>
  <c r="E296" i="6"/>
  <c r="C296" i="6" s="1"/>
  <c r="H296" i="6"/>
  <c r="O296" i="6"/>
  <c r="E297" i="6"/>
  <c r="H297" i="6"/>
  <c r="O297" i="6"/>
  <c r="E298" i="6"/>
  <c r="H298" i="6"/>
  <c r="O298" i="6"/>
  <c r="E299" i="6"/>
  <c r="H299" i="6"/>
  <c r="O299" i="6"/>
  <c r="E300" i="6"/>
  <c r="H300" i="6"/>
  <c r="O300" i="6"/>
  <c r="E301" i="6"/>
  <c r="H301" i="6"/>
  <c r="O301" i="6"/>
  <c r="E302" i="6"/>
  <c r="H302" i="6"/>
  <c r="O302" i="6"/>
  <c r="E303" i="6"/>
  <c r="H303" i="6"/>
  <c r="O303" i="6"/>
  <c r="E304" i="6"/>
  <c r="H304" i="6"/>
  <c r="O304" i="6"/>
  <c r="E305" i="6"/>
  <c r="H305" i="6"/>
  <c r="O305" i="6"/>
  <c r="E131" i="6"/>
  <c r="H131" i="6"/>
  <c r="O131" i="6"/>
  <c r="E132" i="6"/>
  <c r="H132" i="6"/>
  <c r="O132" i="6"/>
  <c r="E133" i="6"/>
  <c r="H133" i="6"/>
  <c r="O133" i="6"/>
  <c r="E134" i="6"/>
  <c r="H134" i="6"/>
  <c r="O134" i="6"/>
  <c r="E135" i="6"/>
  <c r="H135" i="6"/>
  <c r="O135" i="6"/>
  <c r="E136" i="6"/>
  <c r="H136" i="6"/>
  <c r="O136" i="6"/>
  <c r="E137" i="6"/>
  <c r="H137" i="6"/>
  <c r="O137" i="6"/>
  <c r="E138" i="6"/>
  <c r="H138" i="6"/>
  <c r="O138" i="6"/>
  <c r="E139" i="6"/>
  <c r="H139" i="6"/>
  <c r="E141" i="6"/>
  <c r="O143" i="6"/>
  <c r="H140" i="6"/>
  <c r="O147" i="6"/>
  <c r="H148" i="6"/>
  <c r="E149" i="6"/>
  <c r="E154" i="6"/>
  <c r="H154" i="6"/>
  <c r="O155" i="6"/>
  <c r="H141" i="6"/>
  <c r="E144" i="6"/>
  <c r="H145" i="6"/>
  <c r="E148" i="6"/>
  <c r="E153" i="6"/>
  <c r="O154" i="6"/>
  <c r="E155" i="6"/>
  <c r="E140" i="6"/>
  <c r="O140" i="6"/>
  <c r="E142" i="6"/>
  <c r="E146" i="6"/>
  <c r="O146" i="6"/>
  <c r="H147" i="6"/>
  <c r="O148" i="6"/>
  <c r="H149" i="6"/>
  <c r="O149" i="6"/>
  <c r="E150" i="6"/>
  <c r="H150" i="6"/>
  <c r="O150" i="6"/>
  <c r="O139" i="6"/>
  <c r="O141" i="6"/>
  <c r="H142" i="6"/>
  <c r="H143" i="6"/>
  <c r="H144" i="6"/>
  <c r="H151" i="6"/>
  <c r="O151" i="6"/>
  <c r="H152" i="6"/>
  <c r="O152" i="6"/>
  <c r="H153" i="6"/>
  <c r="H155" i="6"/>
  <c r="O142" i="6"/>
  <c r="E143" i="6"/>
  <c r="O144" i="6"/>
  <c r="E145" i="6"/>
  <c r="O145" i="6"/>
  <c r="H146" i="6"/>
  <c r="E147" i="6"/>
  <c r="E151" i="6"/>
  <c r="E152" i="6"/>
  <c r="O153" i="6"/>
  <c r="E606" i="6"/>
  <c r="H606" i="6"/>
  <c r="O606" i="6"/>
  <c r="E607" i="6"/>
  <c r="D607" i="6" s="1"/>
  <c r="H607" i="6"/>
  <c r="O607" i="6"/>
  <c r="E608" i="6"/>
  <c r="H608" i="6"/>
  <c r="O608" i="6"/>
  <c r="E609" i="6"/>
  <c r="H609" i="6"/>
  <c r="O609" i="6"/>
  <c r="E610" i="6"/>
  <c r="C610" i="6" s="1"/>
  <c r="H610" i="6"/>
  <c r="O610" i="6"/>
  <c r="E611" i="6"/>
  <c r="F611" i="6" s="1"/>
  <c r="I611" i="6" s="1"/>
  <c r="H611" i="6"/>
  <c r="O611" i="6"/>
  <c r="E612" i="6"/>
  <c r="H612" i="6"/>
  <c r="O612" i="6"/>
  <c r="E613" i="6"/>
  <c r="H613" i="6"/>
  <c r="O613" i="6"/>
  <c r="E614" i="6"/>
  <c r="H614" i="6"/>
  <c r="O614" i="6"/>
  <c r="E615" i="6"/>
  <c r="H615" i="6"/>
  <c r="O615" i="6"/>
  <c r="E616" i="6"/>
  <c r="H616" i="6"/>
  <c r="O616" i="6"/>
  <c r="E617" i="6"/>
  <c r="H617" i="6"/>
  <c r="O617" i="6"/>
  <c r="E618" i="6"/>
  <c r="H618" i="6"/>
  <c r="O618" i="6"/>
  <c r="E619" i="6"/>
  <c r="H619" i="6"/>
  <c r="O619" i="6"/>
  <c r="E620" i="6"/>
  <c r="H620" i="6"/>
  <c r="O620" i="6"/>
  <c r="E621" i="6"/>
  <c r="H621" i="6"/>
  <c r="O621" i="6"/>
  <c r="E622" i="6"/>
  <c r="H622" i="6"/>
  <c r="O622" i="6"/>
  <c r="E623" i="6"/>
  <c r="D623" i="6" s="1"/>
  <c r="H623" i="6"/>
  <c r="O623" i="6"/>
  <c r="E624" i="6"/>
  <c r="H624" i="6"/>
  <c r="O624" i="6"/>
  <c r="E625" i="6"/>
  <c r="H625" i="6"/>
  <c r="O625" i="6"/>
  <c r="E626" i="6"/>
  <c r="H626" i="6"/>
  <c r="O626" i="6"/>
  <c r="E627" i="6"/>
  <c r="C627" i="6" s="1"/>
  <c r="H627" i="6"/>
  <c r="O627" i="6"/>
  <c r="E628" i="6"/>
  <c r="H628" i="6"/>
  <c r="O628" i="6"/>
  <c r="E629" i="6"/>
  <c r="H629" i="6"/>
  <c r="O629" i="6"/>
  <c r="E630" i="6"/>
  <c r="H630" i="6"/>
  <c r="O630" i="6"/>
  <c r="E381" i="6"/>
  <c r="A381" i="6" s="1"/>
  <c r="H381" i="6"/>
  <c r="O381" i="6"/>
  <c r="E382" i="6"/>
  <c r="H382" i="6"/>
  <c r="O382" i="6"/>
  <c r="E383" i="6"/>
  <c r="H383" i="6"/>
  <c r="O383" i="6"/>
  <c r="E384" i="6"/>
  <c r="H384" i="6"/>
  <c r="O384" i="6"/>
  <c r="E385" i="6"/>
  <c r="H385" i="6"/>
  <c r="O385" i="6"/>
  <c r="E386" i="6"/>
  <c r="H386" i="6"/>
  <c r="O386" i="6"/>
  <c r="E387" i="6"/>
  <c r="H387" i="6"/>
  <c r="O387" i="6"/>
  <c r="E388" i="6"/>
  <c r="H388" i="6"/>
  <c r="O388" i="6"/>
  <c r="E389" i="6"/>
  <c r="A389" i="6" s="1"/>
  <c r="H389" i="6"/>
  <c r="O389" i="6"/>
  <c r="E390" i="6"/>
  <c r="H390" i="6"/>
  <c r="O390" i="6"/>
  <c r="E391" i="6"/>
  <c r="G391" i="6" s="1"/>
  <c r="H391" i="6"/>
  <c r="O391" i="6"/>
  <c r="E392" i="6"/>
  <c r="H392" i="6"/>
  <c r="O392" i="6"/>
  <c r="E393" i="6"/>
  <c r="C393" i="6" s="1"/>
  <c r="H393" i="6"/>
  <c r="O393" i="6"/>
  <c r="E394" i="6"/>
  <c r="H394" i="6"/>
  <c r="O394" i="6"/>
  <c r="E395" i="6"/>
  <c r="H395" i="6"/>
  <c r="O395" i="6"/>
  <c r="E396" i="6"/>
  <c r="H396" i="6"/>
  <c r="O396" i="6"/>
  <c r="E397" i="6"/>
  <c r="B397" i="6" s="1"/>
  <c r="H397" i="6"/>
  <c r="O397" i="6"/>
  <c r="E398" i="6"/>
  <c r="H398" i="6"/>
  <c r="O398" i="6"/>
  <c r="E399" i="6"/>
  <c r="H399" i="6"/>
  <c r="O399" i="6"/>
  <c r="E400" i="6"/>
  <c r="H400" i="6"/>
  <c r="O400" i="6"/>
  <c r="E401" i="6"/>
  <c r="H401" i="6"/>
  <c r="O401" i="6"/>
  <c r="E402" i="6"/>
  <c r="H402" i="6"/>
  <c r="O402" i="6"/>
  <c r="E403" i="6"/>
  <c r="D403" i="6" s="1"/>
  <c r="H403" i="6"/>
  <c r="O403" i="6"/>
  <c r="E404" i="6"/>
  <c r="H404" i="6"/>
  <c r="O404" i="6"/>
  <c r="E405" i="6"/>
  <c r="H405" i="6"/>
  <c r="O405" i="6"/>
  <c r="H6" i="6"/>
  <c r="O7" i="6"/>
  <c r="E9" i="6"/>
  <c r="D9" i="6" s="1"/>
  <c r="H10" i="6"/>
  <c r="O11" i="6"/>
  <c r="E13" i="6"/>
  <c r="H14" i="6"/>
  <c r="O15" i="6"/>
  <c r="E17" i="6"/>
  <c r="H18" i="6"/>
  <c r="O19" i="6"/>
  <c r="E21" i="6"/>
  <c r="H22" i="6"/>
  <c r="O23" i="6"/>
  <c r="E25" i="6"/>
  <c r="H26" i="6"/>
  <c r="O27" i="6"/>
  <c r="E29" i="6"/>
  <c r="H30" i="6"/>
  <c r="E481" i="6"/>
  <c r="H481" i="6"/>
  <c r="O481" i="6"/>
  <c r="E482" i="6"/>
  <c r="C482" i="6" s="1"/>
  <c r="H482" i="6"/>
  <c r="O482" i="6"/>
  <c r="E483" i="6"/>
  <c r="H483" i="6"/>
  <c r="O483" i="6"/>
  <c r="E484" i="6"/>
  <c r="G484" i="6" s="1"/>
  <c r="H484" i="6"/>
  <c r="O484" i="6"/>
  <c r="E485" i="6"/>
  <c r="H485" i="6"/>
  <c r="O485" i="6"/>
  <c r="E486" i="6"/>
  <c r="C486" i="6" s="1"/>
  <c r="H486" i="6"/>
  <c r="O486" i="6"/>
  <c r="E487" i="6"/>
  <c r="H487" i="6"/>
  <c r="O487" i="6"/>
  <c r="E488" i="6"/>
  <c r="C488" i="6" s="1"/>
  <c r="H488" i="6"/>
  <c r="O488" i="6"/>
  <c r="E489" i="6"/>
  <c r="H489" i="6"/>
  <c r="O489" i="6"/>
  <c r="E490" i="6"/>
  <c r="G490" i="6" s="1"/>
  <c r="H490" i="6"/>
  <c r="O490" i="6"/>
  <c r="E491" i="6"/>
  <c r="H491" i="6"/>
  <c r="O491" i="6"/>
  <c r="E492" i="6"/>
  <c r="H492" i="6"/>
  <c r="O492" i="6"/>
  <c r="E493" i="6"/>
  <c r="H493" i="6"/>
  <c r="O493" i="6"/>
  <c r="E494" i="6"/>
  <c r="F494" i="6" s="1"/>
  <c r="I494" i="6" s="1"/>
  <c r="H494" i="6"/>
  <c r="O494" i="6"/>
  <c r="E495" i="6"/>
  <c r="H495" i="6"/>
  <c r="O495" i="6"/>
  <c r="E496" i="6"/>
  <c r="B496" i="6" s="1"/>
  <c r="H496" i="6"/>
  <c r="O496" i="6"/>
  <c r="E497" i="6"/>
  <c r="H497" i="6"/>
  <c r="O497" i="6"/>
  <c r="E498" i="6"/>
  <c r="F498" i="6" s="1"/>
  <c r="I498" i="6" s="1"/>
  <c r="J498" i="6" s="1"/>
  <c r="H498" i="6"/>
  <c r="O498" i="6"/>
  <c r="E499" i="6"/>
  <c r="H499" i="6"/>
  <c r="J499" i="6" s="1"/>
  <c r="L499" i="6" s="1"/>
  <c r="O499" i="6"/>
  <c r="E500" i="6"/>
  <c r="D500" i="6" s="1"/>
  <c r="H500" i="6"/>
  <c r="O500" i="6"/>
  <c r="E501" i="6"/>
  <c r="B501" i="6" s="1"/>
  <c r="H501" i="6"/>
  <c r="O501" i="6"/>
  <c r="E502" i="6"/>
  <c r="B502" i="6" s="1"/>
  <c r="H502" i="6"/>
  <c r="O502" i="6"/>
  <c r="E503" i="6"/>
  <c r="H503" i="6"/>
  <c r="O503" i="6"/>
  <c r="E504" i="6"/>
  <c r="H504" i="6"/>
  <c r="O504" i="6"/>
  <c r="E505" i="6"/>
  <c r="H505" i="6"/>
  <c r="O505" i="6"/>
  <c r="E331" i="6"/>
  <c r="G331" i="6" s="1"/>
  <c r="E332" i="6"/>
  <c r="H332" i="6"/>
  <c r="H333" i="6"/>
  <c r="O333" i="6"/>
  <c r="O334" i="6"/>
  <c r="E335" i="6"/>
  <c r="E336" i="6"/>
  <c r="H336" i="6"/>
  <c r="H337" i="6"/>
  <c r="O337" i="6"/>
  <c r="O338" i="6"/>
  <c r="E339" i="6"/>
  <c r="A339" i="6" s="1"/>
  <c r="E340" i="6"/>
  <c r="H340" i="6"/>
  <c r="E341" i="6"/>
  <c r="A341" i="6" s="1"/>
  <c r="H341" i="6"/>
  <c r="O341" i="6"/>
  <c r="E342" i="6"/>
  <c r="F342" i="6" s="1"/>
  <c r="I342" i="6" s="1"/>
  <c r="H342" i="6"/>
  <c r="O342" i="6"/>
  <c r="E343" i="6"/>
  <c r="H343" i="6"/>
  <c r="O343" i="6"/>
  <c r="E344" i="6"/>
  <c r="C344" i="6" s="1"/>
  <c r="H344" i="6"/>
  <c r="O344" i="6"/>
  <c r="E345" i="6"/>
  <c r="H345" i="6"/>
  <c r="O345" i="6"/>
  <c r="E346" i="6"/>
  <c r="H346" i="6"/>
  <c r="O346" i="6"/>
  <c r="E347" i="6"/>
  <c r="H347" i="6"/>
  <c r="O347" i="6"/>
  <c r="E348" i="6"/>
  <c r="H348" i="6"/>
  <c r="O348" i="6"/>
  <c r="E349" i="6"/>
  <c r="H349" i="6"/>
  <c r="O349" i="6"/>
  <c r="E350" i="6"/>
  <c r="H350" i="6"/>
  <c r="O350" i="6"/>
  <c r="E351" i="6"/>
  <c r="H351" i="6"/>
  <c r="O351" i="6"/>
  <c r="E352" i="6"/>
  <c r="H352" i="6"/>
  <c r="O352" i="6"/>
  <c r="E353" i="6"/>
  <c r="H353" i="6"/>
  <c r="O353" i="6"/>
  <c r="E354" i="6"/>
  <c r="F354" i="6" s="1"/>
  <c r="I354" i="6" s="1"/>
  <c r="H354" i="6"/>
  <c r="O354" i="6"/>
  <c r="E355" i="6"/>
  <c r="H355" i="6"/>
  <c r="O355" i="6"/>
  <c r="E31" i="6"/>
  <c r="A31" i="6" s="1"/>
  <c r="H31" i="6"/>
  <c r="O31" i="6"/>
  <c r="E32" i="6"/>
  <c r="H32" i="6"/>
  <c r="O32" i="6"/>
  <c r="E33" i="6"/>
  <c r="H33" i="6"/>
  <c r="O33" i="6"/>
  <c r="E34" i="6"/>
  <c r="H34" i="6"/>
  <c r="O34" i="6"/>
  <c r="E35" i="6"/>
  <c r="F35" i="6" s="1"/>
  <c r="I35" i="6" s="1"/>
  <c r="H35" i="6"/>
  <c r="O35" i="6"/>
  <c r="E36" i="6"/>
  <c r="D36" i="6" s="1"/>
  <c r="H36" i="6"/>
  <c r="O36" i="6"/>
  <c r="E37" i="6"/>
  <c r="G37" i="6" s="1"/>
  <c r="H37" i="6"/>
  <c r="O37" i="6"/>
  <c r="E38" i="6"/>
  <c r="H38" i="6"/>
  <c r="O38" i="6"/>
  <c r="E39" i="6"/>
  <c r="H39" i="6"/>
  <c r="O39" i="6"/>
  <c r="E40" i="6"/>
  <c r="F40" i="6" s="1"/>
  <c r="I40" i="6" s="1"/>
  <c r="H40" i="6"/>
  <c r="O40" i="6"/>
  <c r="E41" i="6"/>
  <c r="C41" i="6" s="1"/>
  <c r="H41" i="6"/>
  <c r="O41" i="6"/>
  <c r="E42" i="6"/>
  <c r="H42" i="6"/>
  <c r="O42" i="6"/>
  <c r="E43" i="6"/>
  <c r="F43" i="6" s="1"/>
  <c r="I43" i="6" s="1"/>
  <c r="H43" i="6"/>
  <c r="O43" i="6"/>
  <c r="E44" i="6"/>
  <c r="H44" i="6"/>
  <c r="O44" i="6"/>
  <c r="E45" i="6"/>
  <c r="H45" i="6"/>
  <c r="O45" i="6"/>
  <c r="E46" i="6"/>
  <c r="H46" i="6"/>
  <c r="O46" i="6"/>
  <c r="E47" i="6"/>
  <c r="F47" i="6" s="1"/>
  <c r="I47" i="6" s="1"/>
  <c r="H47" i="6"/>
  <c r="O47" i="6"/>
  <c r="E48" i="6"/>
  <c r="H48" i="6"/>
  <c r="O48" i="6"/>
  <c r="E49" i="6"/>
  <c r="H49" i="6"/>
  <c r="O49" i="6"/>
  <c r="E50" i="6"/>
  <c r="H50" i="6"/>
  <c r="O50" i="6"/>
  <c r="E51" i="6"/>
  <c r="H51" i="6"/>
  <c r="O51" i="6"/>
  <c r="E52" i="6"/>
  <c r="H52" i="6"/>
  <c r="O52" i="6"/>
  <c r="E53" i="6"/>
  <c r="A53" i="6" s="1"/>
  <c r="H53" i="6"/>
  <c r="O53" i="6"/>
  <c r="E54" i="6"/>
  <c r="H54" i="6"/>
  <c r="O54" i="6"/>
  <c r="E55" i="6"/>
  <c r="H55" i="6"/>
  <c r="O55" i="6"/>
  <c r="E406" i="6"/>
  <c r="D406" i="6" s="1"/>
  <c r="H406" i="6"/>
  <c r="O406" i="6"/>
  <c r="E407" i="6"/>
  <c r="B407" i="6" s="1"/>
  <c r="H407" i="6"/>
  <c r="O407" i="6"/>
  <c r="E408" i="6"/>
  <c r="H408" i="6"/>
  <c r="O408" i="6"/>
  <c r="E409" i="6"/>
  <c r="F409" i="6" s="1"/>
  <c r="I409" i="6" s="1"/>
  <c r="H409" i="6"/>
  <c r="O409" i="6"/>
  <c r="E410" i="6"/>
  <c r="H410" i="6"/>
  <c r="O410" i="6"/>
  <c r="E411" i="6"/>
  <c r="H411" i="6"/>
  <c r="O411" i="6"/>
  <c r="E412" i="6"/>
  <c r="H412" i="6"/>
  <c r="O412" i="6"/>
  <c r="E413" i="6"/>
  <c r="G413" i="6" s="1"/>
  <c r="H413" i="6"/>
  <c r="O413" i="6"/>
  <c r="E414" i="6"/>
  <c r="H414" i="6"/>
  <c r="O414" i="6"/>
  <c r="E415" i="6"/>
  <c r="F415" i="6" s="1"/>
  <c r="I415" i="6" s="1"/>
  <c r="H415" i="6"/>
  <c r="O415" i="6"/>
  <c r="E416" i="6"/>
  <c r="H416" i="6"/>
  <c r="H418" i="6"/>
  <c r="E419" i="6"/>
  <c r="A419" i="6" s="1"/>
  <c r="O421" i="6"/>
  <c r="E428" i="6"/>
  <c r="D428" i="6" s="1"/>
  <c r="O417" i="6"/>
  <c r="O418" i="6"/>
  <c r="H419" i="6"/>
  <c r="E423" i="6"/>
  <c r="F423" i="6" s="1"/>
  <c r="I423" i="6" s="1"/>
  <c r="H423" i="6"/>
  <c r="O424" i="6"/>
  <c r="E425" i="6"/>
  <c r="H426" i="6"/>
  <c r="H430" i="6"/>
  <c r="O430" i="6"/>
  <c r="O416" i="6"/>
  <c r="E417" i="6"/>
  <c r="F417" i="6" s="1"/>
  <c r="I417" i="6" s="1"/>
  <c r="H417" i="6"/>
  <c r="E418" i="6"/>
  <c r="F418" i="6" s="1"/>
  <c r="I418" i="6" s="1"/>
  <c r="O419" i="6"/>
  <c r="H420" i="6"/>
  <c r="O420" i="6"/>
  <c r="E421" i="6"/>
  <c r="B421" i="6" s="1"/>
  <c r="H421" i="6"/>
  <c r="E422" i="6"/>
  <c r="F422" i="6" s="1"/>
  <c r="I422" i="6" s="1"/>
  <c r="H422" i="6"/>
  <c r="O422" i="6"/>
  <c r="E427" i="6"/>
  <c r="O427" i="6"/>
  <c r="H428" i="6"/>
  <c r="E429" i="6"/>
  <c r="D429" i="6" s="1"/>
  <c r="H429" i="6"/>
  <c r="O429" i="6"/>
  <c r="E430" i="6"/>
  <c r="C430" i="6" s="1"/>
  <c r="E420" i="6"/>
  <c r="O423" i="6"/>
  <c r="E424" i="6"/>
  <c r="F424" i="6" s="1"/>
  <c r="I424" i="6" s="1"/>
  <c r="H424" i="6"/>
  <c r="H425" i="6"/>
  <c r="O425" i="6"/>
  <c r="E426" i="6"/>
  <c r="A426" i="6" s="1"/>
  <c r="O426" i="6"/>
  <c r="H427" i="6"/>
  <c r="O428" i="6"/>
  <c r="E181" i="6"/>
  <c r="C181" i="6" s="1"/>
  <c r="H181" i="6"/>
  <c r="O181" i="6"/>
  <c r="E182" i="6"/>
  <c r="H182" i="6"/>
  <c r="O182" i="6"/>
  <c r="E183" i="6"/>
  <c r="F183" i="6" s="1"/>
  <c r="I183" i="6" s="1"/>
  <c r="H183" i="6"/>
  <c r="O183" i="6"/>
  <c r="E184" i="6"/>
  <c r="D184" i="6" s="1"/>
  <c r="H184" i="6"/>
  <c r="O184" i="6"/>
  <c r="E185" i="6"/>
  <c r="C185" i="6" s="1"/>
  <c r="H185" i="6"/>
  <c r="O186" i="6"/>
  <c r="E187" i="6"/>
  <c r="H187" i="6"/>
  <c r="O187" i="6"/>
  <c r="E188" i="6"/>
  <c r="C188" i="6" s="1"/>
  <c r="H188" i="6"/>
  <c r="O188" i="6"/>
  <c r="E189" i="6"/>
  <c r="H189" i="6"/>
  <c r="O189" i="6"/>
  <c r="E190" i="6"/>
  <c r="H190" i="6"/>
  <c r="O190" i="6"/>
  <c r="E191" i="6"/>
  <c r="H191" i="6"/>
  <c r="O191" i="6"/>
  <c r="E192" i="6"/>
  <c r="H192" i="6"/>
  <c r="O192" i="6"/>
  <c r="E193" i="6"/>
  <c r="H193" i="6"/>
  <c r="O193" i="6"/>
  <c r="E194" i="6"/>
  <c r="F194" i="6" s="1"/>
  <c r="I194" i="6" s="1"/>
  <c r="H194" i="6"/>
  <c r="O194" i="6"/>
  <c r="E195" i="6"/>
  <c r="H195" i="6"/>
  <c r="O195" i="6"/>
  <c r="E196" i="6"/>
  <c r="H196" i="6"/>
  <c r="O196" i="6"/>
  <c r="E197" i="6"/>
  <c r="H197" i="6"/>
  <c r="O197" i="6"/>
  <c r="E198" i="6"/>
  <c r="G198" i="6" s="1"/>
  <c r="H198" i="6"/>
  <c r="O198" i="6"/>
  <c r="E199" i="6"/>
  <c r="H199" i="6"/>
  <c r="O199" i="6"/>
  <c r="E200" i="6"/>
  <c r="C200" i="6" s="1"/>
  <c r="H200" i="6"/>
  <c r="O200" i="6"/>
  <c r="E201" i="6"/>
  <c r="H201" i="6"/>
  <c r="O201" i="6"/>
  <c r="E202" i="6"/>
  <c r="H202" i="6"/>
  <c r="O202" i="6"/>
  <c r="E203" i="6"/>
  <c r="H203" i="6"/>
  <c r="O203" i="6"/>
  <c r="E204" i="6"/>
  <c r="C204" i="6" s="1"/>
  <c r="H204" i="6"/>
  <c r="O204" i="6"/>
  <c r="E205" i="6"/>
  <c r="H205" i="6"/>
  <c r="O205" i="6"/>
  <c r="O185" i="6"/>
  <c r="E186" i="6"/>
  <c r="H186" i="6"/>
  <c r="F531" i="6"/>
  <c r="I531" i="6" s="1"/>
  <c r="J531" i="6" s="1"/>
  <c r="G531" i="6"/>
  <c r="A531" i="6"/>
  <c r="B531" i="6"/>
  <c r="C531" i="6"/>
  <c r="D531" i="6"/>
  <c r="F532" i="6"/>
  <c r="I532" i="6" s="1"/>
  <c r="J532" i="6" s="1"/>
  <c r="G532" i="6"/>
  <c r="A532" i="6"/>
  <c r="B532" i="6"/>
  <c r="C532" i="6"/>
  <c r="D532" i="6"/>
  <c r="F534" i="6"/>
  <c r="I534" i="6" s="1"/>
  <c r="G534" i="6"/>
  <c r="A534" i="6"/>
  <c r="C534" i="6"/>
  <c r="D534" i="6"/>
  <c r="F535" i="6"/>
  <c r="I535" i="6" s="1"/>
  <c r="J535" i="6" s="1"/>
  <c r="L535" i="6" s="1"/>
  <c r="G535" i="6"/>
  <c r="A535" i="6"/>
  <c r="B535" i="6"/>
  <c r="C535" i="6"/>
  <c r="D535" i="6"/>
  <c r="F536" i="6"/>
  <c r="I536" i="6" s="1"/>
  <c r="J536" i="6" s="1"/>
  <c r="G536" i="6"/>
  <c r="A536" i="6"/>
  <c r="B536" i="6"/>
  <c r="C536" i="6"/>
  <c r="D536" i="6"/>
  <c r="G538" i="6"/>
  <c r="A538" i="6"/>
  <c r="B538" i="6"/>
  <c r="D538" i="6"/>
  <c r="F539" i="6"/>
  <c r="I539" i="6" s="1"/>
  <c r="J539" i="6" s="1"/>
  <c r="L539" i="6" s="1"/>
  <c r="G539" i="6"/>
  <c r="A539" i="6"/>
  <c r="B539" i="6"/>
  <c r="C539" i="6"/>
  <c r="D539" i="6"/>
  <c r="F540" i="6"/>
  <c r="I540" i="6" s="1"/>
  <c r="J540" i="6" s="1"/>
  <c r="G540" i="6"/>
  <c r="A540" i="6"/>
  <c r="B540" i="6"/>
  <c r="C540" i="6"/>
  <c r="D540" i="6"/>
  <c r="F542" i="6"/>
  <c r="I542" i="6" s="1"/>
  <c r="G542" i="6"/>
  <c r="A542" i="6"/>
  <c r="C542" i="6"/>
  <c r="D542" i="6"/>
  <c r="F543" i="6"/>
  <c r="I543" i="6" s="1"/>
  <c r="J543" i="6" s="1"/>
  <c r="G543" i="6"/>
  <c r="A543" i="6"/>
  <c r="B543" i="6"/>
  <c r="C543" i="6"/>
  <c r="D543" i="6"/>
  <c r="F544" i="6"/>
  <c r="I544" i="6" s="1"/>
  <c r="J544" i="6" s="1"/>
  <c r="G544" i="6"/>
  <c r="A544" i="6"/>
  <c r="B544" i="6"/>
  <c r="C544" i="6"/>
  <c r="D544" i="6"/>
  <c r="F546" i="6"/>
  <c r="I546" i="6" s="1"/>
  <c r="G546" i="6"/>
  <c r="B546" i="6"/>
  <c r="C546" i="6"/>
  <c r="D546" i="6"/>
  <c r="F547" i="6"/>
  <c r="I547" i="6" s="1"/>
  <c r="G547" i="6"/>
  <c r="A547" i="6"/>
  <c r="B547" i="6"/>
  <c r="C547" i="6"/>
  <c r="D547" i="6"/>
  <c r="F548" i="6"/>
  <c r="I548" i="6" s="1"/>
  <c r="J548" i="6" s="1"/>
  <c r="G548" i="6"/>
  <c r="A548" i="6"/>
  <c r="B548" i="6"/>
  <c r="C548" i="6"/>
  <c r="D548" i="6"/>
  <c r="F550" i="6"/>
  <c r="I550" i="6" s="1"/>
  <c r="A550" i="6"/>
  <c r="B550" i="6"/>
  <c r="C550" i="6"/>
  <c r="F551" i="6"/>
  <c r="I551" i="6" s="1"/>
  <c r="J551" i="6" s="1"/>
  <c r="L551" i="6" s="1"/>
  <c r="G551" i="6"/>
  <c r="A551" i="6"/>
  <c r="B551" i="6"/>
  <c r="C551" i="6"/>
  <c r="D551" i="6"/>
  <c r="F552" i="6"/>
  <c r="I552" i="6" s="1"/>
  <c r="J552" i="6" s="1"/>
  <c r="L552" i="6" s="1"/>
  <c r="G552" i="6"/>
  <c r="A552" i="6"/>
  <c r="B552" i="6"/>
  <c r="C552" i="6"/>
  <c r="D552" i="6"/>
  <c r="G554" i="6"/>
  <c r="A554" i="6"/>
  <c r="C554" i="6"/>
  <c r="D554" i="6"/>
  <c r="F555" i="6"/>
  <c r="I555" i="6" s="1"/>
  <c r="J555" i="6" s="1"/>
  <c r="L555" i="6" s="1"/>
  <c r="G555" i="6"/>
  <c r="A555" i="6"/>
  <c r="B555" i="6"/>
  <c r="C555" i="6"/>
  <c r="D555" i="6"/>
  <c r="F306" i="6"/>
  <c r="I306" i="6" s="1"/>
  <c r="J306" i="6" s="1"/>
  <c r="G306" i="6"/>
  <c r="A306" i="6"/>
  <c r="B306" i="6"/>
  <c r="C306" i="6"/>
  <c r="D306" i="6"/>
  <c r="F308" i="6"/>
  <c r="I308" i="6"/>
  <c r="A308" i="6"/>
  <c r="B308" i="6"/>
  <c r="C308" i="6"/>
  <c r="F309" i="6"/>
  <c r="I309" i="6" s="1"/>
  <c r="J309" i="6" s="1"/>
  <c r="G309" i="6"/>
  <c r="A309" i="6"/>
  <c r="B309" i="6"/>
  <c r="C309" i="6"/>
  <c r="D309" i="6"/>
  <c r="F310" i="6"/>
  <c r="I310" i="6" s="1"/>
  <c r="J310" i="6" s="1"/>
  <c r="N310" i="6" s="1"/>
  <c r="G310" i="6"/>
  <c r="A310" i="6"/>
  <c r="B310" i="6"/>
  <c r="C310" i="6"/>
  <c r="D310" i="6"/>
  <c r="G312" i="6"/>
  <c r="B312" i="6"/>
  <c r="D312" i="6"/>
  <c r="F313" i="6"/>
  <c r="I313" i="6" s="1"/>
  <c r="J313" i="6" s="1"/>
  <c r="G313" i="6"/>
  <c r="A313" i="6"/>
  <c r="B313" i="6"/>
  <c r="C313" i="6"/>
  <c r="D313" i="6"/>
  <c r="F314" i="6"/>
  <c r="I314" i="6" s="1"/>
  <c r="J314" i="6" s="1"/>
  <c r="G314" i="6"/>
  <c r="A314" i="6"/>
  <c r="B314" i="6"/>
  <c r="C314" i="6"/>
  <c r="D314" i="6"/>
  <c r="D315" i="6"/>
  <c r="F316" i="6"/>
  <c r="I316" i="6" s="1"/>
  <c r="G316" i="6"/>
  <c r="C316" i="6"/>
  <c r="D316" i="6"/>
  <c r="F317" i="6"/>
  <c r="I317" i="6" s="1"/>
  <c r="J317" i="6" s="1"/>
  <c r="G317" i="6"/>
  <c r="A317" i="6"/>
  <c r="B317" i="6"/>
  <c r="C317" i="6"/>
  <c r="D317" i="6"/>
  <c r="F318" i="6"/>
  <c r="I318" i="6" s="1"/>
  <c r="J318" i="6" s="1"/>
  <c r="N318" i="6" s="1"/>
  <c r="G318" i="6"/>
  <c r="A318" i="6"/>
  <c r="B318" i="6"/>
  <c r="C318" i="6"/>
  <c r="D318" i="6"/>
  <c r="F320" i="6"/>
  <c r="I320" i="6" s="1"/>
  <c r="B320" i="6"/>
  <c r="C320" i="6"/>
  <c r="F321" i="6"/>
  <c r="I321" i="6" s="1"/>
  <c r="J321" i="6" s="1"/>
  <c r="G321" i="6"/>
  <c r="A321" i="6"/>
  <c r="B321" i="6"/>
  <c r="C321" i="6"/>
  <c r="D321" i="6"/>
  <c r="F322" i="6"/>
  <c r="I322" i="6" s="1"/>
  <c r="J322" i="6" s="1"/>
  <c r="N322" i="6" s="1"/>
  <c r="G322" i="6"/>
  <c r="A322" i="6"/>
  <c r="B322" i="6"/>
  <c r="C322" i="6"/>
  <c r="D322" i="6"/>
  <c r="A324" i="6"/>
  <c r="B324" i="6"/>
  <c r="F325" i="6"/>
  <c r="I325" i="6" s="1"/>
  <c r="J325" i="6" s="1"/>
  <c r="G325" i="6"/>
  <c r="A325" i="6"/>
  <c r="B325" i="6"/>
  <c r="C325" i="6"/>
  <c r="D325" i="6"/>
  <c r="F326" i="6"/>
  <c r="I326" i="6" s="1"/>
  <c r="J326" i="6" s="1"/>
  <c r="N326" i="6" s="1"/>
  <c r="G326" i="6"/>
  <c r="A326" i="6"/>
  <c r="B326" i="6"/>
  <c r="C326" i="6"/>
  <c r="D326" i="6"/>
  <c r="G327" i="6"/>
  <c r="G328" i="6"/>
  <c r="B328" i="6"/>
  <c r="C328" i="6"/>
  <c r="F329" i="6"/>
  <c r="I329" i="6" s="1"/>
  <c r="J329" i="6" s="1"/>
  <c r="G329" i="6"/>
  <c r="A329" i="6"/>
  <c r="B329" i="6"/>
  <c r="C329" i="6"/>
  <c r="D329" i="6"/>
  <c r="F330" i="6"/>
  <c r="I330" i="6" s="1"/>
  <c r="J330" i="6" s="1"/>
  <c r="N330" i="6" s="1"/>
  <c r="G330" i="6"/>
  <c r="A330" i="6"/>
  <c r="B330" i="6"/>
  <c r="C330" i="6"/>
  <c r="D330" i="6"/>
  <c r="F158" i="6"/>
  <c r="I158" i="6" s="1"/>
  <c r="F169" i="6"/>
  <c r="I169" i="6" s="1"/>
  <c r="G169" i="6"/>
  <c r="A169" i="6"/>
  <c r="B169" i="6"/>
  <c r="C169" i="6"/>
  <c r="D169" i="6"/>
  <c r="F173" i="6"/>
  <c r="I173" i="6" s="1"/>
  <c r="G173" i="6"/>
  <c r="A173" i="6"/>
  <c r="B173" i="6"/>
  <c r="C173" i="6"/>
  <c r="D173" i="6"/>
  <c r="G556" i="6"/>
  <c r="C556" i="6"/>
  <c r="D556" i="6"/>
  <c r="F557" i="6"/>
  <c r="I557" i="6" s="1"/>
  <c r="J557" i="6" s="1"/>
  <c r="G557" i="6"/>
  <c r="A557" i="6"/>
  <c r="B557" i="6"/>
  <c r="C557" i="6"/>
  <c r="D557" i="6"/>
  <c r="F559" i="6"/>
  <c r="I559" i="6" s="1"/>
  <c r="G559" i="6"/>
  <c r="C559" i="6"/>
  <c r="D559" i="6"/>
  <c r="G560" i="6"/>
  <c r="B560" i="6"/>
  <c r="C560" i="6"/>
  <c r="F561" i="6"/>
  <c r="I561" i="6" s="1"/>
  <c r="J561" i="6" s="1"/>
  <c r="G561" i="6"/>
  <c r="A561" i="6"/>
  <c r="B561" i="6"/>
  <c r="C561" i="6"/>
  <c r="D561" i="6"/>
  <c r="G563" i="6"/>
  <c r="A563" i="6"/>
  <c r="D563" i="6"/>
  <c r="G564" i="6"/>
  <c r="A564" i="6"/>
  <c r="B564" i="6"/>
  <c r="F565" i="6"/>
  <c r="I565" i="6" s="1"/>
  <c r="J565" i="6" s="1"/>
  <c r="G565" i="6"/>
  <c r="A565" i="6"/>
  <c r="B565" i="6"/>
  <c r="C565" i="6"/>
  <c r="D565" i="6"/>
  <c r="F567" i="6"/>
  <c r="I567" i="6" s="1"/>
  <c r="G567" i="6"/>
  <c r="B567" i="6"/>
  <c r="D567" i="6"/>
  <c r="F568" i="6"/>
  <c r="I568" i="6" s="1"/>
  <c r="J568" i="6" s="1"/>
  <c r="G568" i="6"/>
  <c r="C568" i="6"/>
  <c r="D568" i="6"/>
  <c r="F569" i="6"/>
  <c r="I569" i="6" s="1"/>
  <c r="G569" i="6"/>
  <c r="A569" i="6"/>
  <c r="B569" i="6"/>
  <c r="C569" i="6"/>
  <c r="D569" i="6"/>
  <c r="F571" i="6"/>
  <c r="I571" i="6" s="1"/>
  <c r="B571" i="6"/>
  <c r="C571" i="6"/>
  <c r="D571" i="6"/>
  <c r="F572" i="6"/>
  <c r="I572" i="6" s="1"/>
  <c r="J572" i="6" s="1"/>
  <c r="L572" i="6" s="1"/>
  <c r="A572" i="6"/>
  <c r="C572" i="6"/>
  <c r="D572" i="6"/>
  <c r="F573" i="6"/>
  <c r="I573" i="6" s="1"/>
  <c r="J573" i="6" s="1"/>
  <c r="G573" i="6"/>
  <c r="A573" i="6"/>
  <c r="B573" i="6"/>
  <c r="C573" i="6"/>
  <c r="D573" i="6"/>
  <c r="F575" i="6"/>
  <c r="I575" i="6" s="1"/>
  <c r="G575" i="6"/>
  <c r="C575" i="6"/>
  <c r="D575" i="6"/>
  <c r="G576" i="6"/>
  <c r="A576" i="6"/>
  <c r="C576" i="6"/>
  <c r="F577" i="6"/>
  <c r="I577" i="6" s="1"/>
  <c r="J577" i="6" s="1"/>
  <c r="G577" i="6"/>
  <c r="A577" i="6"/>
  <c r="B577" i="6"/>
  <c r="C577" i="6"/>
  <c r="D577" i="6"/>
  <c r="F579" i="6"/>
  <c r="I579" i="6" s="1"/>
  <c r="A579" i="6"/>
  <c r="C579" i="6"/>
  <c r="D579" i="6"/>
  <c r="F580" i="6"/>
  <c r="I580" i="6" s="1"/>
  <c r="G580" i="6"/>
  <c r="A580" i="6"/>
  <c r="D580" i="6"/>
  <c r="D433" i="6"/>
  <c r="F438" i="6"/>
  <c r="I438" i="6" s="1"/>
  <c r="J438" i="6" s="1"/>
  <c r="M438" i="6" s="1"/>
  <c r="C438" i="6"/>
  <c r="G438" i="6"/>
  <c r="B438" i="6"/>
  <c r="F443" i="6"/>
  <c r="I443" i="6" s="1"/>
  <c r="G443" i="6"/>
  <c r="C443" i="6"/>
  <c r="D443" i="6"/>
  <c r="A444" i="6"/>
  <c r="B444" i="6"/>
  <c r="C444" i="6"/>
  <c r="F445" i="6"/>
  <c r="I445" i="6" s="1"/>
  <c r="J445" i="6" s="1"/>
  <c r="G445" i="6"/>
  <c r="A445" i="6"/>
  <c r="B445" i="6"/>
  <c r="C445" i="6"/>
  <c r="D445" i="6"/>
  <c r="G446" i="6"/>
  <c r="G447" i="6"/>
  <c r="A447" i="6"/>
  <c r="D447" i="6"/>
  <c r="G448" i="6"/>
  <c r="B448" i="6"/>
  <c r="D448" i="6"/>
  <c r="F449" i="6"/>
  <c r="I449" i="6" s="1"/>
  <c r="G449" i="6"/>
  <c r="A449" i="6"/>
  <c r="B449" i="6"/>
  <c r="C449" i="6"/>
  <c r="D449" i="6"/>
  <c r="F451" i="6"/>
  <c r="I451" i="6" s="1"/>
  <c r="G451" i="6"/>
  <c r="B451" i="6"/>
  <c r="D451" i="6"/>
  <c r="G452" i="6"/>
  <c r="B452" i="6"/>
  <c r="C452" i="6"/>
  <c r="F453" i="6"/>
  <c r="I453" i="6" s="1"/>
  <c r="J453" i="6" s="1"/>
  <c r="N453" i="6" s="1"/>
  <c r="G453" i="6"/>
  <c r="A453" i="6"/>
  <c r="B453" i="6"/>
  <c r="C453" i="6"/>
  <c r="D453" i="6"/>
  <c r="F455" i="6"/>
  <c r="I455" i="6" s="1"/>
  <c r="G455" i="6"/>
  <c r="C455" i="6"/>
  <c r="D455" i="6"/>
  <c r="G431" i="6"/>
  <c r="B431" i="6"/>
  <c r="F431" i="6"/>
  <c r="I431" i="6" s="1"/>
  <c r="J431" i="6" s="1"/>
  <c r="M431" i="6" s="1"/>
  <c r="A431" i="6"/>
  <c r="B435" i="6"/>
  <c r="G435" i="6"/>
  <c r="C435" i="6"/>
  <c r="C439" i="6"/>
  <c r="A439" i="6"/>
  <c r="B439" i="6"/>
  <c r="C441" i="6"/>
  <c r="F441" i="6"/>
  <c r="I441" i="6" s="1"/>
  <c r="D441" i="6"/>
  <c r="G442" i="6"/>
  <c r="B442" i="6"/>
  <c r="D442" i="6"/>
  <c r="F442" i="6"/>
  <c r="I442" i="6" s="1"/>
  <c r="J442" i="6" s="1"/>
  <c r="M442" i="6" s="1"/>
  <c r="A442" i="6"/>
  <c r="C442" i="6"/>
  <c r="F432" i="6"/>
  <c r="I432" i="6" s="1"/>
  <c r="J432" i="6" s="1"/>
  <c r="B432" i="6"/>
  <c r="A432" i="6"/>
  <c r="A437" i="6"/>
  <c r="D437" i="6"/>
  <c r="G437" i="6"/>
  <c r="C437" i="6"/>
  <c r="F437" i="6"/>
  <c r="I437" i="6" s="1"/>
  <c r="J437" i="6" s="1"/>
  <c r="L437" i="6" s="1"/>
  <c r="B437" i="6"/>
  <c r="F207" i="6"/>
  <c r="F208" i="6"/>
  <c r="G208" i="6"/>
  <c r="A208" i="6"/>
  <c r="B208" i="6"/>
  <c r="C208" i="6"/>
  <c r="D208" i="6"/>
  <c r="G210" i="6"/>
  <c r="A210" i="6"/>
  <c r="D210" i="6"/>
  <c r="A212" i="6"/>
  <c r="F213" i="6"/>
  <c r="G213" i="6"/>
  <c r="D213" i="6"/>
  <c r="F214" i="6"/>
  <c r="G214" i="6"/>
  <c r="C214" i="6"/>
  <c r="D214" i="6"/>
  <c r="B216" i="6"/>
  <c r="D216" i="6"/>
  <c r="A217" i="6"/>
  <c r="C217" i="6"/>
  <c r="F218" i="6"/>
  <c r="G218" i="6"/>
  <c r="A218" i="6"/>
  <c r="B218" i="6"/>
  <c r="C218" i="6"/>
  <c r="D218" i="6"/>
  <c r="F220" i="6"/>
  <c r="C220" i="6"/>
  <c r="D220" i="6"/>
  <c r="F221" i="6"/>
  <c r="G221" i="6"/>
  <c r="A221" i="6"/>
  <c r="B221" i="6"/>
  <c r="C221" i="6"/>
  <c r="D221" i="6"/>
  <c r="F223" i="6"/>
  <c r="I223" i="6" s="1"/>
  <c r="J223" i="6" s="1"/>
  <c r="L223" i="6" s="1"/>
  <c r="C223" i="6"/>
  <c r="D223" i="6"/>
  <c r="G224" i="6"/>
  <c r="D224" i="6"/>
  <c r="F225" i="6"/>
  <c r="I225" i="6" s="1"/>
  <c r="J225" i="6" s="1"/>
  <c r="G225" i="6"/>
  <c r="A225" i="6"/>
  <c r="B225" i="6"/>
  <c r="C225" i="6"/>
  <c r="D225" i="6"/>
  <c r="D226" i="6"/>
  <c r="B227" i="6"/>
  <c r="D227" i="6"/>
  <c r="G228" i="6"/>
  <c r="B228" i="6"/>
  <c r="F229" i="6"/>
  <c r="I229" i="6" s="1"/>
  <c r="G229" i="6"/>
  <c r="A229" i="6"/>
  <c r="B229" i="6"/>
  <c r="C229" i="6"/>
  <c r="D229" i="6"/>
  <c r="B230" i="6"/>
  <c r="G81" i="6"/>
  <c r="A81" i="6"/>
  <c r="C82" i="6"/>
  <c r="D82" i="6"/>
  <c r="F83" i="6"/>
  <c r="I83" i="6" s="1"/>
  <c r="G83" i="6"/>
  <c r="A83" i="6"/>
  <c r="B83" i="6"/>
  <c r="C83" i="6"/>
  <c r="D83" i="6"/>
  <c r="D84" i="6"/>
  <c r="F85" i="6"/>
  <c r="I85" i="6" s="1"/>
  <c r="G85" i="6"/>
  <c r="D85" i="6"/>
  <c r="G86" i="6"/>
  <c r="F87" i="6"/>
  <c r="I87" i="6" s="1"/>
  <c r="G87" i="6"/>
  <c r="A87" i="6"/>
  <c r="B87" i="6"/>
  <c r="C87" i="6"/>
  <c r="D87" i="6"/>
  <c r="B88" i="6"/>
  <c r="G89" i="6"/>
  <c r="B89" i="6"/>
  <c r="B90" i="6"/>
  <c r="F91" i="6"/>
  <c r="I91" i="6" s="1"/>
  <c r="G91" i="6"/>
  <c r="A91" i="6"/>
  <c r="B91" i="6"/>
  <c r="C91" i="6"/>
  <c r="D91" i="6"/>
  <c r="F93" i="6"/>
  <c r="I93" i="6" s="1"/>
  <c r="J93" i="6" s="1"/>
  <c r="K93" i="6" s="1"/>
  <c r="B93" i="6"/>
  <c r="C93" i="6"/>
  <c r="F94" i="6"/>
  <c r="I94" i="6" s="1"/>
  <c r="G94" i="6"/>
  <c r="C94" i="6"/>
  <c r="D94" i="6"/>
  <c r="A94" i="6"/>
  <c r="B94" i="6"/>
  <c r="A96" i="6"/>
  <c r="B96" i="6"/>
  <c r="F98" i="6"/>
  <c r="I98" i="6" s="1"/>
  <c r="G98" i="6"/>
  <c r="A98" i="6"/>
  <c r="B98" i="6"/>
  <c r="C98" i="6"/>
  <c r="D98" i="6"/>
  <c r="B99" i="6"/>
  <c r="G100" i="6"/>
  <c r="D100" i="6"/>
  <c r="F102" i="6"/>
  <c r="I102" i="6" s="1"/>
  <c r="G102" i="6"/>
  <c r="A102" i="6"/>
  <c r="B102" i="6"/>
  <c r="C102" i="6"/>
  <c r="D102" i="6"/>
  <c r="G104" i="6"/>
  <c r="A104" i="6"/>
  <c r="B356" i="6"/>
  <c r="D356" i="6"/>
  <c r="F357" i="6"/>
  <c r="I357" i="6" s="1"/>
  <c r="G357" i="6"/>
  <c r="A357" i="6"/>
  <c r="B357" i="6"/>
  <c r="C357" i="6"/>
  <c r="D357" i="6"/>
  <c r="D358" i="6"/>
  <c r="G359" i="6"/>
  <c r="B359" i="6"/>
  <c r="F361" i="6"/>
  <c r="I361" i="6" s="1"/>
  <c r="G361" i="6"/>
  <c r="A361" i="6"/>
  <c r="B361" i="6"/>
  <c r="C361" i="6"/>
  <c r="D361" i="6"/>
  <c r="G363" i="6"/>
  <c r="A363" i="6"/>
  <c r="D363" i="6"/>
  <c r="B364" i="6"/>
  <c r="F365" i="6"/>
  <c r="I365" i="6" s="1"/>
  <c r="G365" i="6"/>
  <c r="A365" i="6"/>
  <c r="B365" i="6"/>
  <c r="C365" i="6"/>
  <c r="D365" i="6"/>
  <c r="G367" i="6"/>
  <c r="A367" i="6"/>
  <c r="D367" i="6"/>
  <c r="F369" i="6"/>
  <c r="I369" i="6"/>
  <c r="G369" i="6"/>
  <c r="A369" i="6"/>
  <c r="B369" i="6"/>
  <c r="C369" i="6"/>
  <c r="D369" i="6"/>
  <c r="F371" i="6"/>
  <c r="I371" i="6" s="1"/>
  <c r="B371" i="6"/>
  <c r="C371" i="6"/>
  <c r="B372" i="6"/>
  <c r="F373" i="6"/>
  <c r="I373" i="6" s="1"/>
  <c r="G373" i="6"/>
  <c r="A373" i="6"/>
  <c r="B373" i="6"/>
  <c r="C373" i="6"/>
  <c r="D373" i="6"/>
  <c r="F375" i="6"/>
  <c r="I375" i="6" s="1"/>
  <c r="B375" i="6"/>
  <c r="C375" i="6"/>
  <c r="G376" i="6"/>
  <c r="F377" i="6"/>
  <c r="I377" i="6" s="1"/>
  <c r="G377" i="6"/>
  <c r="A377" i="6"/>
  <c r="B377" i="6"/>
  <c r="C377" i="6"/>
  <c r="D377" i="6"/>
  <c r="A379" i="6"/>
  <c r="B379" i="6"/>
  <c r="A380" i="6"/>
  <c r="F231" i="6"/>
  <c r="I231" i="6" s="1"/>
  <c r="G231" i="6"/>
  <c r="A231" i="6"/>
  <c r="B231" i="6"/>
  <c r="C231" i="6"/>
  <c r="D231" i="6"/>
  <c r="F232" i="6"/>
  <c r="I232" i="6" s="1"/>
  <c r="C232" i="6"/>
  <c r="F235" i="6"/>
  <c r="I235" i="6" s="1"/>
  <c r="G235" i="6"/>
  <c r="A235" i="6"/>
  <c r="B235" i="6"/>
  <c r="C235" i="6"/>
  <c r="D235" i="6"/>
  <c r="F239" i="6"/>
  <c r="I239" i="6" s="1"/>
  <c r="G239" i="6"/>
  <c r="A239" i="6"/>
  <c r="B239" i="6"/>
  <c r="C239" i="6"/>
  <c r="D239" i="6"/>
  <c r="F243" i="6"/>
  <c r="I243" i="6" s="1"/>
  <c r="G243" i="6"/>
  <c r="A243" i="6"/>
  <c r="B243" i="6"/>
  <c r="C243" i="6"/>
  <c r="D243" i="6"/>
  <c r="A247" i="6"/>
  <c r="F251" i="6"/>
  <c r="I251" i="6" s="1"/>
  <c r="G251" i="6"/>
  <c r="A251" i="6"/>
  <c r="B251" i="6"/>
  <c r="C251" i="6"/>
  <c r="D251" i="6"/>
  <c r="F255" i="6"/>
  <c r="I255" i="6" s="1"/>
  <c r="G255" i="6"/>
  <c r="A255" i="6"/>
  <c r="B255" i="6"/>
  <c r="C255" i="6"/>
  <c r="D255" i="6"/>
  <c r="F106" i="6"/>
  <c r="G106" i="6"/>
  <c r="A106" i="6"/>
  <c r="B106" i="6"/>
  <c r="C106" i="6"/>
  <c r="D106" i="6"/>
  <c r="G108" i="6"/>
  <c r="F109" i="6"/>
  <c r="G109" i="6"/>
  <c r="A109" i="6"/>
  <c r="B109" i="6"/>
  <c r="C109" i="6"/>
  <c r="D109" i="6"/>
  <c r="F110" i="6"/>
  <c r="B110" i="6"/>
  <c r="C110" i="6"/>
  <c r="F112" i="6"/>
  <c r="I112" i="6" s="1"/>
  <c r="J112" i="6" s="1"/>
  <c r="M112" i="6" s="1"/>
  <c r="G112" i="6"/>
  <c r="A112" i="6"/>
  <c r="B112" i="6"/>
  <c r="C112" i="6"/>
  <c r="D112" i="6"/>
  <c r="G113" i="6"/>
  <c r="C113" i="6"/>
  <c r="D113" i="6"/>
  <c r="F114" i="6"/>
  <c r="I114" i="6" s="1"/>
  <c r="C114" i="6"/>
  <c r="B115" i="6"/>
  <c r="F116" i="6"/>
  <c r="I116" i="6" s="1"/>
  <c r="G116" i="6"/>
  <c r="A116" i="6"/>
  <c r="B116" i="6"/>
  <c r="C116" i="6"/>
  <c r="D116" i="6"/>
  <c r="F117" i="6"/>
  <c r="I117" i="6" s="1"/>
  <c r="J117" i="6" s="1"/>
  <c r="N117" i="6" s="1"/>
  <c r="C117" i="6"/>
  <c r="C118" i="6"/>
  <c r="F120" i="6"/>
  <c r="I120" i="6" s="1"/>
  <c r="G120" i="6"/>
  <c r="A120" i="6"/>
  <c r="B120" i="6"/>
  <c r="C120" i="6"/>
  <c r="D120" i="6"/>
  <c r="B121" i="6"/>
  <c r="F122" i="6"/>
  <c r="I122" i="6" s="1"/>
  <c r="J122" i="6" s="1"/>
  <c r="M122" i="6" s="1"/>
  <c r="D122" i="6"/>
  <c r="F124" i="6"/>
  <c r="I124" i="6" s="1"/>
  <c r="G124" i="6"/>
  <c r="A124" i="6"/>
  <c r="B124" i="6"/>
  <c r="C124" i="6"/>
  <c r="D124" i="6"/>
  <c r="B125" i="6"/>
  <c r="A126" i="6"/>
  <c r="B127" i="6"/>
  <c r="F128" i="6"/>
  <c r="I128" i="6" s="1"/>
  <c r="G128" i="6"/>
  <c r="A128" i="6"/>
  <c r="B128" i="6"/>
  <c r="C128" i="6"/>
  <c r="D128" i="6"/>
  <c r="A129" i="6"/>
  <c r="D129" i="6"/>
  <c r="G130" i="6"/>
  <c r="D130" i="6"/>
  <c r="F585" i="6"/>
  <c r="I585" i="6" s="1"/>
  <c r="G585" i="6"/>
  <c r="A585" i="6"/>
  <c r="B585" i="6"/>
  <c r="C585" i="6"/>
  <c r="D585" i="6"/>
  <c r="F589" i="6"/>
  <c r="I589" i="6" s="1"/>
  <c r="G589" i="6"/>
  <c r="A589" i="6"/>
  <c r="B589" i="6"/>
  <c r="C589" i="6"/>
  <c r="D589" i="6"/>
  <c r="F593" i="6"/>
  <c r="I593" i="6" s="1"/>
  <c r="G593" i="6"/>
  <c r="A593" i="6"/>
  <c r="B593" i="6"/>
  <c r="C593" i="6"/>
  <c r="D593" i="6"/>
  <c r="F601" i="6"/>
  <c r="I601" i="6" s="1"/>
  <c r="G601" i="6"/>
  <c r="A601" i="6"/>
  <c r="B601" i="6"/>
  <c r="C601" i="6"/>
  <c r="D601" i="6"/>
  <c r="F605" i="6"/>
  <c r="I605" i="6" s="1"/>
  <c r="G605" i="6"/>
  <c r="A605" i="6"/>
  <c r="B605" i="6"/>
  <c r="C605" i="6"/>
  <c r="D605" i="6"/>
  <c r="F456" i="6"/>
  <c r="I456" i="6" s="1"/>
  <c r="G456" i="6"/>
  <c r="A456" i="6"/>
  <c r="B456" i="6"/>
  <c r="C456" i="6"/>
  <c r="D456" i="6"/>
  <c r="A457" i="6"/>
  <c r="B457" i="6"/>
  <c r="G458" i="6"/>
  <c r="F460" i="6"/>
  <c r="I460" i="6" s="1"/>
  <c r="G460" i="6"/>
  <c r="A460" i="6"/>
  <c r="B460" i="6"/>
  <c r="C460" i="6"/>
  <c r="D460" i="6"/>
  <c r="A461" i="6"/>
  <c r="B461" i="6"/>
  <c r="B463" i="6"/>
  <c r="F464" i="6"/>
  <c r="I464" i="6" s="1"/>
  <c r="G464" i="6"/>
  <c r="A464" i="6"/>
  <c r="B464" i="6"/>
  <c r="C464" i="6"/>
  <c r="D464" i="6"/>
  <c r="A465" i="6"/>
  <c r="B465" i="6"/>
  <c r="F468" i="6"/>
  <c r="I468" i="6" s="1"/>
  <c r="G468" i="6"/>
  <c r="A468" i="6"/>
  <c r="B468" i="6"/>
  <c r="C468" i="6"/>
  <c r="D468" i="6"/>
  <c r="G469" i="6"/>
  <c r="F472" i="6"/>
  <c r="I472" i="6" s="1"/>
  <c r="G472" i="6"/>
  <c r="A472" i="6"/>
  <c r="B472" i="6"/>
  <c r="C472" i="6"/>
  <c r="D472" i="6"/>
  <c r="D473" i="6"/>
  <c r="B474" i="6"/>
  <c r="B475" i="6"/>
  <c r="F476" i="6"/>
  <c r="I476" i="6" s="1"/>
  <c r="G476" i="6"/>
  <c r="A476" i="6"/>
  <c r="B476" i="6"/>
  <c r="C476" i="6"/>
  <c r="D476" i="6"/>
  <c r="G477" i="6"/>
  <c r="C477" i="6"/>
  <c r="A478" i="6"/>
  <c r="D478" i="6"/>
  <c r="C479" i="6"/>
  <c r="F480" i="6"/>
  <c r="I480" i="6" s="1"/>
  <c r="G480" i="6"/>
  <c r="A480" i="6"/>
  <c r="B480" i="6"/>
  <c r="C480" i="6"/>
  <c r="D480" i="6"/>
  <c r="C256" i="6"/>
  <c r="D256" i="6"/>
  <c r="G257" i="6"/>
  <c r="A257" i="6"/>
  <c r="B258" i="6"/>
  <c r="F259" i="6"/>
  <c r="I259" i="6" s="1"/>
  <c r="G259" i="6"/>
  <c r="A259" i="6"/>
  <c r="B259" i="6"/>
  <c r="C259" i="6"/>
  <c r="D259" i="6"/>
  <c r="F260" i="6"/>
  <c r="I260" i="6" s="1"/>
  <c r="J260" i="6" s="1"/>
  <c r="N260" i="6" s="1"/>
  <c r="B260" i="6"/>
  <c r="G261" i="6"/>
  <c r="D262" i="6"/>
  <c r="F263" i="6"/>
  <c r="I263" i="6" s="1"/>
  <c r="G263" i="6"/>
  <c r="A263" i="6"/>
  <c r="B263" i="6"/>
  <c r="C263" i="6"/>
  <c r="D263" i="6"/>
  <c r="F264" i="6"/>
  <c r="I264" i="6" s="1"/>
  <c r="J264" i="6" s="1"/>
  <c r="A265" i="6"/>
  <c r="F267" i="6"/>
  <c r="I267" i="6" s="1"/>
  <c r="G267" i="6"/>
  <c r="A267" i="6"/>
  <c r="B267" i="6"/>
  <c r="C267" i="6"/>
  <c r="D267" i="6"/>
  <c r="D269" i="6"/>
  <c r="F271" i="6"/>
  <c r="I271" i="6" s="1"/>
  <c r="G271" i="6"/>
  <c r="A271" i="6"/>
  <c r="B271" i="6"/>
  <c r="C271" i="6"/>
  <c r="D271" i="6"/>
  <c r="D272" i="6"/>
  <c r="D273" i="6"/>
  <c r="C274" i="6"/>
  <c r="F275" i="6"/>
  <c r="I275" i="6" s="1"/>
  <c r="G275" i="6"/>
  <c r="A275" i="6"/>
  <c r="B275" i="6"/>
  <c r="C275" i="6"/>
  <c r="D275" i="6"/>
  <c r="A276" i="6"/>
  <c r="G279" i="6"/>
  <c r="F280" i="6"/>
  <c r="I280" i="6" s="1"/>
  <c r="G280" i="6"/>
  <c r="A280" i="6"/>
  <c r="B280" i="6"/>
  <c r="C280" i="6"/>
  <c r="D280" i="6"/>
  <c r="A278" i="6"/>
  <c r="B278" i="6"/>
  <c r="F58" i="6"/>
  <c r="I58" i="6" s="1"/>
  <c r="G58" i="6"/>
  <c r="A58" i="6"/>
  <c r="B58" i="6"/>
  <c r="C58" i="6"/>
  <c r="D58" i="6"/>
  <c r="B60" i="6"/>
  <c r="F61" i="6"/>
  <c r="I61" i="6" s="1"/>
  <c r="G61" i="6"/>
  <c r="A61" i="6"/>
  <c r="B61" i="6"/>
  <c r="C61" i="6"/>
  <c r="D61" i="6"/>
  <c r="F62" i="6"/>
  <c r="I62" i="6" s="1"/>
  <c r="J62" i="6" s="1"/>
  <c r="L62" i="6" s="1"/>
  <c r="G62" i="6"/>
  <c r="F63" i="6"/>
  <c r="I63" i="6" s="1"/>
  <c r="J63" i="6" s="1"/>
  <c r="G63" i="6"/>
  <c r="A63" i="6"/>
  <c r="B63" i="6"/>
  <c r="C63" i="6"/>
  <c r="D63" i="6"/>
  <c r="F64" i="6"/>
  <c r="I64" i="6" s="1"/>
  <c r="G64" i="6"/>
  <c r="A64" i="6"/>
  <c r="B64" i="6"/>
  <c r="C64" i="6"/>
  <c r="D64" i="6"/>
  <c r="F65" i="6"/>
  <c r="I65" i="6" s="1"/>
  <c r="J65" i="6" s="1"/>
  <c r="N65" i="6" s="1"/>
  <c r="D65" i="6"/>
  <c r="F68" i="6"/>
  <c r="I68" i="6" s="1"/>
  <c r="J68" i="6" s="1"/>
  <c r="G68" i="6"/>
  <c r="A68" i="6"/>
  <c r="B68" i="6"/>
  <c r="C68" i="6"/>
  <c r="D68" i="6"/>
  <c r="A69" i="6"/>
  <c r="D69" i="6"/>
  <c r="F71" i="6"/>
  <c r="I71" i="6" s="1"/>
  <c r="F72" i="6"/>
  <c r="I72" i="6" s="1"/>
  <c r="G72" i="6"/>
  <c r="A72" i="6"/>
  <c r="B72" i="6"/>
  <c r="C72" i="6"/>
  <c r="D72" i="6"/>
  <c r="F73" i="6"/>
  <c r="I73" i="6" s="1"/>
  <c r="J73" i="6" s="1"/>
  <c r="M73" i="6" s="1"/>
  <c r="D73" i="6"/>
  <c r="F76" i="6"/>
  <c r="I76" i="6" s="1"/>
  <c r="G76" i="6"/>
  <c r="A76" i="6"/>
  <c r="B76" i="6"/>
  <c r="C76" i="6"/>
  <c r="D76" i="6"/>
  <c r="F77" i="6"/>
  <c r="I77" i="6" s="1"/>
  <c r="J77" i="6" s="1"/>
  <c r="G77" i="6"/>
  <c r="B79" i="6"/>
  <c r="F80" i="6"/>
  <c r="I80" i="6" s="1"/>
  <c r="G80" i="6"/>
  <c r="A80" i="6"/>
  <c r="B80" i="6"/>
  <c r="C80" i="6"/>
  <c r="D80" i="6"/>
  <c r="F507" i="6"/>
  <c r="I507" i="6" s="1"/>
  <c r="B513" i="6"/>
  <c r="G514" i="6"/>
  <c r="A514" i="6"/>
  <c r="C514" i="6"/>
  <c r="D514" i="6"/>
  <c r="F514" i="6"/>
  <c r="I514" i="6" s="1"/>
  <c r="B514" i="6"/>
  <c r="D515" i="6"/>
  <c r="G517" i="6"/>
  <c r="B517" i="6"/>
  <c r="D517" i="6"/>
  <c r="F517" i="6"/>
  <c r="I517" i="6" s="1"/>
  <c r="A517" i="6"/>
  <c r="C517" i="6"/>
  <c r="F519" i="6"/>
  <c r="I519" i="6" s="1"/>
  <c r="J519" i="6" s="1"/>
  <c r="L519" i="6" s="1"/>
  <c r="G519" i="6"/>
  <c r="B519" i="6"/>
  <c r="A519" i="6"/>
  <c r="C519" i="6"/>
  <c r="D519" i="6"/>
  <c r="F523" i="6"/>
  <c r="I523" i="6" s="1"/>
  <c r="G523" i="6"/>
  <c r="A523" i="6"/>
  <c r="B523" i="6"/>
  <c r="C523" i="6"/>
  <c r="D523" i="6"/>
  <c r="A525" i="6"/>
  <c r="F527" i="6"/>
  <c r="I527" i="6" s="1"/>
  <c r="G527" i="6"/>
  <c r="A527" i="6"/>
  <c r="B527" i="6"/>
  <c r="C527" i="6"/>
  <c r="D527" i="6"/>
  <c r="A529" i="6"/>
  <c r="F510" i="6"/>
  <c r="I510" i="6" s="1"/>
  <c r="G512" i="6"/>
  <c r="A512" i="6"/>
  <c r="B512" i="6"/>
  <c r="D512" i="6"/>
  <c r="F512" i="6"/>
  <c r="I512" i="6" s="1"/>
  <c r="C512" i="6"/>
  <c r="F281" i="6"/>
  <c r="G281" i="6"/>
  <c r="A281" i="6"/>
  <c r="B281" i="6"/>
  <c r="C281" i="6"/>
  <c r="D281" i="6"/>
  <c r="F282" i="6"/>
  <c r="A282" i="6"/>
  <c r="C282" i="6"/>
  <c r="F285" i="6"/>
  <c r="I285" i="6" s="1"/>
  <c r="G285" i="6"/>
  <c r="A285" i="6"/>
  <c r="B285" i="6"/>
  <c r="C285" i="6"/>
  <c r="D285" i="6"/>
  <c r="A286" i="6"/>
  <c r="B286" i="6"/>
  <c r="F289" i="6"/>
  <c r="I289" i="6" s="1"/>
  <c r="G289" i="6"/>
  <c r="A289" i="6"/>
  <c r="B289" i="6"/>
  <c r="C289" i="6"/>
  <c r="D289" i="6"/>
  <c r="A290" i="6"/>
  <c r="A292" i="6"/>
  <c r="F293" i="6"/>
  <c r="I293" i="6" s="1"/>
  <c r="G293" i="6"/>
  <c r="A293" i="6"/>
  <c r="B293" i="6"/>
  <c r="C293" i="6"/>
  <c r="D293" i="6"/>
  <c r="A294" i="6"/>
  <c r="D294" i="6"/>
  <c r="F297" i="6"/>
  <c r="I297" i="6" s="1"/>
  <c r="G297" i="6"/>
  <c r="A297" i="6"/>
  <c r="B297" i="6"/>
  <c r="C297" i="6"/>
  <c r="D297" i="6"/>
  <c r="A299" i="6"/>
  <c r="F301" i="6"/>
  <c r="I301" i="6" s="1"/>
  <c r="G301" i="6"/>
  <c r="A301" i="6"/>
  <c r="B301" i="6"/>
  <c r="C301" i="6"/>
  <c r="D301" i="6"/>
  <c r="D302" i="6"/>
  <c r="F305" i="6"/>
  <c r="I305" i="6" s="1"/>
  <c r="G305" i="6"/>
  <c r="A305" i="6"/>
  <c r="B305" i="6"/>
  <c r="C305" i="6"/>
  <c r="D305" i="6"/>
  <c r="F131" i="6"/>
  <c r="I131" i="6" s="1"/>
  <c r="J131" i="6" s="1"/>
  <c r="L131" i="6" s="1"/>
  <c r="B134" i="6"/>
  <c r="C134" i="6"/>
  <c r="B138" i="6"/>
  <c r="C139" i="6"/>
  <c r="A154" i="6"/>
  <c r="D144" i="6"/>
  <c r="C153" i="6"/>
  <c r="G155" i="6"/>
  <c r="A155" i="6"/>
  <c r="C146" i="6"/>
  <c r="B150" i="6"/>
  <c r="B145" i="6"/>
  <c r="C147" i="6"/>
  <c r="G151" i="6"/>
  <c r="G152" i="6"/>
  <c r="D152" i="6"/>
  <c r="A606" i="6"/>
  <c r="D608" i="6"/>
  <c r="C612" i="6"/>
  <c r="A613" i="6"/>
  <c r="C617" i="6"/>
  <c r="D620" i="6"/>
  <c r="G621" i="6"/>
  <c r="G624" i="6"/>
  <c r="A625" i="6"/>
  <c r="C625" i="6"/>
  <c r="F628" i="6"/>
  <c r="I628" i="6" s="1"/>
  <c r="G628" i="6"/>
  <c r="G382" i="6"/>
  <c r="A382" i="6"/>
  <c r="D383" i="6"/>
  <c r="G386" i="6"/>
  <c r="C386" i="6"/>
  <c r="F387" i="6"/>
  <c r="I387" i="6" s="1"/>
  <c r="A390" i="6"/>
  <c r="C390" i="6"/>
  <c r="B394" i="6"/>
  <c r="C394" i="6"/>
  <c r="F395" i="6"/>
  <c r="I395" i="6" s="1"/>
  <c r="B395" i="6"/>
  <c r="A396" i="6"/>
  <c r="C398" i="6"/>
  <c r="D399" i="6"/>
  <c r="F400" i="6"/>
  <c r="I400" i="6" s="1"/>
  <c r="F402" i="6"/>
  <c r="I402" i="6" s="1"/>
  <c r="D402" i="6"/>
  <c r="F404" i="6"/>
  <c r="I404" i="6" s="1"/>
  <c r="F13" i="6"/>
  <c r="I13" i="6" s="1"/>
  <c r="G13" i="6"/>
  <c r="A13" i="6"/>
  <c r="B13" i="6"/>
  <c r="C13" i="6"/>
  <c r="D13" i="6"/>
  <c r="F17" i="6"/>
  <c r="I17" i="6" s="1"/>
  <c r="G17" i="6"/>
  <c r="A17" i="6"/>
  <c r="B17" i="6"/>
  <c r="C17" i="6"/>
  <c r="D17" i="6"/>
  <c r="F21" i="6"/>
  <c r="I21" i="6" s="1"/>
  <c r="G21" i="6"/>
  <c r="A21" i="6"/>
  <c r="B21" i="6"/>
  <c r="C21" i="6"/>
  <c r="D21" i="6"/>
  <c r="F29" i="6"/>
  <c r="I29" i="6" s="1"/>
  <c r="G29" i="6"/>
  <c r="A29" i="6"/>
  <c r="B29" i="6"/>
  <c r="C29" i="6"/>
  <c r="D29" i="6"/>
  <c r="G481" i="6"/>
  <c r="A481" i="6"/>
  <c r="F483" i="6"/>
  <c r="I483" i="6" s="1"/>
  <c r="G483" i="6"/>
  <c r="A483" i="6"/>
  <c r="B483" i="6"/>
  <c r="C483" i="6"/>
  <c r="D483" i="6"/>
  <c r="F485" i="6"/>
  <c r="I485" i="6" s="1"/>
  <c r="C485" i="6"/>
  <c r="F487" i="6"/>
  <c r="I487" i="6" s="1"/>
  <c r="G487" i="6"/>
  <c r="A487" i="6"/>
  <c r="B487" i="6"/>
  <c r="C487" i="6"/>
  <c r="D487" i="6"/>
  <c r="F491" i="6"/>
  <c r="I491" i="6" s="1"/>
  <c r="G491" i="6"/>
  <c r="A491" i="6"/>
  <c r="B491" i="6"/>
  <c r="C491" i="6"/>
  <c r="D491" i="6"/>
  <c r="F495" i="6"/>
  <c r="I495" i="6" s="1"/>
  <c r="G495" i="6"/>
  <c r="A495" i="6"/>
  <c r="B495" i="6"/>
  <c r="C495" i="6"/>
  <c r="D495" i="6"/>
  <c r="F499" i="6"/>
  <c r="I499" i="6" s="1"/>
  <c r="G499" i="6"/>
  <c r="A499" i="6"/>
  <c r="B499" i="6"/>
  <c r="C499" i="6"/>
  <c r="D499" i="6"/>
  <c r="F503" i="6"/>
  <c r="I503" i="6" s="1"/>
  <c r="G503" i="6"/>
  <c r="A503" i="6"/>
  <c r="B503" i="6"/>
  <c r="C503" i="6"/>
  <c r="D503" i="6"/>
  <c r="F332" i="6"/>
  <c r="I332" i="6" s="1"/>
  <c r="G332" i="6"/>
  <c r="A332" i="6"/>
  <c r="B332" i="6"/>
  <c r="C332" i="6"/>
  <c r="D332" i="6"/>
  <c r="D335" i="6"/>
  <c r="F336" i="6"/>
  <c r="I336" i="6" s="1"/>
  <c r="G336" i="6"/>
  <c r="A336" i="6"/>
  <c r="B336" i="6"/>
  <c r="C336" i="6"/>
  <c r="D336" i="6"/>
  <c r="F340" i="6"/>
  <c r="I340" i="6" s="1"/>
  <c r="G340" i="6"/>
  <c r="A340" i="6"/>
  <c r="B340" i="6"/>
  <c r="C340" i="6"/>
  <c r="D340" i="6"/>
  <c r="C342" i="6"/>
  <c r="B347" i="6"/>
  <c r="F351" i="6"/>
  <c r="I351" i="6" s="1"/>
  <c r="G351" i="6"/>
  <c r="C354" i="6"/>
  <c r="C31" i="6"/>
  <c r="C34" i="6"/>
  <c r="D34" i="6"/>
  <c r="D37" i="6"/>
  <c r="B42" i="6"/>
  <c r="G46" i="6"/>
  <c r="B46" i="6"/>
  <c r="F50" i="6"/>
  <c r="I50" i="6" s="1"/>
  <c r="G50" i="6"/>
  <c r="B53" i="6"/>
  <c r="D54" i="6"/>
  <c r="A408" i="6"/>
  <c r="A409" i="6"/>
  <c r="C411" i="6"/>
  <c r="C416" i="6"/>
  <c r="D416" i="6"/>
  <c r="A423" i="6"/>
  <c r="A421" i="6"/>
  <c r="F427" i="6"/>
  <c r="I427" i="6" s="1"/>
  <c r="B181" i="6"/>
  <c r="C182" i="6"/>
  <c r="D182" i="6"/>
  <c r="C183" i="6"/>
  <c r="D185" i="6"/>
  <c r="C187" i="6"/>
  <c r="A191" i="6"/>
  <c r="C191" i="6"/>
  <c r="F195" i="6"/>
  <c r="I195" i="6" s="1"/>
  <c r="G195" i="6"/>
  <c r="A199" i="6"/>
  <c r="C199" i="6"/>
  <c r="F203" i="6"/>
  <c r="I203" i="6" s="1"/>
  <c r="G203" i="6"/>
  <c r="L310" i="6"/>
  <c r="M310" i="6"/>
  <c r="K310" i="6"/>
  <c r="N313" i="6"/>
  <c r="M260" i="6"/>
  <c r="L260" i="6"/>
  <c r="K260" i="6"/>
  <c r="M314" i="6"/>
  <c r="L561" i="6"/>
  <c r="M561" i="6"/>
  <c r="M317" i="6"/>
  <c r="N317" i="6"/>
  <c r="L317" i="6"/>
  <c r="K317" i="6"/>
  <c r="N122" i="6"/>
  <c r="K223" i="6"/>
  <c r="L225" i="6"/>
  <c r="M225" i="6"/>
  <c r="K225" i="6"/>
  <c r="N225" i="6"/>
  <c r="L431" i="6"/>
  <c r="N432" i="6"/>
  <c r="K432" i="6"/>
  <c r="L432" i="6"/>
  <c r="M432" i="6"/>
  <c r="M437" i="6"/>
  <c r="F24" i="7"/>
  <c r="F21" i="7"/>
  <c r="F33" i="7"/>
  <c r="F25" i="7"/>
  <c r="F48" i="7"/>
  <c r="N112" i="6"/>
  <c r="L264" i="6"/>
  <c r="M264" i="6"/>
  <c r="N264" i="6"/>
  <c r="K264" i="6"/>
  <c r="L73" i="6"/>
  <c r="M77" i="6"/>
  <c r="F18" i="7"/>
  <c r="F30" i="7"/>
  <c r="F36" i="7"/>
  <c r="F29" i="7"/>
  <c r="F23" i="7"/>
  <c r="F34" i="7"/>
  <c r="F54" i="7"/>
  <c r="F61" i="7"/>
  <c r="F65" i="7"/>
  <c r="F15" i="7"/>
  <c r="F45" i="7"/>
  <c r="B15" i="8"/>
  <c r="F60" i="7"/>
  <c r="F64" i="7"/>
  <c r="F14" i="7"/>
  <c r="F66" i="7"/>
  <c r="F9" i="7"/>
  <c r="F10" i="7"/>
  <c r="F11" i="7"/>
  <c r="F12" i="7"/>
  <c r="F13" i="7"/>
  <c r="F7" i="7"/>
  <c r="F19" i="7"/>
  <c r="F22" i="7"/>
  <c r="F49" i="7"/>
  <c r="F8" i="7"/>
  <c r="F32" i="7"/>
  <c r="F47" i="7"/>
  <c r="F50" i="7"/>
  <c r="F51" i="7"/>
  <c r="F52" i="7"/>
  <c r="F53" i="7"/>
  <c r="N222" i="6" l="1"/>
  <c r="L222" i="6"/>
  <c r="K222" i="6"/>
  <c r="A192" i="6"/>
  <c r="F192" i="6"/>
  <c r="I192" i="6" s="1"/>
  <c r="D420" i="6"/>
  <c r="F420" i="6"/>
  <c r="I420" i="6" s="1"/>
  <c r="G55" i="6"/>
  <c r="F55" i="6"/>
  <c r="I55" i="6" s="1"/>
  <c r="C51" i="6"/>
  <c r="A51" i="6"/>
  <c r="B352" i="6"/>
  <c r="D352" i="6"/>
  <c r="B388" i="6"/>
  <c r="F388" i="6"/>
  <c r="I388" i="6" s="1"/>
  <c r="G614" i="6"/>
  <c r="F614" i="6"/>
  <c r="I614" i="6" s="1"/>
  <c r="A153" i="6"/>
  <c r="B153" i="6"/>
  <c r="G153" i="6"/>
  <c r="F303" i="6"/>
  <c r="I303" i="6" s="1"/>
  <c r="J303" i="6" s="1"/>
  <c r="N303" i="6" s="1"/>
  <c r="B303" i="6"/>
  <c r="D303" i="6"/>
  <c r="G287" i="6"/>
  <c r="C287" i="6"/>
  <c r="A57" i="6"/>
  <c r="C57" i="6"/>
  <c r="D57" i="6"/>
  <c r="A279" i="6"/>
  <c r="D279" i="6"/>
  <c r="B266" i="6"/>
  <c r="D266" i="6"/>
  <c r="A479" i="6"/>
  <c r="B479" i="6"/>
  <c r="A463" i="6"/>
  <c r="C463" i="6"/>
  <c r="G463" i="6"/>
  <c r="A123" i="6"/>
  <c r="B123" i="6"/>
  <c r="C123" i="6"/>
  <c r="D123" i="6"/>
  <c r="B247" i="6"/>
  <c r="G247" i="6"/>
  <c r="D247" i="6"/>
  <c r="F247" i="6"/>
  <c r="I247" i="6" s="1"/>
  <c r="F370" i="6"/>
  <c r="I370" i="6" s="1"/>
  <c r="J370" i="6" s="1"/>
  <c r="C370" i="6"/>
  <c r="G370" i="6"/>
  <c r="A370" i="6"/>
  <c r="F84" i="6"/>
  <c r="I84" i="6" s="1"/>
  <c r="J84" i="6" s="1"/>
  <c r="K84" i="6" s="1"/>
  <c r="C84" i="6"/>
  <c r="A84" i="6"/>
  <c r="B84" i="6"/>
  <c r="G212" i="6"/>
  <c r="D212" i="6"/>
  <c r="B212" i="6"/>
  <c r="C212" i="6"/>
  <c r="B206" i="6"/>
  <c r="G206" i="6"/>
  <c r="D206" i="6"/>
  <c r="C206" i="6"/>
  <c r="G440" i="6"/>
  <c r="B440" i="6"/>
  <c r="C440" i="6"/>
  <c r="F440" i="6"/>
  <c r="I440" i="6" s="1"/>
  <c r="J440" i="6" s="1"/>
  <c r="F434" i="6"/>
  <c r="I434" i="6" s="1"/>
  <c r="J434" i="6" s="1"/>
  <c r="A434" i="6"/>
  <c r="G434" i="6"/>
  <c r="D434" i="6"/>
  <c r="A578" i="6"/>
  <c r="C578" i="6"/>
  <c r="B578" i="6"/>
  <c r="D578" i="6"/>
  <c r="A545" i="6"/>
  <c r="C545" i="6"/>
  <c r="D545" i="6"/>
  <c r="G545" i="6"/>
  <c r="B545" i="6"/>
  <c r="C541" i="6"/>
  <c r="F541" i="6"/>
  <c r="I541" i="6" s="1"/>
  <c r="J541" i="6" s="1"/>
  <c r="L541" i="6" s="1"/>
  <c r="A541" i="6"/>
  <c r="D537" i="6"/>
  <c r="G537" i="6"/>
  <c r="A537" i="6"/>
  <c r="G111" i="6"/>
  <c r="D111" i="6"/>
  <c r="A111" i="6"/>
  <c r="B111" i="6"/>
  <c r="F59" i="6"/>
  <c r="I59" i="6" s="1"/>
  <c r="J59" i="6" s="1"/>
  <c r="C59" i="6"/>
  <c r="G59" i="6"/>
  <c r="D59" i="6"/>
  <c r="F196" i="6"/>
  <c r="I196" i="6" s="1"/>
  <c r="J196" i="6" s="1"/>
  <c r="K196" i="6" s="1"/>
  <c r="A196" i="6"/>
  <c r="B25" i="6"/>
  <c r="D25" i="6"/>
  <c r="A404" i="6"/>
  <c r="C404" i="6"/>
  <c r="G400" i="6"/>
  <c r="C400" i="6"/>
  <c r="G396" i="6"/>
  <c r="F396" i="6"/>
  <c r="I396" i="6" s="1"/>
  <c r="B392" i="6"/>
  <c r="C392" i="6"/>
  <c r="F384" i="6"/>
  <c r="I384" i="6" s="1"/>
  <c r="J384" i="6" s="1"/>
  <c r="B384" i="6"/>
  <c r="D384" i="6"/>
  <c r="G630" i="6"/>
  <c r="F630" i="6"/>
  <c r="I630" i="6" s="1"/>
  <c r="A618" i="6"/>
  <c r="G618" i="6"/>
  <c r="F147" i="6"/>
  <c r="I147" i="6" s="1"/>
  <c r="J147" i="6" s="1"/>
  <c r="L147" i="6" s="1"/>
  <c r="A147" i="6"/>
  <c r="F150" i="6"/>
  <c r="I150" i="6" s="1"/>
  <c r="C150" i="6"/>
  <c r="B132" i="6"/>
  <c r="F132" i="6"/>
  <c r="I132" i="6" s="1"/>
  <c r="F291" i="6"/>
  <c r="I291" i="6" s="1"/>
  <c r="G291" i="6"/>
  <c r="B291" i="6"/>
  <c r="B518" i="6"/>
  <c r="D518" i="6"/>
  <c r="C518" i="6"/>
  <c r="D530" i="6"/>
  <c r="G530" i="6"/>
  <c r="B530" i="6"/>
  <c r="A67" i="6"/>
  <c r="D67" i="6"/>
  <c r="C475" i="6"/>
  <c r="F475" i="6"/>
  <c r="I475" i="6" s="1"/>
  <c r="D581" i="6"/>
  <c r="A581" i="6"/>
  <c r="B581" i="6"/>
  <c r="C119" i="6"/>
  <c r="B119" i="6"/>
  <c r="B108" i="6"/>
  <c r="A108" i="6"/>
  <c r="D108" i="6"/>
  <c r="F378" i="6"/>
  <c r="I378" i="6" s="1"/>
  <c r="J378" i="6" s="1"/>
  <c r="C378" i="6"/>
  <c r="G378" i="6"/>
  <c r="A378" i="6"/>
  <c r="A358" i="6"/>
  <c r="G358" i="6"/>
  <c r="B358" i="6"/>
  <c r="A103" i="6"/>
  <c r="F103" i="6"/>
  <c r="I103" i="6" s="1"/>
  <c r="J103" i="6" s="1"/>
  <c r="D103" i="6"/>
  <c r="G103" i="6"/>
  <c r="G92" i="6"/>
  <c r="D92" i="6"/>
  <c r="B92" i="6"/>
  <c r="C92" i="6"/>
  <c r="F226" i="6"/>
  <c r="I226" i="6" s="1"/>
  <c r="J226" i="6" s="1"/>
  <c r="C226" i="6"/>
  <c r="A226" i="6"/>
  <c r="G226" i="6"/>
  <c r="G436" i="6"/>
  <c r="D436" i="6"/>
  <c r="F436" i="6"/>
  <c r="I436" i="6" s="1"/>
  <c r="J436" i="6" s="1"/>
  <c r="K436" i="6" s="1"/>
  <c r="C436" i="6"/>
  <c r="A436" i="6"/>
  <c r="F450" i="6"/>
  <c r="I450" i="6" s="1"/>
  <c r="J450" i="6" s="1"/>
  <c r="N450" i="6" s="1"/>
  <c r="C450" i="6"/>
  <c r="A450" i="6"/>
  <c r="G450" i="6"/>
  <c r="G433" i="6"/>
  <c r="B433" i="6"/>
  <c r="A433" i="6"/>
  <c r="F433" i="6"/>
  <c r="I433" i="6" s="1"/>
  <c r="J433" i="6" s="1"/>
  <c r="B566" i="6"/>
  <c r="G566" i="6"/>
  <c r="D566" i="6"/>
  <c r="A566" i="6"/>
  <c r="C566" i="6"/>
  <c r="D319" i="6"/>
  <c r="G319" i="6"/>
  <c r="A315" i="6"/>
  <c r="B315" i="6"/>
  <c r="F315" i="6"/>
  <c r="I315" i="6" s="1"/>
  <c r="J315" i="6" s="1"/>
  <c r="G315" i="6"/>
  <c r="B311" i="6"/>
  <c r="G311" i="6"/>
  <c r="D311" i="6"/>
  <c r="F311" i="6"/>
  <c r="I311" i="6" s="1"/>
  <c r="J311" i="6" s="1"/>
  <c r="A311" i="6"/>
  <c r="A307" i="6"/>
  <c r="C307" i="6"/>
  <c r="F307" i="6"/>
  <c r="I307" i="6" s="1"/>
  <c r="J307" i="6" s="1"/>
  <c r="B307" i="6"/>
  <c r="B553" i="6"/>
  <c r="D553" i="6"/>
  <c r="G553" i="6"/>
  <c r="A549" i="6"/>
  <c r="G549" i="6"/>
  <c r="C549" i="6"/>
  <c r="D549" i="6"/>
  <c r="M223" i="6"/>
  <c r="F200" i="6"/>
  <c r="I200" i="6" s="1"/>
  <c r="A188" i="6"/>
  <c r="F31" i="6"/>
  <c r="I31" i="6" s="1"/>
  <c r="J31" i="6" s="1"/>
  <c r="G147" i="6"/>
  <c r="A287" i="6"/>
  <c r="A518" i="6"/>
  <c r="A475" i="6"/>
  <c r="G581" i="6"/>
  <c r="A119" i="6"/>
  <c r="J375" i="6"/>
  <c r="C358" i="6"/>
  <c r="C103" i="6"/>
  <c r="A92" i="6"/>
  <c r="G84" i="6"/>
  <c r="B226" i="6"/>
  <c r="F212" i="6"/>
  <c r="A206" i="6"/>
  <c r="A440" i="6"/>
  <c r="D450" i="6"/>
  <c r="C433" i="6"/>
  <c r="D570" i="6"/>
  <c r="D307" i="6"/>
  <c r="B541" i="6"/>
  <c r="G39" i="6"/>
  <c r="B39" i="6"/>
  <c r="D348" i="6"/>
  <c r="B348" i="6"/>
  <c r="G626" i="6"/>
  <c r="F626" i="6"/>
  <c r="I626" i="6" s="1"/>
  <c r="A626" i="6"/>
  <c r="A622" i="6"/>
  <c r="D622" i="6"/>
  <c r="G610" i="6"/>
  <c r="A610" i="6"/>
  <c r="G606" i="6"/>
  <c r="F606" i="6"/>
  <c r="I606" i="6" s="1"/>
  <c r="A149" i="6"/>
  <c r="F149" i="6"/>
  <c r="I149" i="6" s="1"/>
  <c r="J149" i="6" s="1"/>
  <c r="K149" i="6" s="1"/>
  <c r="D149" i="6"/>
  <c r="B136" i="6"/>
  <c r="C136" i="6"/>
  <c r="G295" i="6"/>
  <c r="F295" i="6"/>
  <c r="I295" i="6" s="1"/>
  <c r="A295" i="6"/>
  <c r="B522" i="6"/>
  <c r="F522" i="6"/>
  <c r="I522" i="6" s="1"/>
  <c r="C508" i="6"/>
  <c r="B508" i="6"/>
  <c r="A71" i="6"/>
  <c r="C71" i="6"/>
  <c r="D71" i="6"/>
  <c r="A262" i="6"/>
  <c r="B262" i="6"/>
  <c r="C262" i="6"/>
  <c r="B471" i="6"/>
  <c r="G471" i="6"/>
  <c r="D471" i="6"/>
  <c r="F471" i="6"/>
  <c r="I471" i="6" s="1"/>
  <c r="J471" i="6" s="1"/>
  <c r="B459" i="6"/>
  <c r="D459" i="6"/>
  <c r="A597" i="6"/>
  <c r="F597" i="6"/>
  <c r="I597" i="6" s="1"/>
  <c r="C597" i="6"/>
  <c r="G115" i="6"/>
  <c r="D115" i="6"/>
  <c r="F366" i="6"/>
  <c r="I366" i="6" s="1"/>
  <c r="J366" i="6" s="1"/>
  <c r="C366" i="6"/>
  <c r="B366" i="6"/>
  <c r="D366" i="6"/>
  <c r="A95" i="6"/>
  <c r="G95" i="6"/>
  <c r="B95" i="6"/>
  <c r="G222" i="6"/>
  <c r="D222" i="6"/>
  <c r="B222" i="6"/>
  <c r="A222" i="6"/>
  <c r="C222" i="6"/>
  <c r="A209" i="6"/>
  <c r="F209" i="6"/>
  <c r="C209" i="6"/>
  <c r="G209" i="6"/>
  <c r="B209" i="6"/>
  <c r="A446" i="6"/>
  <c r="C446" i="6"/>
  <c r="D446" i="6"/>
  <c r="F446" i="6"/>
  <c r="I446" i="6" s="1"/>
  <c r="J446" i="6" s="1"/>
  <c r="N446" i="6" s="1"/>
  <c r="A574" i="6"/>
  <c r="F574" i="6"/>
  <c r="I574" i="6" s="1"/>
  <c r="J574" i="6" s="1"/>
  <c r="C574" i="6"/>
  <c r="D574" i="6"/>
  <c r="G562" i="6"/>
  <c r="D562" i="6"/>
  <c r="B562" i="6"/>
  <c r="F562" i="6"/>
  <c r="I562" i="6" s="1"/>
  <c r="J562" i="6" s="1"/>
  <c r="A562" i="6"/>
  <c r="F558" i="6"/>
  <c r="I558" i="6" s="1"/>
  <c r="J558" i="6" s="1"/>
  <c r="C558" i="6"/>
  <c r="A558" i="6"/>
  <c r="G558" i="6"/>
  <c r="B558" i="6"/>
  <c r="D177" i="6"/>
  <c r="G177" i="6"/>
  <c r="A177" i="6"/>
  <c r="A327" i="6"/>
  <c r="B327" i="6"/>
  <c r="F327" i="6"/>
  <c r="I327" i="6" s="1"/>
  <c r="J327" i="6" s="1"/>
  <c r="C327" i="6"/>
  <c r="F323" i="6"/>
  <c r="I323" i="6" s="1"/>
  <c r="J323" i="6" s="1"/>
  <c r="C323" i="6"/>
  <c r="G533" i="6"/>
  <c r="A533" i="6"/>
  <c r="C533" i="6"/>
  <c r="D533" i="6"/>
  <c r="C420" i="6"/>
  <c r="G418" i="6"/>
  <c r="A35" i="6"/>
  <c r="A392" i="6"/>
  <c r="C388" i="6"/>
  <c r="C614" i="6"/>
  <c r="D291" i="6"/>
  <c r="D522" i="6"/>
  <c r="B75" i="6"/>
  <c r="G67" i="6"/>
  <c r="A60" i="6"/>
  <c r="B274" i="6"/>
  <c r="G262" i="6"/>
  <c r="F479" i="6"/>
  <c r="I479" i="6" s="1"/>
  <c r="A459" i="6"/>
  <c r="A115" i="6"/>
  <c r="C111" i="6"/>
  <c r="L117" i="6"/>
  <c r="N223" i="6"/>
  <c r="A204" i="6"/>
  <c r="C192" i="6"/>
  <c r="C429" i="6"/>
  <c r="B413" i="6"/>
  <c r="B55" i="6"/>
  <c r="A43" i="6"/>
  <c r="C502" i="6"/>
  <c r="J483" i="6"/>
  <c r="N483" i="6" s="1"/>
  <c r="B9" i="6"/>
  <c r="F392" i="6"/>
  <c r="I392" i="6" s="1"/>
  <c r="J392" i="6" s="1"/>
  <c r="A388" i="6"/>
  <c r="G384" i="6"/>
  <c r="C630" i="6"/>
  <c r="C626" i="6"/>
  <c r="B622" i="6"/>
  <c r="D618" i="6"/>
  <c r="A614" i="6"/>
  <c r="A136" i="6"/>
  <c r="C132" i="6"/>
  <c r="F287" i="6"/>
  <c r="I287" i="6" s="1"/>
  <c r="A522" i="6"/>
  <c r="G75" i="6"/>
  <c r="B59" i="6"/>
  <c r="B57" i="6"/>
  <c r="F262" i="6"/>
  <c r="I262" i="6" s="1"/>
  <c r="C471" i="6"/>
  <c r="J456" i="6"/>
  <c r="M456" i="6" s="1"/>
  <c r="G123" i="6"/>
  <c r="F119" i="6"/>
  <c r="I119" i="6" s="1"/>
  <c r="F111" i="6"/>
  <c r="D378" i="6"/>
  <c r="D370" i="6"/>
  <c r="A366" i="6"/>
  <c r="F358" i="6"/>
  <c r="I358" i="6" s="1"/>
  <c r="J358" i="6" s="1"/>
  <c r="L358" i="6" s="1"/>
  <c r="B103" i="6"/>
  <c r="C95" i="6"/>
  <c r="F92" i="6"/>
  <c r="I92" i="6" s="1"/>
  <c r="J92" i="6" s="1"/>
  <c r="L92" i="6" s="1"/>
  <c r="F206" i="6"/>
  <c r="D440" i="6"/>
  <c r="B436" i="6"/>
  <c r="B450" i="6"/>
  <c r="L445" i="6"/>
  <c r="N445" i="6"/>
  <c r="C434" i="6"/>
  <c r="G578" i="6"/>
  <c r="G574" i="6"/>
  <c r="F566" i="6"/>
  <c r="I566" i="6" s="1"/>
  <c r="J566" i="6" s="1"/>
  <c r="F549" i="6"/>
  <c r="I549" i="6" s="1"/>
  <c r="J549" i="6" s="1"/>
  <c r="L549" i="6" s="1"/>
  <c r="B537" i="6"/>
  <c r="G299" i="6"/>
  <c r="F299" i="6"/>
  <c r="I299" i="6" s="1"/>
  <c r="B283" i="6"/>
  <c r="A283" i="6"/>
  <c r="C283" i="6"/>
  <c r="D510" i="6"/>
  <c r="B510" i="6"/>
  <c r="B526" i="6"/>
  <c r="C526" i="6"/>
  <c r="A79" i="6"/>
  <c r="F79" i="6"/>
  <c r="I79" i="6" s="1"/>
  <c r="J79" i="6" s="1"/>
  <c r="M79" i="6" s="1"/>
  <c r="B270" i="6"/>
  <c r="D270" i="6"/>
  <c r="F270" i="6"/>
  <c r="I270" i="6" s="1"/>
  <c r="C258" i="6"/>
  <c r="F258" i="6"/>
  <c r="I258" i="6" s="1"/>
  <c r="A467" i="6"/>
  <c r="B467" i="6"/>
  <c r="A127" i="6"/>
  <c r="D127" i="6"/>
  <c r="F374" i="6"/>
  <c r="I374" i="6" s="1"/>
  <c r="J374" i="6" s="1"/>
  <c r="C374" i="6"/>
  <c r="B374" i="6"/>
  <c r="D374" i="6"/>
  <c r="F362" i="6"/>
  <c r="I362" i="6" s="1"/>
  <c r="J362" i="6" s="1"/>
  <c r="L362" i="6" s="1"/>
  <c r="C362" i="6"/>
  <c r="G362" i="6"/>
  <c r="A362" i="6"/>
  <c r="F99" i="6"/>
  <c r="I99" i="6" s="1"/>
  <c r="J99" i="6" s="1"/>
  <c r="C99" i="6"/>
  <c r="G99" i="6"/>
  <c r="A99" i="6"/>
  <c r="F88" i="6"/>
  <c r="I88" i="6" s="1"/>
  <c r="J88" i="6" s="1"/>
  <c r="C88" i="6"/>
  <c r="D88" i="6"/>
  <c r="G88" i="6"/>
  <c r="F230" i="6"/>
  <c r="I230" i="6" s="1"/>
  <c r="J230" i="6" s="1"/>
  <c r="C230" i="6"/>
  <c r="A230" i="6"/>
  <c r="D230" i="6"/>
  <c r="G454" i="6"/>
  <c r="D454" i="6"/>
  <c r="B454" i="6"/>
  <c r="F454" i="6"/>
  <c r="I454" i="6" s="1"/>
  <c r="J454" i="6" s="1"/>
  <c r="M454" i="6" s="1"/>
  <c r="A570" i="6"/>
  <c r="F570" i="6"/>
  <c r="I570" i="6" s="1"/>
  <c r="J570" i="6" s="1"/>
  <c r="C570" i="6"/>
  <c r="G570" i="6"/>
  <c r="J427" i="6"/>
  <c r="L427" i="6" s="1"/>
  <c r="D419" i="6"/>
  <c r="C47" i="6"/>
  <c r="G352" i="6"/>
  <c r="A344" i="6"/>
  <c r="G25" i="6"/>
  <c r="G9" i="6"/>
  <c r="A400" i="6"/>
  <c r="C396" i="6"/>
  <c r="A630" i="6"/>
  <c r="G622" i="6"/>
  <c r="B618" i="6"/>
  <c r="C606" i="6"/>
  <c r="A150" i="6"/>
  <c r="B149" i="6"/>
  <c r="F136" i="6"/>
  <c r="I136" i="6" s="1"/>
  <c r="A132" i="6"/>
  <c r="G303" i="6"/>
  <c r="C299" i="6"/>
  <c r="C295" i="6"/>
  <c r="F283" i="6"/>
  <c r="I283" i="6" s="1"/>
  <c r="F508" i="6"/>
  <c r="I508" i="6" s="1"/>
  <c r="D79" i="6"/>
  <c r="G71" i="6"/>
  <c r="A59" i="6"/>
  <c r="F57" i="6"/>
  <c r="I57" i="6" s="1"/>
  <c r="J57" i="6" s="1"/>
  <c r="N57" i="6" s="1"/>
  <c r="J280" i="6"/>
  <c r="A270" i="6"/>
  <c r="A266" i="6"/>
  <c r="J480" i="6"/>
  <c r="A471" i="6"/>
  <c r="G467" i="6"/>
  <c r="F123" i="6"/>
  <c r="I123" i="6" s="1"/>
  <c r="C247" i="6"/>
  <c r="B378" i="6"/>
  <c r="G374" i="6"/>
  <c r="B370" i="6"/>
  <c r="G366" i="6"/>
  <c r="B362" i="6"/>
  <c r="D99" i="6"/>
  <c r="F95" i="6"/>
  <c r="I95" i="6" s="1"/>
  <c r="J95" i="6" s="1"/>
  <c r="J85" i="6"/>
  <c r="A454" i="6"/>
  <c r="B446" i="6"/>
  <c r="B434" i="6"/>
  <c r="F578" i="6"/>
  <c r="I578" i="6" s="1"/>
  <c r="J578" i="6" s="1"/>
  <c r="C562" i="6"/>
  <c r="A163" i="6"/>
  <c r="B323" i="6"/>
  <c r="A319" i="6"/>
  <c r="J76" i="6"/>
  <c r="L76" i="6" s="1"/>
  <c r="J259" i="6"/>
  <c r="J476" i="6"/>
  <c r="M476" i="6" s="1"/>
  <c r="J472" i="6"/>
  <c r="M472" i="6" s="1"/>
  <c r="J128" i="6"/>
  <c r="J120" i="6"/>
  <c r="J371" i="6"/>
  <c r="J455" i="6"/>
  <c r="N455" i="6" s="1"/>
  <c r="J320" i="6"/>
  <c r="N320" i="6" s="1"/>
  <c r="J308" i="6"/>
  <c r="J451" i="6"/>
  <c r="J559" i="6"/>
  <c r="J546" i="6"/>
  <c r="J542" i="6"/>
  <c r="J468" i="6"/>
  <c r="M468" i="6" s="1"/>
  <c r="J116" i="6"/>
  <c r="N116" i="6" s="1"/>
  <c r="J441" i="6"/>
  <c r="J443" i="6"/>
  <c r="J579" i="6"/>
  <c r="J575" i="6"/>
  <c r="J571" i="6"/>
  <c r="J567" i="6"/>
  <c r="N567" i="6" s="1"/>
  <c r="J534" i="6"/>
  <c r="M147" i="6"/>
  <c r="N147" i="6"/>
  <c r="N438" i="6"/>
  <c r="N456" i="6"/>
  <c r="N31" i="6"/>
  <c r="M31" i="6"/>
  <c r="L116" i="6"/>
  <c r="B196" i="6"/>
  <c r="G196" i="6"/>
  <c r="D196" i="6"/>
  <c r="B188" i="6"/>
  <c r="G188" i="6"/>
  <c r="D188" i="6"/>
  <c r="G429" i="6"/>
  <c r="B429" i="6"/>
  <c r="F429" i="6"/>
  <c r="I429" i="6" s="1"/>
  <c r="J429" i="6" s="1"/>
  <c r="F421" i="6"/>
  <c r="I421" i="6" s="1"/>
  <c r="C421" i="6"/>
  <c r="D421" i="6"/>
  <c r="A413" i="6"/>
  <c r="F413" i="6"/>
  <c r="I413" i="6" s="1"/>
  <c r="C413" i="6"/>
  <c r="C55" i="6"/>
  <c r="A55" i="6"/>
  <c r="G47" i="6"/>
  <c r="D47" i="6"/>
  <c r="B47" i="6"/>
  <c r="F39" i="6"/>
  <c r="I39" i="6" s="1"/>
  <c r="J39" i="6" s="1"/>
  <c r="C39" i="6"/>
  <c r="A39" i="6"/>
  <c r="B31" i="6"/>
  <c r="G31" i="6"/>
  <c r="D31" i="6"/>
  <c r="A348" i="6"/>
  <c r="F348" i="6"/>
  <c r="I348" i="6" s="1"/>
  <c r="C348" i="6"/>
  <c r="A25" i="6"/>
  <c r="F25" i="6"/>
  <c r="I25" i="6" s="1"/>
  <c r="C25" i="6"/>
  <c r="F9" i="6"/>
  <c r="I9" i="6" s="1"/>
  <c r="C9" i="6"/>
  <c r="A9" i="6"/>
  <c r="G404" i="6"/>
  <c r="D404" i="6"/>
  <c r="B404" i="6"/>
  <c r="L280" i="6"/>
  <c r="M280" i="6"/>
  <c r="K540" i="6"/>
  <c r="L540" i="6"/>
  <c r="B204" i="6"/>
  <c r="G204" i="6"/>
  <c r="D204" i="6"/>
  <c r="B200" i="6"/>
  <c r="G200" i="6"/>
  <c r="D200" i="6"/>
  <c r="B192" i="6"/>
  <c r="G192" i="6"/>
  <c r="D192" i="6"/>
  <c r="B183" i="6"/>
  <c r="G183" i="6"/>
  <c r="D183" i="6"/>
  <c r="G420" i="6"/>
  <c r="B420" i="6"/>
  <c r="A420" i="6"/>
  <c r="C418" i="6"/>
  <c r="A418" i="6"/>
  <c r="B418" i="6"/>
  <c r="F419" i="6"/>
  <c r="I419" i="6" s="1"/>
  <c r="J419" i="6" s="1"/>
  <c r="C419" i="6"/>
  <c r="B419" i="6"/>
  <c r="G409" i="6"/>
  <c r="D409" i="6"/>
  <c r="B409" i="6"/>
  <c r="G51" i="6"/>
  <c r="D51" i="6"/>
  <c r="B51" i="6"/>
  <c r="G43" i="6"/>
  <c r="D43" i="6"/>
  <c r="B43" i="6"/>
  <c r="B35" i="6"/>
  <c r="G35" i="6"/>
  <c r="D35" i="6"/>
  <c r="A352" i="6"/>
  <c r="F352" i="6"/>
  <c r="I352" i="6" s="1"/>
  <c r="J352" i="6" s="1"/>
  <c r="C352" i="6"/>
  <c r="G344" i="6"/>
  <c r="D344" i="6"/>
  <c r="B344" i="6"/>
  <c r="K147" i="6"/>
  <c r="F204" i="6"/>
  <c r="I204" i="6" s="1"/>
  <c r="J204" i="6" s="1"/>
  <c r="K204" i="6" s="1"/>
  <c r="A200" i="6"/>
  <c r="C196" i="6"/>
  <c r="F188" i="6"/>
  <c r="I188" i="6" s="1"/>
  <c r="J188" i="6" s="1"/>
  <c r="A183" i="6"/>
  <c r="A429" i="6"/>
  <c r="G421" i="6"/>
  <c r="D418" i="6"/>
  <c r="G419" i="6"/>
  <c r="D413" i="6"/>
  <c r="C409" i="6"/>
  <c r="D55" i="6"/>
  <c r="F51" i="6"/>
  <c r="I51" i="6" s="1"/>
  <c r="A47" i="6"/>
  <c r="C43" i="6"/>
  <c r="D39" i="6"/>
  <c r="C35" i="6"/>
  <c r="G348" i="6"/>
  <c r="F344" i="6"/>
  <c r="I344" i="6" s="1"/>
  <c r="B486" i="6"/>
  <c r="L483" i="6"/>
  <c r="K483" i="6"/>
  <c r="K79" i="6"/>
  <c r="L79" i="6"/>
  <c r="N76" i="6"/>
  <c r="G232" i="6"/>
  <c r="D232" i="6"/>
  <c r="A232" i="6"/>
  <c r="G158" i="6"/>
  <c r="B158" i="6"/>
  <c r="A158" i="6"/>
  <c r="M222" i="6"/>
  <c r="B400" i="6"/>
  <c r="B396" i="6"/>
  <c r="D392" i="6"/>
  <c r="G392" i="6"/>
  <c r="D388" i="6"/>
  <c r="G388" i="6"/>
  <c r="A384" i="6"/>
  <c r="B630" i="6"/>
  <c r="B626" i="6"/>
  <c r="C622" i="6"/>
  <c r="F622" i="6"/>
  <c r="I622" i="6" s="1"/>
  <c r="J622" i="6" s="1"/>
  <c r="C618" i="6"/>
  <c r="F618" i="6"/>
  <c r="I618" i="6" s="1"/>
  <c r="B614" i="6"/>
  <c r="B610" i="6"/>
  <c r="F610" i="6"/>
  <c r="I610" i="6" s="1"/>
  <c r="J610" i="6" s="1"/>
  <c r="L610" i="6" s="1"/>
  <c r="B606" i="6"/>
  <c r="D147" i="6"/>
  <c r="B147" i="6"/>
  <c r="G150" i="6"/>
  <c r="D150" i="6"/>
  <c r="F153" i="6"/>
  <c r="I153" i="6" s="1"/>
  <c r="J153" i="6" s="1"/>
  <c r="M153" i="6" s="1"/>
  <c r="D153" i="6"/>
  <c r="G149" i="6"/>
  <c r="C149" i="6"/>
  <c r="D136" i="6"/>
  <c r="G136" i="6"/>
  <c r="D132" i="6"/>
  <c r="G132" i="6"/>
  <c r="A303" i="6"/>
  <c r="B299" i="6"/>
  <c r="B295" i="6"/>
  <c r="A291" i="6"/>
  <c r="B287" i="6"/>
  <c r="D283" i="6"/>
  <c r="G283" i="6"/>
  <c r="F518" i="6"/>
  <c r="I518" i="6" s="1"/>
  <c r="G518" i="6"/>
  <c r="G510" i="6"/>
  <c r="C522" i="6"/>
  <c r="C79" i="6"/>
  <c r="D158" i="6"/>
  <c r="G526" i="6"/>
  <c r="D526" i="6"/>
  <c r="G508" i="6"/>
  <c r="D508" i="6"/>
  <c r="F75" i="6"/>
  <c r="I75" i="6" s="1"/>
  <c r="C75" i="6"/>
  <c r="F67" i="6"/>
  <c r="I67" i="6" s="1"/>
  <c r="C67" i="6"/>
  <c r="F60" i="6"/>
  <c r="I60" i="6" s="1"/>
  <c r="J60" i="6" s="1"/>
  <c r="C60" i="6"/>
  <c r="F279" i="6"/>
  <c r="I279" i="6" s="1"/>
  <c r="J279" i="6" s="1"/>
  <c r="B279" i="6"/>
  <c r="G274" i="6"/>
  <c r="D274" i="6"/>
  <c r="F266" i="6"/>
  <c r="I266" i="6" s="1"/>
  <c r="C266" i="6"/>
  <c r="G258" i="6"/>
  <c r="D258" i="6"/>
  <c r="G479" i="6"/>
  <c r="D479" i="6"/>
  <c r="G475" i="6"/>
  <c r="D475" i="6"/>
  <c r="F530" i="6"/>
  <c r="I530" i="6" s="1"/>
  <c r="C530" i="6"/>
  <c r="D400" i="6"/>
  <c r="D396" i="6"/>
  <c r="C384" i="6"/>
  <c r="D630" i="6"/>
  <c r="D626" i="6"/>
  <c r="D614" i="6"/>
  <c r="D610" i="6"/>
  <c r="D606" i="6"/>
  <c r="C303" i="6"/>
  <c r="D299" i="6"/>
  <c r="D295" i="6"/>
  <c r="C291" i="6"/>
  <c r="D287" i="6"/>
  <c r="C510" i="6"/>
  <c r="A530" i="6"/>
  <c r="J527" i="6"/>
  <c r="F526" i="6"/>
  <c r="I526" i="6" s="1"/>
  <c r="J526" i="6" s="1"/>
  <c r="J523" i="6"/>
  <c r="G522" i="6"/>
  <c r="A508" i="6"/>
  <c r="G79" i="6"/>
  <c r="A75" i="6"/>
  <c r="B71" i="6"/>
  <c r="B67" i="6"/>
  <c r="J61" i="6"/>
  <c r="N61" i="6" s="1"/>
  <c r="G60" i="6"/>
  <c r="G57" i="6"/>
  <c r="C279" i="6"/>
  <c r="J275" i="6"/>
  <c r="N275" i="6" s="1"/>
  <c r="F274" i="6"/>
  <c r="I274" i="6" s="1"/>
  <c r="J271" i="6"/>
  <c r="L271" i="6" s="1"/>
  <c r="G270" i="6"/>
  <c r="J267" i="6"/>
  <c r="G266" i="6"/>
  <c r="B232" i="6"/>
  <c r="C158" i="6"/>
  <c r="C219" i="6"/>
  <c r="F219" i="6"/>
  <c r="F467" i="6"/>
  <c r="I467" i="6" s="1"/>
  <c r="J467" i="6" s="1"/>
  <c r="C467" i="6"/>
  <c r="F459" i="6"/>
  <c r="I459" i="6" s="1"/>
  <c r="C459" i="6"/>
  <c r="G597" i="6"/>
  <c r="D597" i="6"/>
  <c r="F581" i="6"/>
  <c r="I581" i="6" s="1"/>
  <c r="C581" i="6"/>
  <c r="F127" i="6"/>
  <c r="I127" i="6" s="1"/>
  <c r="J127" i="6" s="1"/>
  <c r="C127" i="6"/>
  <c r="G119" i="6"/>
  <c r="D119" i="6"/>
  <c r="F115" i="6"/>
  <c r="I115" i="6" s="1"/>
  <c r="J115" i="6" s="1"/>
  <c r="C115" i="6"/>
  <c r="F108" i="6"/>
  <c r="I108" i="6" s="1"/>
  <c r="J108" i="6" s="1"/>
  <c r="C108" i="6"/>
  <c r="G163" i="6"/>
  <c r="F163" i="6"/>
  <c r="I163" i="6" s="1"/>
  <c r="C163" i="6"/>
  <c r="B163" i="6"/>
  <c r="F177" i="6"/>
  <c r="I177" i="6" s="1"/>
  <c r="B177" i="6"/>
  <c r="C177" i="6"/>
  <c r="J512" i="6"/>
  <c r="J517" i="6"/>
  <c r="J80" i="6"/>
  <c r="J72" i="6"/>
  <c r="J64" i="6"/>
  <c r="J58" i="6"/>
  <c r="J263" i="6"/>
  <c r="D467" i="6"/>
  <c r="D463" i="6"/>
  <c r="F463" i="6"/>
  <c r="I463" i="6" s="1"/>
  <c r="J463" i="6" s="1"/>
  <c r="J460" i="6"/>
  <c r="G459" i="6"/>
  <c r="B597" i="6"/>
  <c r="J40" i="6"/>
  <c r="L40" i="6" s="1"/>
  <c r="J464" i="6"/>
  <c r="M464" i="6" s="1"/>
  <c r="J124" i="6"/>
  <c r="N124" i="6" s="1"/>
  <c r="J348" i="6"/>
  <c r="K348" i="6" s="1"/>
  <c r="H331" i="6"/>
  <c r="O332" i="6"/>
  <c r="E334" i="6"/>
  <c r="H335" i="6"/>
  <c r="O336" i="6"/>
  <c r="E338" i="6"/>
  <c r="D338" i="6" s="1"/>
  <c r="H339" i="6"/>
  <c r="O340" i="6"/>
  <c r="O331" i="6"/>
  <c r="E333" i="6"/>
  <c r="A333" i="6" s="1"/>
  <c r="H334" i="6"/>
  <c r="O335" i="6"/>
  <c r="E337" i="6"/>
  <c r="C337" i="6" s="1"/>
  <c r="H338" i="6"/>
  <c r="O339" i="6"/>
  <c r="O6" i="6"/>
  <c r="E8" i="6"/>
  <c r="C8" i="6" s="1"/>
  <c r="H9" i="6"/>
  <c r="O10" i="6"/>
  <c r="E12" i="6"/>
  <c r="G12" i="6" s="1"/>
  <c r="H13" i="6"/>
  <c r="O14" i="6"/>
  <c r="E16" i="6"/>
  <c r="H17" i="6"/>
  <c r="O18" i="6"/>
  <c r="E20" i="6"/>
  <c r="A20" i="6" s="1"/>
  <c r="H21" i="6"/>
  <c r="J21" i="6" s="1"/>
  <c r="M21" i="6" s="1"/>
  <c r="O22" i="6"/>
  <c r="E24" i="6"/>
  <c r="G24" i="6" s="1"/>
  <c r="H25" i="6"/>
  <c r="J25" i="6" s="1"/>
  <c r="O26" i="6"/>
  <c r="E28" i="6"/>
  <c r="H29" i="6"/>
  <c r="J29" i="6" s="1"/>
  <c r="M29" i="6" s="1"/>
  <c r="O30" i="6"/>
  <c r="E4" i="8"/>
  <c r="E7" i="6"/>
  <c r="H8" i="6"/>
  <c r="O9" i="6"/>
  <c r="E11" i="6"/>
  <c r="H12" i="6"/>
  <c r="O13" i="6"/>
  <c r="E15" i="6"/>
  <c r="G15" i="6" s="1"/>
  <c r="H16" i="6"/>
  <c r="O17" i="6"/>
  <c r="E19" i="6"/>
  <c r="H20" i="6"/>
  <c r="O21" i="6"/>
  <c r="E23" i="6"/>
  <c r="H24" i="6"/>
  <c r="O25" i="6"/>
  <c r="E27" i="6"/>
  <c r="H28" i="6"/>
  <c r="O29" i="6"/>
  <c r="E6" i="6"/>
  <c r="H7" i="6"/>
  <c r="O8" i="6"/>
  <c r="E10" i="6"/>
  <c r="H11" i="6"/>
  <c r="O12" i="6"/>
  <c r="E14" i="6"/>
  <c r="H15" i="6"/>
  <c r="O16" i="6"/>
  <c r="E18" i="6"/>
  <c r="H19" i="6"/>
  <c r="O20" i="6"/>
  <c r="E22" i="6"/>
  <c r="F22" i="6" s="1"/>
  <c r="I22" i="6" s="1"/>
  <c r="J22" i="6" s="1"/>
  <c r="H23" i="6"/>
  <c r="O24" i="6"/>
  <c r="E26" i="6"/>
  <c r="A26" i="6" s="1"/>
  <c r="H27" i="6"/>
  <c r="O28" i="6"/>
  <c r="E30" i="6"/>
  <c r="H581" i="6"/>
  <c r="O582" i="6"/>
  <c r="E584" i="6"/>
  <c r="H585" i="6"/>
  <c r="O586" i="6"/>
  <c r="E588" i="6"/>
  <c r="A588" i="6" s="1"/>
  <c r="H589" i="6"/>
  <c r="J589" i="6" s="1"/>
  <c r="O590" i="6"/>
  <c r="E592" i="6"/>
  <c r="H593" i="6"/>
  <c r="O594" i="6"/>
  <c r="E596" i="6"/>
  <c r="F596" i="6" s="1"/>
  <c r="I596" i="6" s="1"/>
  <c r="H597" i="6"/>
  <c r="O598" i="6"/>
  <c r="E600" i="6"/>
  <c r="H601" i="6"/>
  <c r="O602" i="6"/>
  <c r="E604" i="6"/>
  <c r="A604" i="6" s="1"/>
  <c r="H605" i="6"/>
  <c r="J605" i="6" s="1"/>
  <c r="O581" i="6"/>
  <c r="E583" i="6"/>
  <c r="H584" i="6"/>
  <c r="O585" i="6"/>
  <c r="E587" i="6"/>
  <c r="H588" i="6"/>
  <c r="O589" i="6"/>
  <c r="E591" i="6"/>
  <c r="H592" i="6"/>
  <c r="O593" i="6"/>
  <c r="E595" i="6"/>
  <c r="B595" i="6" s="1"/>
  <c r="H596" i="6"/>
  <c r="J596" i="6" s="1"/>
  <c r="O597" i="6"/>
  <c r="E599" i="6"/>
  <c r="H600" i="6"/>
  <c r="O601" i="6"/>
  <c r="E603" i="6"/>
  <c r="H604" i="6"/>
  <c r="O605" i="6"/>
  <c r="E582" i="6"/>
  <c r="H583" i="6"/>
  <c r="O584" i="6"/>
  <c r="E586" i="6"/>
  <c r="H587" i="6"/>
  <c r="O588" i="6"/>
  <c r="E590" i="6"/>
  <c r="H591" i="6"/>
  <c r="O592" i="6"/>
  <c r="E594" i="6"/>
  <c r="H595" i="6"/>
  <c r="O596" i="6"/>
  <c r="E598" i="6"/>
  <c r="H599" i="6"/>
  <c r="O600" i="6"/>
  <c r="E602" i="6"/>
  <c r="H603" i="6"/>
  <c r="O604" i="6"/>
  <c r="E233" i="6"/>
  <c r="H231" i="6"/>
  <c r="O233" i="6"/>
  <c r="H235" i="6"/>
  <c r="J235" i="6" s="1"/>
  <c r="O236" i="6"/>
  <c r="E238" i="6"/>
  <c r="F238" i="6" s="1"/>
  <c r="I238" i="6" s="1"/>
  <c r="J238" i="6" s="1"/>
  <c r="H239" i="6"/>
  <c r="J239" i="6" s="1"/>
  <c r="O240" i="6"/>
  <c r="E242" i="6"/>
  <c r="B242" i="6" s="1"/>
  <c r="H243" i="6"/>
  <c r="J243" i="6" s="1"/>
  <c r="O244" i="6"/>
  <c r="E246" i="6"/>
  <c r="H247" i="6"/>
  <c r="O248" i="6"/>
  <c r="E250" i="6"/>
  <c r="H251" i="6"/>
  <c r="O252" i="6"/>
  <c r="E254" i="6"/>
  <c r="B254" i="6" s="1"/>
  <c r="H255" i="6"/>
  <c r="J255" i="6" s="1"/>
  <c r="O231" i="6"/>
  <c r="E234" i="6"/>
  <c r="O235" i="6"/>
  <c r="E237" i="6"/>
  <c r="H238" i="6"/>
  <c r="O239" i="6"/>
  <c r="E241" i="6"/>
  <c r="A241" i="6" s="1"/>
  <c r="H242" i="6"/>
  <c r="O243" i="6"/>
  <c r="E245" i="6"/>
  <c r="H246" i="6"/>
  <c r="O247" i="6"/>
  <c r="E249" i="6"/>
  <c r="H250" i="6"/>
  <c r="O251" i="6"/>
  <c r="E253" i="6"/>
  <c r="H254" i="6"/>
  <c r="O255" i="6"/>
  <c r="H234" i="6"/>
  <c r="O232" i="6"/>
  <c r="H232" i="6"/>
  <c r="J232" i="6" s="1"/>
  <c r="O234" i="6"/>
  <c r="E236" i="6"/>
  <c r="H237" i="6"/>
  <c r="O238" i="6"/>
  <c r="E240" i="6"/>
  <c r="H241" i="6"/>
  <c r="O242" i="6"/>
  <c r="E244" i="6"/>
  <c r="H245" i="6"/>
  <c r="O246" i="6"/>
  <c r="E248" i="6"/>
  <c r="H249" i="6"/>
  <c r="O250" i="6"/>
  <c r="E252" i="6"/>
  <c r="H253" i="6"/>
  <c r="O254" i="6"/>
  <c r="O158" i="6"/>
  <c r="O166" i="6"/>
  <c r="E168" i="6"/>
  <c r="H169" i="6"/>
  <c r="J169" i="6" s="1"/>
  <c r="O170" i="6"/>
  <c r="E172" i="6"/>
  <c r="H173" i="6"/>
  <c r="J173" i="6" s="1"/>
  <c r="O174" i="6"/>
  <c r="E176" i="6"/>
  <c r="H177" i="6"/>
  <c r="O178" i="6"/>
  <c r="E180" i="6"/>
  <c r="E157" i="6"/>
  <c r="H162" i="6"/>
  <c r="E164" i="6"/>
  <c r="O157" i="6"/>
  <c r="E161" i="6"/>
  <c r="E165" i="6"/>
  <c r="E156" i="6"/>
  <c r="E160" i="6"/>
  <c r="E167" i="6"/>
  <c r="H168" i="6"/>
  <c r="O169" i="6"/>
  <c r="E171" i="6"/>
  <c r="H172" i="6"/>
  <c r="O173" i="6"/>
  <c r="E175" i="6"/>
  <c r="H176" i="6"/>
  <c r="O177" i="6"/>
  <c r="E179" i="6"/>
  <c r="H180" i="6"/>
  <c r="E159" i="6"/>
  <c r="O162" i="6"/>
  <c r="H164" i="6"/>
  <c r="H158" i="6"/>
  <c r="J158" i="6" s="1"/>
  <c r="K158" i="6" s="1"/>
  <c r="H161" i="6"/>
  <c r="O165" i="6"/>
  <c r="H157" i="6"/>
  <c r="O160" i="6"/>
  <c r="H167" i="6"/>
  <c r="O168" i="6"/>
  <c r="E170" i="6"/>
  <c r="H171" i="6"/>
  <c r="O172" i="6"/>
  <c r="E174" i="6"/>
  <c r="H175" i="6"/>
  <c r="O176" i="6"/>
  <c r="E178" i="6"/>
  <c r="H179" i="6"/>
  <c r="O180" i="6"/>
  <c r="O159" i="6"/>
  <c r="H163" i="6"/>
  <c r="H165" i="6"/>
  <c r="H159" i="6"/>
  <c r="E162" i="6"/>
  <c r="E166" i="6"/>
  <c r="E211" i="6"/>
  <c r="O281" i="6"/>
  <c r="E107" i="6"/>
  <c r="E215" i="6"/>
  <c r="J618" i="6"/>
  <c r="M567" i="6"/>
  <c r="L567" i="6"/>
  <c r="N314" i="6"/>
  <c r="K314" i="6"/>
  <c r="D350" i="6"/>
  <c r="A350" i="6"/>
  <c r="C505" i="6"/>
  <c r="B505" i="6"/>
  <c r="B493" i="6"/>
  <c r="C493" i="6"/>
  <c r="C489" i="6"/>
  <c r="B489" i="6"/>
  <c r="K567" i="6"/>
  <c r="L314" i="6"/>
  <c r="C426" i="6"/>
  <c r="D422" i="6"/>
  <c r="F505" i="6"/>
  <c r="I505" i="6" s="1"/>
  <c r="J505" i="6" s="1"/>
  <c r="N505" i="6" s="1"/>
  <c r="F489" i="6"/>
  <c r="I489" i="6" s="1"/>
  <c r="N88" i="6"/>
  <c r="M88" i="6"/>
  <c r="N565" i="6"/>
  <c r="K565" i="6"/>
  <c r="L308" i="6"/>
  <c r="N308" i="6"/>
  <c r="G187" i="6"/>
  <c r="D187" i="6"/>
  <c r="F187" i="6"/>
  <c r="I187" i="6" s="1"/>
  <c r="B182" i="6"/>
  <c r="G182" i="6"/>
  <c r="F412" i="6"/>
  <c r="I412" i="6" s="1"/>
  <c r="J412" i="6" s="1"/>
  <c r="C412" i="6"/>
  <c r="G412" i="6"/>
  <c r="A412" i="6"/>
  <c r="G343" i="6"/>
  <c r="D343" i="6"/>
  <c r="F343" i="6"/>
  <c r="I343" i="6" s="1"/>
  <c r="J343" i="6" s="1"/>
  <c r="C343" i="6"/>
  <c r="F339" i="6"/>
  <c r="I339" i="6" s="1"/>
  <c r="C339" i="6"/>
  <c r="D339" i="6"/>
  <c r="G339" i="6"/>
  <c r="B335" i="6"/>
  <c r="G335" i="6"/>
  <c r="A335" i="6"/>
  <c r="B331" i="6"/>
  <c r="C331" i="6"/>
  <c r="F331" i="6"/>
  <c r="I331" i="6" s="1"/>
  <c r="D331" i="6"/>
  <c r="D16" i="6"/>
  <c r="F12" i="6"/>
  <c r="I12" i="6" s="1"/>
  <c r="C12" i="6"/>
  <c r="D12" i="6"/>
  <c r="A12" i="6"/>
  <c r="B12" i="6"/>
  <c r="G395" i="6"/>
  <c r="D395" i="6"/>
  <c r="A395" i="6"/>
  <c r="C395" i="6"/>
  <c r="G387" i="6"/>
  <c r="D387" i="6"/>
  <c r="B387" i="6"/>
  <c r="A387" i="6"/>
  <c r="C387" i="6"/>
  <c r="B383" i="6"/>
  <c r="C383" i="6"/>
  <c r="G383" i="6"/>
  <c r="A383" i="6"/>
  <c r="G629" i="6"/>
  <c r="D629" i="6"/>
  <c r="C629" i="6"/>
  <c r="F629" i="6"/>
  <c r="I629" i="6" s="1"/>
  <c r="J629" i="6" s="1"/>
  <c r="A629" i="6"/>
  <c r="B625" i="6"/>
  <c r="F625" i="6"/>
  <c r="I625" i="6" s="1"/>
  <c r="J625" i="6" s="1"/>
  <c r="D625" i="6"/>
  <c r="G625" i="6"/>
  <c r="F621" i="6"/>
  <c r="I621" i="6" s="1"/>
  <c r="J621" i="6" s="1"/>
  <c r="C621" i="6"/>
  <c r="D621" i="6"/>
  <c r="A621" i="6"/>
  <c r="B621" i="6"/>
  <c r="A617" i="6"/>
  <c r="D617" i="6"/>
  <c r="G617" i="6"/>
  <c r="B617" i="6"/>
  <c r="B613" i="6"/>
  <c r="F613" i="6"/>
  <c r="I613" i="6" s="1"/>
  <c r="J613" i="6" s="1"/>
  <c r="K613" i="6" s="1"/>
  <c r="D613" i="6"/>
  <c r="C613" i="6"/>
  <c r="G609" i="6"/>
  <c r="D609" i="6"/>
  <c r="F609" i="6"/>
  <c r="I609" i="6" s="1"/>
  <c r="J609" i="6" s="1"/>
  <c r="L609" i="6" s="1"/>
  <c r="B609" i="6"/>
  <c r="C609" i="6"/>
  <c r="A151" i="6"/>
  <c r="F151" i="6"/>
  <c r="I151" i="6" s="1"/>
  <c r="J151" i="6" s="1"/>
  <c r="B151" i="6"/>
  <c r="D151" i="6"/>
  <c r="C151" i="6"/>
  <c r="A145" i="6"/>
  <c r="F145" i="6"/>
  <c r="I145" i="6" s="1"/>
  <c r="J145" i="6" s="1"/>
  <c r="D145" i="6"/>
  <c r="C145" i="6"/>
  <c r="D142" i="6"/>
  <c r="B142" i="6"/>
  <c r="F142" i="6"/>
  <c r="I142" i="6" s="1"/>
  <c r="J142" i="6" s="1"/>
  <c r="M142" i="6" s="1"/>
  <c r="A142" i="6"/>
  <c r="G144" i="6"/>
  <c r="A144" i="6"/>
  <c r="C144" i="6"/>
  <c r="F144" i="6"/>
  <c r="I144" i="6" s="1"/>
  <c r="J144" i="6" s="1"/>
  <c r="B144" i="6"/>
  <c r="C154" i="6"/>
  <c r="G154" i="6"/>
  <c r="D154" i="6"/>
  <c r="F154" i="6"/>
  <c r="I154" i="6" s="1"/>
  <c r="J154" i="6" s="1"/>
  <c r="N154" i="6" s="1"/>
  <c r="B139" i="6"/>
  <c r="G139" i="6"/>
  <c r="D139" i="6"/>
  <c r="F139" i="6"/>
  <c r="I139" i="6" s="1"/>
  <c r="J139" i="6" s="1"/>
  <c r="L139" i="6" s="1"/>
  <c r="F135" i="6"/>
  <c r="I135" i="6" s="1"/>
  <c r="J135" i="6" s="1"/>
  <c r="C135" i="6"/>
  <c r="G135" i="6"/>
  <c r="B135" i="6"/>
  <c r="D135" i="6"/>
  <c r="A131" i="6"/>
  <c r="G131" i="6"/>
  <c r="B131" i="6"/>
  <c r="C131" i="6"/>
  <c r="F302" i="6"/>
  <c r="I302" i="6" s="1"/>
  <c r="J302" i="6" s="1"/>
  <c r="M302" i="6" s="1"/>
  <c r="C302" i="6"/>
  <c r="A302" i="6"/>
  <c r="G302" i="6"/>
  <c r="B302" i="6"/>
  <c r="A298" i="6"/>
  <c r="B298" i="6"/>
  <c r="F298" i="6"/>
  <c r="I298" i="6" s="1"/>
  <c r="J298" i="6" s="1"/>
  <c r="G298" i="6"/>
  <c r="F294" i="6"/>
  <c r="I294" i="6" s="1"/>
  <c r="J294" i="6" s="1"/>
  <c r="C294" i="6"/>
  <c r="B294" i="6"/>
  <c r="G294" i="6"/>
  <c r="B290" i="6"/>
  <c r="F290" i="6"/>
  <c r="I290" i="6" s="1"/>
  <c r="J290" i="6" s="1"/>
  <c r="K290" i="6" s="1"/>
  <c r="D290" i="6"/>
  <c r="G290" i="6"/>
  <c r="G286" i="6"/>
  <c r="D286" i="6"/>
  <c r="F286" i="6"/>
  <c r="I286" i="6" s="1"/>
  <c r="J286" i="6" s="1"/>
  <c r="C286" i="6"/>
  <c r="D49" i="6"/>
  <c r="F49" i="6"/>
  <c r="I49" i="6" s="1"/>
  <c r="G49" i="6"/>
  <c r="G45" i="6"/>
  <c r="D45" i="6"/>
  <c r="G33" i="6"/>
  <c r="F33" i="6"/>
  <c r="I33" i="6" s="1"/>
  <c r="J33" i="6" s="1"/>
  <c r="C346" i="6"/>
  <c r="D346" i="6"/>
  <c r="A407" i="6"/>
  <c r="J351" i="6"/>
  <c r="L351" i="6" s="1"/>
  <c r="A338" i="6"/>
  <c r="G408" i="6"/>
  <c r="D408" i="6"/>
  <c r="C408" i="6"/>
  <c r="F408" i="6"/>
  <c r="I408" i="6" s="1"/>
  <c r="B50" i="6"/>
  <c r="A50" i="6"/>
  <c r="C50" i="6"/>
  <c r="A46" i="6"/>
  <c r="C46" i="6"/>
  <c r="D46" i="6"/>
  <c r="F46" i="6"/>
  <c r="I46" i="6" s="1"/>
  <c r="J46" i="6" s="1"/>
  <c r="G42" i="6"/>
  <c r="D42" i="6"/>
  <c r="C42" i="6"/>
  <c r="F42" i="6"/>
  <c r="I42" i="6" s="1"/>
  <c r="J42" i="6" s="1"/>
  <c r="F38" i="6"/>
  <c r="I38" i="6" s="1"/>
  <c r="J38" i="6" s="1"/>
  <c r="B38" i="6"/>
  <c r="D38" i="6"/>
  <c r="G38" i="6"/>
  <c r="A34" i="6"/>
  <c r="G34" i="6"/>
  <c r="B34" i="6"/>
  <c r="G355" i="6"/>
  <c r="D355" i="6"/>
  <c r="A355" i="6"/>
  <c r="B355" i="6"/>
  <c r="A502" i="6"/>
  <c r="D502" i="6"/>
  <c r="G502" i="6"/>
  <c r="A498" i="6"/>
  <c r="B498" i="6"/>
  <c r="C498" i="6"/>
  <c r="B490" i="6"/>
  <c r="C490" i="6"/>
  <c r="F490" i="6"/>
  <c r="I490" i="6" s="1"/>
  <c r="J490" i="6" s="1"/>
  <c r="M490" i="6" s="1"/>
  <c r="D490" i="6"/>
  <c r="B8" i="6"/>
  <c r="F8" i="6"/>
  <c r="I8" i="6" s="1"/>
  <c r="D8" i="6"/>
  <c r="G8" i="6"/>
  <c r="A8" i="6"/>
  <c r="J491" i="6"/>
  <c r="M491" i="6" s="1"/>
  <c r="F383" i="6"/>
  <c r="I383" i="6" s="1"/>
  <c r="J630" i="6"/>
  <c r="N630" i="6" s="1"/>
  <c r="F617" i="6"/>
  <c r="I617" i="6" s="1"/>
  <c r="J617" i="6" s="1"/>
  <c r="G613" i="6"/>
  <c r="G145" i="6"/>
  <c r="G142" i="6"/>
  <c r="B154" i="6"/>
  <c r="A139" i="6"/>
  <c r="A135" i="6"/>
  <c r="D298" i="6"/>
  <c r="K303" i="6"/>
  <c r="M303" i="6"/>
  <c r="L303" i="6"/>
  <c r="G202" i="6"/>
  <c r="D202" i="6"/>
  <c r="A202" i="6"/>
  <c r="G497" i="6"/>
  <c r="F497" i="6"/>
  <c r="I497" i="6" s="1"/>
  <c r="J497" i="6" s="1"/>
  <c r="K497" i="6" s="1"/>
  <c r="D497" i="6"/>
  <c r="K519" i="6"/>
  <c r="B203" i="6"/>
  <c r="C203" i="6"/>
  <c r="G199" i="6"/>
  <c r="D199" i="6"/>
  <c r="B199" i="6"/>
  <c r="B195" i="6"/>
  <c r="C195" i="6"/>
  <c r="G191" i="6"/>
  <c r="D191" i="6"/>
  <c r="B191" i="6"/>
  <c r="A427" i="6"/>
  <c r="D427" i="6"/>
  <c r="C427" i="6"/>
  <c r="F425" i="6"/>
  <c r="I425" i="6" s="1"/>
  <c r="J425" i="6" s="1"/>
  <c r="N425" i="6" s="1"/>
  <c r="G425" i="6"/>
  <c r="C425" i="6"/>
  <c r="B425" i="6"/>
  <c r="A416" i="6"/>
  <c r="G416" i="6"/>
  <c r="B416" i="6"/>
  <c r="C54" i="6"/>
  <c r="G54" i="6"/>
  <c r="A54" i="6"/>
  <c r="B351" i="6"/>
  <c r="A351" i="6"/>
  <c r="C351" i="6"/>
  <c r="A347" i="6"/>
  <c r="C347" i="6"/>
  <c r="F347" i="6"/>
  <c r="I347" i="6" s="1"/>
  <c r="J347" i="6" s="1"/>
  <c r="D347" i="6"/>
  <c r="G494" i="6"/>
  <c r="D494" i="6"/>
  <c r="B494" i="6"/>
  <c r="C494" i="6"/>
  <c r="A486" i="6"/>
  <c r="F486" i="6"/>
  <c r="I486" i="6" s="1"/>
  <c r="J486" i="6" s="1"/>
  <c r="D486" i="6"/>
  <c r="G486" i="6"/>
  <c r="G482" i="6"/>
  <c r="D482" i="6"/>
  <c r="A482" i="6"/>
  <c r="B482" i="6"/>
  <c r="F28" i="6"/>
  <c r="I28" i="6" s="1"/>
  <c r="C28" i="6"/>
  <c r="B28" i="6"/>
  <c r="D28" i="6"/>
  <c r="A24" i="6"/>
  <c r="C24" i="6"/>
  <c r="F24" i="6"/>
  <c r="I24" i="6" s="1"/>
  <c r="J24" i="6" s="1"/>
  <c r="D24" i="6"/>
  <c r="C20" i="6"/>
  <c r="A403" i="6"/>
  <c r="B403" i="6"/>
  <c r="G403" i="6"/>
  <c r="C403" i="6"/>
  <c r="F399" i="6"/>
  <c r="I399" i="6" s="1"/>
  <c r="J399" i="6" s="1"/>
  <c r="N399" i="6" s="1"/>
  <c r="C399" i="6"/>
  <c r="B399" i="6"/>
  <c r="G399" i="6"/>
  <c r="A399" i="6"/>
  <c r="B391" i="6"/>
  <c r="A391" i="6"/>
  <c r="C391" i="6"/>
  <c r="D391" i="6"/>
  <c r="N437" i="6"/>
  <c r="K431" i="6"/>
  <c r="M519" i="6"/>
  <c r="M572" i="6"/>
  <c r="L565" i="6"/>
  <c r="M308" i="6"/>
  <c r="D203" i="6"/>
  <c r="F199" i="6"/>
  <c r="I199" i="6" s="1"/>
  <c r="D195" i="6"/>
  <c r="F191" i="6"/>
  <c r="I191" i="6" s="1"/>
  <c r="J191" i="6" s="1"/>
  <c r="K191" i="6" s="1"/>
  <c r="B187" i="6"/>
  <c r="A182" i="6"/>
  <c r="J420" i="6"/>
  <c r="B427" i="6"/>
  <c r="J421" i="6"/>
  <c r="K421" i="6" s="1"/>
  <c r="A425" i="6"/>
  <c r="F416" i="6"/>
  <c r="I416" i="6" s="1"/>
  <c r="J416" i="6" s="1"/>
  <c r="D412" i="6"/>
  <c r="B54" i="6"/>
  <c r="J51" i="6"/>
  <c r="F45" i="6"/>
  <c r="I45" i="6" s="1"/>
  <c r="A42" i="6"/>
  <c r="C38" i="6"/>
  <c r="F34" i="6"/>
  <c r="I34" i="6" s="1"/>
  <c r="C355" i="6"/>
  <c r="G347" i="6"/>
  <c r="B343" i="6"/>
  <c r="C335" i="6"/>
  <c r="J332" i="6"/>
  <c r="L332" i="6" s="1"/>
  <c r="F502" i="6"/>
  <c r="I502" i="6" s="1"/>
  <c r="J502" i="6" s="1"/>
  <c r="M502" i="6" s="1"/>
  <c r="D498" i="6"/>
  <c r="J495" i="6"/>
  <c r="M483" i="6"/>
  <c r="N79" i="6"/>
  <c r="K437" i="6"/>
  <c r="N431" i="6"/>
  <c r="N519" i="6"/>
  <c r="M565" i="6"/>
  <c r="K308" i="6"/>
  <c r="A203" i="6"/>
  <c r="J200" i="6"/>
  <c r="K200" i="6" s="1"/>
  <c r="A198" i="6"/>
  <c r="A195" i="6"/>
  <c r="J192" i="6"/>
  <c r="A187" i="6"/>
  <c r="F182" i="6"/>
  <c r="I182" i="6" s="1"/>
  <c r="G427" i="6"/>
  <c r="D425" i="6"/>
  <c r="D415" i="6"/>
  <c r="B412" i="6"/>
  <c r="B408" i="6"/>
  <c r="F54" i="6"/>
  <c r="I54" i="6" s="1"/>
  <c r="J54" i="6" s="1"/>
  <c r="D50" i="6"/>
  <c r="F41" i="6"/>
  <c r="I41" i="6" s="1"/>
  <c r="J41" i="6" s="1"/>
  <c r="M41" i="6" s="1"/>
  <c r="A38" i="6"/>
  <c r="D33" i="6"/>
  <c r="F355" i="6"/>
  <c r="I355" i="6" s="1"/>
  <c r="J355" i="6" s="1"/>
  <c r="D351" i="6"/>
  <c r="F346" i="6"/>
  <c r="I346" i="6" s="1"/>
  <c r="A343" i="6"/>
  <c r="B339" i="6"/>
  <c r="F335" i="6"/>
  <c r="I335" i="6" s="1"/>
  <c r="J335" i="6" s="1"/>
  <c r="L335" i="6" s="1"/>
  <c r="A331" i="6"/>
  <c r="A501" i="6"/>
  <c r="G498" i="6"/>
  <c r="A494" i="6"/>
  <c r="A490" i="6"/>
  <c r="F482" i="6"/>
  <c r="I482" i="6" s="1"/>
  <c r="J482" i="6" s="1"/>
  <c r="M482" i="6" s="1"/>
  <c r="B24" i="6"/>
  <c r="D20" i="6"/>
  <c r="J13" i="6"/>
  <c r="F403" i="6"/>
  <c r="I403" i="6" s="1"/>
  <c r="J403" i="6" s="1"/>
  <c r="L403" i="6" s="1"/>
  <c r="J400" i="6"/>
  <c r="L400" i="6" s="1"/>
  <c r="F391" i="6"/>
  <c r="I391" i="6" s="1"/>
  <c r="J391" i="6" s="1"/>
  <c r="J388" i="6"/>
  <c r="B629" i="6"/>
  <c r="A609" i="6"/>
  <c r="C142" i="6"/>
  <c r="D131" i="6"/>
  <c r="C298" i="6"/>
  <c r="C290" i="6"/>
  <c r="B529" i="6"/>
  <c r="C529" i="6"/>
  <c r="F529" i="6"/>
  <c r="I529" i="6" s="1"/>
  <c r="G529" i="6"/>
  <c r="F525" i="6"/>
  <c r="I525" i="6" s="1"/>
  <c r="C525" i="6"/>
  <c r="G525" i="6"/>
  <c r="D525" i="6"/>
  <c r="B525" i="6"/>
  <c r="B521" i="6"/>
  <c r="F521" i="6"/>
  <c r="I521" i="6" s="1"/>
  <c r="C521" i="6"/>
  <c r="A521" i="6"/>
  <c r="G521" i="6"/>
  <c r="D521" i="6"/>
  <c r="A515" i="6"/>
  <c r="B515" i="6"/>
  <c r="C515" i="6"/>
  <c r="G515" i="6"/>
  <c r="D513" i="6"/>
  <c r="C513" i="6"/>
  <c r="F513" i="6"/>
  <c r="I513" i="6" s="1"/>
  <c r="J513" i="6" s="1"/>
  <c r="G513" i="6"/>
  <c r="G507" i="6"/>
  <c r="D507" i="6"/>
  <c r="A507" i="6"/>
  <c r="C507" i="6"/>
  <c r="B78" i="6"/>
  <c r="F78" i="6"/>
  <c r="I78" i="6" s="1"/>
  <c r="J78" i="6" s="1"/>
  <c r="C78" i="6"/>
  <c r="A78" i="6"/>
  <c r="G78" i="6"/>
  <c r="D78" i="6"/>
  <c r="B74" i="6"/>
  <c r="F74" i="6"/>
  <c r="I74" i="6" s="1"/>
  <c r="C74" i="6"/>
  <c r="D74" i="6"/>
  <c r="G74" i="6"/>
  <c r="A74" i="6"/>
  <c r="J71" i="6"/>
  <c r="L71" i="6" s="1"/>
  <c r="F70" i="6"/>
  <c r="I70" i="6" s="1"/>
  <c r="J70" i="6" s="1"/>
  <c r="C70" i="6"/>
  <c r="G70" i="6"/>
  <c r="D70" i="6"/>
  <c r="A70" i="6"/>
  <c r="B70" i="6"/>
  <c r="F66" i="6"/>
  <c r="I66" i="6" s="1"/>
  <c r="C66" i="6"/>
  <c r="G66" i="6"/>
  <c r="D66" i="6"/>
  <c r="A66" i="6"/>
  <c r="B66" i="6"/>
  <c r="F56" i="6"/>
  <c r="I56" i="6" s="1"/>
  <c r="J56" i="6" s="1"/>
  <c r="C56" i="6"/>
  <c r="G56" i="6"/>
  <c r="D56" i="6"/>
  <c r="A56" i="6"/>
  <c r="B56" i="6"/>
  <c r="F277" i="6"/>
  <c r="I277" i="6" s="1"/>
  <c r="J277" i="6" s="1"/>
  <c r="C277" i="6"/>
  <c r="G277" i="6"/>
  <c r="D277" i="6"/>
  <c r="A277" i="6"/>
  <c r="B277" i="6"/>
  <c r="B273" i="6"/>
  <c r="F273" i="6"/>
  <c r="I273" i="6" s="1"/>
  <c r="J273" i="6" s="1"/>
  <c r="N273" i="6" s="1"/>
  <c r="C273" i="6"/>
  <c r="G273" i="6"/>
  <c r="A273" i="6"/>
  <c r="A269" i="6"/>
  <c r="B269" i="6"/>
  <c r="F269" i="6"/>
  <c r="I269" i="6" s="1"/>
  <c r="J269" i="6" s="1"/>
  <c r="G269" i="6"/>
  <c r="C269" i="6"/>
  <c r="F265" i="6"/>
  <c r="I265" i="6" s="1"/>
  <c r="J265" i="6" s="1"/>
  <c r="C265" i="6"/>
  <c r="G265" i="6"/>
  <c r="D265" i="6"/>
  <c r="B261" i="6"/>
  <c r="F261" i="6"/>
  <c r="I261" i="6" s="1"/>
  <c r="C261" i="6"/>
  <c r="D261" i="6"/>
  <c r="A261" i="6"/>
  <c r="B257" i="6"/>
  <c r="F257" i="6"/>
  <c r="I257" i="6" s="1"/>
  <c r="J257" i="6" s="1"/>
  <c r="C257" i="6"/>
  <c r="D257" i="6"/>
  <c r="F478" i="6"/>
  <c r="I478" i="6" s="1"/>
  <c r="J478" i="6" s="1"/>
  <c r="L478" i="6" s="1"/>
  <c r="B478" i="6"/>
  <c r="C478" i="6"/>
  <c r="G478" i="6"/>
  <c r="F474" i="6"/>
  <c r="I474" i="6" s="1"/>
  <c r="J474" i="6" s="1"/>
  <c r="M474" i="6" s="1"/>
  <c r="C474" i="6"/>
  <c r="G474" i="6"/>
  <c r="D474" i="6"/>
  <c r="A474" i="6"/>
  <c r="B470" i="6"/>
  <c r="F470" i="6"/>
  <c r="I470" i="6" s="1"/>
  <c r="J470" i="6" s="1"/>
  <c r="C470" i="6"/>
  <c r="G470" i="6"/>
  <c r="A470" i="6"/>
  <c r="D470" i="6"/>
  <c r="J340" i="6"/>
  <c r="K340" i="6" s="1"/>
  <c r="J396" i="6"/>
  <c r="N396" i="6" s="1"/>
  <c r="J614" i="6"/>
  <c r="J150" i="6"/>
  <c r="J522" i="6"/>
  <c r="M522" i="6" s="1"/>
  <c r="J75" i="6"/>
  <c r="N75" i="6" s="1"/>
  <c r="J67" i="6"/>
  <c r="N67" i="6" s="1"/>
  <c r="J409" i="6"/>
  <c r="J55" i="6"/>
  <c r="L55" i="6" s="1"/>
  <c r="J43" i="6"/>
  <c r="M43" i="6" s="1"/>
  <c r="J344" i="6"/>
  <c r="J183" i="6"/>
  <c r="K183" i="6" s="1"/>
  <c r="J413" i="6"/>
  <c r="N413" i="6" s="1"/>
  <c r="J336" i="6"/>
  <c r="J626" i="6"/>
  <c r="J295" i="6"/>
  <c r="J291" i="6"/>
  <c r="D529" i="6"/>
  <c r="F515" i="6"/>
  <c r="I515" i="6" s="1"/>
  <c r="J515" i="6" s="1"/>
  <c r="A513" i="6"/>
  <c r="B507" i="6"/>
  <c r="B265" i="6"/>
  <c r="B466" i="6"/>
  <c r="F466" i="6"/>
  <c r="I466" i="6" s="1"/>
  <c r="J466" i="6" s="1"/>
  <c r="C466" i="6"/>
  <c r="A466" i="6"/>
  <c r="B462" i="6"/>
  <c r="F462" i="6"/>
  <c r="I462" i="6" s="1"/>
  <c r="C462" i="6"/>
  <c r="D462" i="6"/>
  <c r="B458" i="6"/>
  <c r="F458" i="6"/>
  <c r="I458" i="6" s="1"/>
  <c r="J458" i="6" s="1"/>
  <c r="C458" i="6"/>
  <c r="F604" i="6"/>
  <c r="I604" i="6" s="1"/>
  <c r="J604" i="6" s="1"/>
  <c r="N604" i="6" s="1"/>
  <c r="G604" i="6"/>
  <c r="A600" i="6"/>
  <c r="G596" i="6"/>
  <c r="D596" i="6"/>
  <c r="A596" i="6"/>
  <c r="C596" i="6"/>
  <c r="A592" i="6"/>
  <c r="F592" i="6"/>
  <c r="I592" i="6" s="1"/>
  <c r="J592" i="6" s="1"/>
  <c r="K592" i="6" s="1"/>
  <c r="B592" i="6"/>
  <c r="G592" i="6"/>
  <c r="G588" i="6"/>
  <c r="D588" i="6"/>
  <c r="B130" i="6"/>
  <c r="F130" i="6"/>
  <c r="I130" i="6" s="1"/>
  <c r="J130" i="6" s="1"/>
  <c r="C130" i="6"/>
  <c r="B126" i="6"/>
  <c r="F126" i="6"/>
  <c r="I126" i="6" s="1"/>
  <c r="J126" i="6" s="1"/>
  <c r="K126" i="6" s="1"/>
  <c r="C126" i="6"/>
  <c r="G126" i="6"/>
  <c r="A122" i="6"/>
  <c r="B122" i="6"/>
  <c r="G122" i="6"/>
  <c r="G118" i="6"/>
  <c r="D118" i="6"/>
  <c r="A118" i="6"/>
  <c r="B118" i="6"/>
  <c r="A114" i="6"/>
  <c r="B114" i="6"/>
  <c r="D114" i="6"/>
  <c r="G254" i="6"/>
  <c r="D254" i="6"/>
  <c r="A246" i="6"/>
  <c r="B246" i="6"/>
  <c r="C246" i="6"/>
  <c r="C242" i="6"/>
  <c r="D242" i="6"/>
  <c r="A238" i="6"/>
  <c r="B238" i="6"/>
  <c r="J47" i="6"/>
  <c r="J35" i="6"/>
  <c r="M35" i="6" s="1"/>
  <c r="J503" i="6"/>
  <c r="L503" i="6" s="1"/>
  <c r="J487" i="6"/>
  <c r="J136" i="6"/>
  <c r="L136" i="6" s="1"/>
  <c r="J287" i="6"/>
  <c r="L287" i="6" s="1"/>
  <c r="J283" i="6"/>
  <c r="J510" i="6"/>
  <c r="M510" i="6" s="1"/>
  <c r="J262" i="6"/>
  <c r="N262" i="6" s="1"/>
  <c r="D466" i="6"/>
  <c r="A462" i="6"/>
  <c r="D458" i="6"/>
  <c r="J601" i="6"/>
  <c r="B588" i="6"/>
  <c r="J585" i="6"/>
  <c r="A130" i="6"/>
  <c r="D126" i="6"/>
  <c r="C122" i="6"/>
  <c r="F118" i="6"/>
  <c r="I118" i="6" s="1"/>
  <c r="G114" i="6"/>
  <c r="D246" i="6"/>
  <c r="J530" i="6"/>
  <c r="L530" i="6" s="1"/>
  <c r="J479" i="6"/>
  <c r="J475" i="6"/>
  <c r="N475" i="6" s="1"/>
  <c r="G466" i="6"/>
  <c r="G462" i="6"/>
  <c r="A458" i="6"/>
  <c r="D604" i="6"/>
  <c r="B596" i="6"/>
  <c r="G368" i="6"/>
  <c r="A368" i="6"/>
  <c r="G82" i="6"/>
  <c r="A82" i="6"/>
  <c r="A228" i="6"/>
  <c r="C228" i="6"/>
  <c r="F228" i="6"/>
  <c r="I228" i="6" s="1"/>
  <c r="J228" i="6" s="1"/>
  <c r="D228" i="6"/>
  <c r="A224" i="6"/>
  <c r="C224" i="6"/>
  <c r="B220" i="6"/>
  <c r="G220" i="6"/>
  <c r="A220" i="6"/>
  <c r="J17" i="6"/>
  <c r="J404" i="6"/>
  <c r="J606" i="6"/>
  <c r="L606" i="6" s="1"/>
  <c r="J132" i="6"/>
  <c r="L132" i="6" s="1"/>
  <c r="J299" i="6"/>
  <c r="J518" i="6"/>
  <c r="J274" i="6"/>
  <c r="J266" i="6"/>
  <c r="J258" i="6"/>
  <c r="J459" i="6"/>
  <c r="J581" i="6"/>
  <c r="L581" i="6" s="1"/>
  <c r="C97" i="6"/>
  <c r="J508" i="6"/>
  <c r="J597" i="6"/>
  <c r="N597" i="6" s="1"/>
  <c r="J119" i="6"/>
  <c r="J251" i="6"/>
  <c r="N251" i="6" s="1"/>
  <c r="J270" i="6"/>
  <c r="J593" i="6"/>
  <c r="J123" i="6"/>
  <c r="J247" i="6"/>
  <c r="J83" i="6"/>
  <c r="M83" i="6" s="1"/>
  <c r="J611" i="6"/>
  <c r="L611" i="6" s="1"/>
  <c r="L290" i="6"/>
  <c r="N290" i="6"/>
  <c r="J354" i="6"/>
  <c r="L354" i="6" s="1"/>
  <c r="K403" i="6"/>
  <c r="M290" i="6"/>
  <c r="L491" i="6"/>
  <c r="L451" i="6"/>
  <c r="M451" i="6"/>
  <c r="G194" i="6"/>
  <c r="D194" i="6"/>
  <c r="A194" i="6"/>
  <c r="F190" i="6"/>
  <c r="I190" i="6" s="1"/>
  <c r="J190" i="6" s="1"/>
  <c r="C190" i="6"/>
  <c r="G190" i="6"/>
  <c r="D190" i="6"/>
  <c r="G181" i="6"/>
  <c r="D181" i="6"/>
  <c r="A181" i="6"/>
  <c r="D426" i="6"/>
  <c r="G426" i="6"/>
  <c r="F426" i="6"/>
  <c r="I426" i="6" s="1"/>
  <c r="J426" i="6" s="1"/>
  <c r="N426" i="6" s="1"/>
  <c r="C424" i="6"/>
  <c r="B424" i="6"/>
  <c r="A424" i="6"/>
  <c r="A422" i="6"/>
  <c r="C422" i="6"/>
  <c r="B417" i="6"/>
  <c r="D417" i="6"/>
  <c r="G417" i="6"/>
  <c r="C417" i="6"/>
  <c r="C423" i="6"/>
  <c r="B423" i="6"/>
  <c r="D423" i="6"/>
  <c r="C428" i="6"/>
  <c r="A428" i="6"/>
  <c r="B428" i="6"/>
  <c r="A415" i="6"/>
  <c r="B415" i="6"/>
  <c r="G411" i="6"/>
  <c r="D411" i="6"/>
  <c r="A411" i="6"/>
  <c r="F407" i="6"/>
  <c r="I407" i="6" s="1"/>
  <c r="J407" i="6" s="1"/>
  <c r="C407" i="6"/>
  <c r="G407" i="6"/>
  <c r="D407" i="6"/>
  <c r="F53" i="6"/>
  <c r="I53" i="6" s="1"/>
  <c r="J53" i="6" s="1"/>
  <c r="C53" i="6"/>
  <c r="G53" i="6"/>
  <c r="D53" i="6"/>
  <c r="A49" i="6"/>
  <c r="B49" i="6"/>
  <c r="A45" i="6"/>
  <c r="B45" i="6"/>
  <c r="G41" i="6"/>
  <c r="D41" i="6"/>
  <c r="A41" i="6"/>
  <c r="A37" i="6"/>
  <c r="F37" i="6"/>
  <c r="I37" i="6" s="1"/>
  <c r="J37" i="6" s="1"/>
  <c r="B37" i="6"/>
  <c r="A33" i="6"/>
  <c r="B33" i="6"/>
  <c r="G354" i="6"/>
  <c r="D354" i="6"/>
  <c r="A354" i="6"/>
  <c r="B350" i="6"/>
  <c r="F350" i="6"/>
  <c r="I350" i="6" s="1"/>
  <c r="J350" i="6" s="1"/>
  <c r="C350" i="6"/>
  <c r="A346" i="6"/>
  <c r="B346" i="6"/>
  <c r="G342" i="6"/>
  <c r="D342" i="6"/>
  <c r="A342" i="6"/>
  <c r="B338" i="6"/>
  <c r="F338" i="6"/>
  <c r="I338" i="6" s="1"/>
  <c r="J338" i="6" s="1"/>
  <c r="A334" i="6"/>
  <c r="G505" i="6"/>
  <c r="D505" i="6"/>
  <c r="A505" i="6"/>
  <c r="F501" i="6"/>
  <c r="I501" i="6" s="1"/>
  <c r="C501" i="6"/>
  <c r="G501" i="6"/>
  <c r="D501" i="6"/>
  <c r="B497" i="6"/>
  <c r="A497" i="6"/>
  <c r="C497" i="6"/>
  <c r="A493" i="6"/>
  <c r="F493" i="6"/>
  <c r="I493" i="6" s="1"/>
  <c r="J493" i="6" s="1"/>
  <c r="D493" i="6"/>
  <c r="G493" i="6"/>
  <c r="G489" i="6"/>
  <c r="D489" i="6"/>
  <c r="A489" i="6"/>
  <c r="G485" i="6"/>
  <c r="D485" i="6"/>
  <c r="A485" i="6"/>
  <c r="B485" i="6"/>
  <c r="C481" i="6"/>
  <c r="B481" i="6"/>
  <c r="F481" i="6"/>
  <c r="I481" i="6" s="1"/>
  <c r="D481" i="6"/>
  <c r="K617" i="6"/>
  <c r="M617" i="6"/>
  <c r="K124" i="6"/>
  <c r="K243" i="6"/>
  <c r="A185" i="6"/>
  <c r="B185" i="6"/>
  <c r="K451" i="6"/>
  <c r="J199" i="6"/>
  <c r="K199" i="6" s="1"/>
  <c r="C194" i="6"/>
  <c r="B190" i="6"/>
  <c r="G185" i="6"/>
  <c r="F181" i="6"/>
  <c r="I181" i="6" s="1"/>
  <c r="J181" i="6" s="1"/>
  <c r="G424" i="6"/>
  <c r="B422" i="6"/>
  <c r="G428" i="6"/>
  <c r="C415" i="6"/>
  <c r="B411" i="6"/>
  <c r="M613" i="6"/>
  <c r="N585" i="6"/>
  <c r="M585" i="6"/>
  <c r="M130" i="6"/>
  <c r="K130" i="6"/>
  <c r="N128" i="6"/>
  <c r="K128" i="6"/>
  <c r="K117" i="6"/>
  <c r="M117" i="6"/>
  <c r="N115" i="6"/>
  <c r="K112" i="6"/>
  <c r="L112" i="6"/>
  <c r="L251" i="6"/>
  <c r="N370" i="6"/>
  <c r="K370" i="6"/>
  <c r="L226" i="6"/>
  <c r="M226" i="6"/>
  <c r="N403" i="6"/>
  <c r="M403" i="6"/>
  <c r="N77" i="6"/>
  <c r="K77" i="6"/>
  <c r="N73" i="6"/>
  <c r="K73" i="6"/>
  <c r="N71" i="6"/>
  <c r="L77" i="6"/>
  <c r="M348" i="6"/>
  <c r="N348" i="6"/>
  <c r="M592" i="6"/>
  <c r="L436" i="6"/>
  <c r="N436" i="6"/>
  <c r="F202" i="6"/>
  <c r="I202" i="6" s="1"/>
  <c r="B202" i="6"/>
  <c r="C202" i="6"/>
  <c r="B198" i="6"/>
  <c r="F198" i="6"/>
  <c r="I198" i="6" s="1"/>
  <c r="C198" i="6"/>
  <c r="K21" i="6"/>
  <c r="M436" i="6"/>
  <c r="L348" i="6"/>
  <c r="K491" i="6"/>
  <c r="L592" i="6"/>
  <c r="N451" i="6"/>
  <c r="J203" i="6"/>
  <c r="D198" i="6"/>
  <c r="B194" i="6"/>
  <c r="A190" i="6"/>
  <c r="F185" i="6"/>
  <c r="I185" i="6" s="1"/>
  <c r="J185" i="6" s="1"/>
  <c r="B426" i="6"/>
  <c r="D424" i="6"/>
  <c r="G422" i="6"/>
  <c r="A417" i="6"/>
  <c r="G423" i="6"/>
  <c r="F428" i="6"/>
  <c r="I428" i="6" s="1"/>
  <c r="J428" i="6" s="1"/>
  <c r="G415" i="6"/>
  <c r="F411" i="6"/>
  <c r="I411" i="6" s="1"/>
  <c r="J411" i="6" s="1"/>
  <c r="N411" i="6" s="1"/>
  <c r="J408" i="6"/>
  <c r="L408" i="6" s="1"/>
  <c r="C49" i="6"/>
  <c r="C45" i="6"/>
  <c r="B41" i="6"/>
  <c r="C37" i="6"/>
  <c r="C33" i="6"/>
  <c r="L31" i="6"/>
  <c r="K31" i="6"/>
  <c r="B354" i="6"/>
  <c r="G350" i="6"/>
  <c r="G346" i="6"/>
  <c r="B342" i="6"/>
  <c r="N499" i="6"/>
  <c r="K499" i="6"/>
  <c r="M499" i="6"/>
  <c r="L495" i="6"/>
  <c r="M495" i="6"/>
  <c r="K512" i="6"/>
  <c r="L512" i="6"/>
  <c r="L277" i="6"/>
  <c r="M277" i="6"/>
  <c r="K265" i="6"/>
  <c r="N265" i="6"/>
  <c r="B282" i="6"/>
  <c r="G282" i="6"/>
  <c r="F27" i="6"/>
  <c r="I27" i="6" s="1"/>
  <c r="J27" i="6" s="1"/>
  <c r="B15" i="6"/>
  <c r="C7" i="6"/>
  <c r="G7" i="6"/>
  <c r="C402" i="6"/>
  <c r="B402" i="6"/>
  <c r="B398" i="6"/>
  <c r="F398" i="6"/>
  <c r="I398" i="6" s="1"/>
  <c r="D398" i="6"/>
  <c r="G394" i="6"/>
  <c r="D394" i="6"/>
  <c r="F394" i="6"/>
  <c r="I394" i="6" s="1"/>
  <c r="B390" i="6"/>
  <c r="G390" i="6"/>
  <c r="A386" i="6"/>
  <c r="B386" i="6"/>
  <c r="F382" i="6"/>
  <c r="I382" i="6" s="1"/>
  <c r="J382" i="6" s="1"/>
  <c r="C382" i="6"/>
  <c r="B382" i="6"/>
  <c r="A628" i="6"/>
  <c r="C628" i="6"/>
  <c r="F624" i="6"/>
  <c r="I624" i="6" s="1"/>
  <c r="J624" i="6" s="1"/>
  <c r="C624" i="6"/>
  <c r="D624" i="6"/>
  <c r="F620" i="6"/>
  <c r="I620" i="6" s="1"/>
  <c r="J620" i="6" s="1"/>
  <c r="C620" i="6"/>
  <c r="A620" i="6"/>
  <c r="G616" i="6"/>
  <c r="D616" i="6"/>
  <c r="F616" i="6"/>
  <c r="I616" i="6" s="1"/>
  <c r="J616" i="6" s="1"/>
  <c r="C616" i="6"/>
  <c r="G612" i="6"/>
  <c r="D612" i="6"/>
  <c r="A612" i="6"/>
  <c r="F608" i="6"/>
  <c r="I608" i="6" s="1"/>
  <c r="J608" i="6" s="1"/>
  <c r="C608" i="6"/>
  <c r="B608" i="6"/>
  <c r="A152" i="6"/>
  <c r="B152" i="6"/>
  <c r="F152" i="6"/>
  <c r="I152" i="6" s="1"/>
  <c r="J152" i="6" s="1"/>
  <c r="G146" i="6"/>
  <c r="D146" i="6"/>
  <c r="A146" i="6"/>
  <c r="B155" i="6"/>
  <c r="D155" i="6"/>
  <c r="C155" i="6"/>
  <c r="G138" i="6"/>
  <c r="D138" i="6"/>
  <c r="F138" i="6"/>
  <c r="I138" i="6" s="1"/>
  <c r="J138" i="6" s="1"/>
  <c r="C138" i="6"/>
  <c r="G134" i="6"/>
  <c r="D134" i="6"/>
  <c r="A77" i="6"/>
  <c r="B77" i="6"/>
  <c r="C77" i="6"/>
  <c r="D77" i="6"/>
  <c r="J74" i="6"/>
  <c r="K74" i="6" s="1"/>
  <c r="A73" i="6"/>
  <c r="C73" i="6"/>
  <c r="G73" i="6"/>
  <c r="B73" i="6"/>
  <c r="F69" i="6"/>
  <c r="I69" i="6" s="1"/>
  <c r="J69" i="6" s="1"/>
  <c r="N69" i="6" s="1"/>
  <c r="B69" i="6"/>
  <c r="G69" i="6"/>
  <c r="B65" i="6"/>
  <c r="G65" i="6"/>
  <c r="A65" i="6"/>
  <c r="C65" i="6"/>
  <c r="A62" i="6"/>
  <c r="C62" i="6"/>
  <c r="B62" i="6"/>
  <c r="D62" i="6"/>
  <c r="G278" i="6"/>
  <c r="F278" i="6"/>
  <c r="I278" i="6" s="1"/>
  <c r="J278" i="6" s="1"/>
  <c r="C278" i="6"/>
  <c r="F276" i="6"/>
  <c r="I276" i="6" s="1"/>
  <c r="J276" i="6" s="1"/>
  <c r="C276" i="6"/>
  <c r="D276" i="6"/>
  <c r="G276" i="6"/>
  <c r="A272" i="6"/>
  <c r="B272" i="6"/>
  <c r="C272" i="6"/>
  <c r="F272" i="6"/>
  <c r="I272" i="6" s="1"/>
  <c r="J272" i="6" s="1"/>
  <c r="G272" i="6"/>
  <c r="F268" i="6"/>
  <c r="I268" i="6" s="1"/>
  <c r="J268" i="6" s="1"/>
  <c r="N268" i="6" s="1"/>
  <c r="A268" i="6"/>
  <c r="B268" i="6"/>
  <c r="G268" i="6"/>
  <c r="D268" i="6"/>
  <c r="G264" i="6"/>
  <c r="A264" i="6"/>
  <c r="B264" i="6"/>
  <c r="C264" i="6"/>
  <c r="G260" i="6"/>
  <c r="D260" i="6"/>
  <c r="A260" i="6"/>
  <c r="C260" i="6"/>
  <c r="J195" i="6"/>
  <c r="N195" i="6" s="1"/>
  <c r="J182" i="6"/>
  <c r="N182" i="6" s="1"/>
  <c r="J331" i="6"/>
  <c r="B23" i="6"/>
  <c r="G19" i="6"/>
  <c r="A7" i="6"/>
  <c r="A402" i="6"/>
  <c r="A398" i="6"/>
  <c r="A394" i="6"/>
  <c r="F390" i="6"/>
  <c r="I390" i="6" s="1"/>
  <c r="F386" i="6"/>
  <c r="I386" i="6" s="1"/>
  <c r="J386" i="6" s="1"/>
  <c r="N386" i="6" s="1"/>
  <c r="J383" i="6"/>
  <c r="L383" i="6" s="1"/>
  <c r="D628" i="6"/>
  <c r="B624" i="6"/>
  <c r="B620" i="6"/>
  <c r="B616" i="6"/>
  <c r="B612" i="6"/>
  <c r="A608" i="6"/>
  <c r="C152" i="6"/>
  <c r="B146" i="6"/>
  <c r="A138" i="6"/>
  <c r="A134" i="6"/>
  <c r="J187" i="6"/>
  <c r="L187" i="6" s="1"/>
  <c r="J50" i="6"/>
  <c r="L50" i="6" s="1"/>
  <c r="J34" i="6"/>
  <c r="J28" i="6"/>
  <c r="G27" i="6"/>
  <c r="G23" i="6"/>
  <c r="D19" i="6"/>
  <c r="F19" i="6"/>
  <c r="I19" i="6" s="1"/>
  <c r="F15" i="6"/>
  <c r="I15" i="6" s="1"/>
  <c r="J12" i="6"/>
  <c r="F7" i="6"/>
  <c r="I7" i="6" s="1"/>
  <c r="G402" i="6"/>
  <c r="G398" i="6"/>
  <c r="D390" i="6"/>
  <c r="D386" i="6"/>
  <c r="D382" i="6"/>
  <c r="B628" i="6"/>
  <c r="A624" i="6"/>
  <c r="G620" i="6"/>
  <c r="A616" i="6"/>
  <c r="F612" i="6"/>
  <c r="I612" i="6" s="1"/>
  <c r="J612" i="6" s="1"/>
  <c r="N612" i="6" s="1"/>
  <c r="G608" i="6"/>
  <c r="F146" i="6"/>
  <c r="I146" i="6" s="1"/>
  <c r="F155" i="6"/>
  <c r="I155" i="6" s="1"/>
  <c r="J155" i="6" s="1"/>
  <c r="N155" i="6" s="1"/>
  <c r="F134" i="6"/>
  <c r="I134" i="6" s="1"/>
  <c r="J134" i="6" s="1"/>
  <c r="D282" i="6"/>
  <c r="A256" i="6"/>
  <c r="B256" i="6"/>
  <c r="A477" i="6"/>
  <c r="F477" i="6"/>
  <c r="I477" i="6" s="1"/>
  <c r="J477" i="6" s="1"/>
  <c r="K477" i="6" s="1"/>
  <c r="B477" i="6"/>
  <c r="B473" i="6"/>
  <c r="F473" i="6"/>
  <c r="I473" i="6" s="1"/>
  <c r="J473" i="6" s="1"/>
  <c r="C473" i="6"/>
  <c r="B469" i="6"/>
  <c r="F469" i="6"/>
  <c r="I469" i="6" s="1"/>
  <c r="J469" i="6" s="1"/>
  <c r="L469" i="6" s="1"/>
  <c r="C469" i="6"/>
  <c r="F465" i="6"/>
  <c r="I465" i="6" s="1"/>
  <c r="J465" i="6" s="1"/>
  <c r="L465" i="6" s="1"/>
  <c r="C465" i="6"/>
  <c r="G465" i="6"/>
  <c r="D465" i="6"/>
  <c r="F461" i="6"/>
  <c r="I461" i="6" s="1"/>
  <c r="J461" i="6" s="1"/>
  <c r="C461" i="6"/>
  <c r="G461" i="6"/>
  <c r="D461" i="6"/>
  <c r="F457" i="6"/>
  <c r="I457" i="6" s="1"/>
  <c r="J457" i="6" s="1"/>
  <c r="C457" i="6"/>
  <c r="G457" i="6"/>
  <c r="D457" i="6"/>
  <c r="G603" i="6"/>
  <c r="D603" i="6"/>
  <c r="A603" i="6"/>
  <c r="A599" i="6"/>
  <c r="B599" i="6"/>
  <c r="C595" i="6"/>
  <c r="A587" i="6"/>
  <c r="B587" i="6"/>
  <c r="B583" i="6"/>
  <c r="F583" i="6"/>
  <c r="I583" i="6" s="1"/>
  <c r="J583" i="6" s="1"/>
  <c r="C583" i="6"/>
  <c r="B129" i="6"/>
  <c r="F129" i="6"/>
  <c r="I129" i="6" s="1"/>
  <c r="J129" i="6" s="1"/>
  <c r="N129" i="6" s="1"/>
  <c r="C129" i="6"/>
  <c r="F125" i="6"/>
  <c r="I125" i="6" s="1"/>
  <c r="J125" i="6" s="1"/>
  <c r="C125" i="6"/>
  <c r="G125" i="6"/>
  <c r="D125" i="6"/>
  <c r="F121" i="6"/>
  <c r="I121" i="6" s="1"/>
  <c r="J121" i="6" s="1"/>
  <c r="C121" i="6"/>
  <c r="G121" i="6"/>
  <c r="D121" i="6"/>
  <c r="G117" i="6"/>
  <c r="D117" i="6"/>
  <c r="A117" i="6"/>
  <c r="A113" i="6"/>
  <c r="B113" i="6"/>
  <c r="G110" i="6"/>
  <c r="D110" i="6"/>
  <c r="A110" i="6"/>
  <c r="G249" i="6"/>
  <c r="D249" i="6"/>
  <c r="A249" i="6"/>
  <c r="A245" i="6"/>
  <c r="B245" i="6"/>
  <c r="G234" i="6"/>
  <c r="D234" i="6"/>
  <c r="A234" i="6"/>
  <c r="F379" i="6"/>
  <c r="I379" i="6" s="1"/>
  <c r="J379" i="6" s="1"/>
  <c r="K379" i="6" s="1"/>
  <c r="C379" i="6"/>
  <c r="G379" i="6"/>
  <c r="D379" i="6"/>
  <c r="G375" i="6"/>
  <c r="D375" i="6"/>
  <c r="A375" i="6"/>
  <c r="G371" i="6"/>
  <c r="D371" i="6"/>
  <c r="A371" i="6"/>
  <c r="B367" i="6"/>
  <c r="F367" i="6"/>
  <c r="I367" i="6" s="1"/>
  <c r="J367" i="6" s="1"/>
  <c r="C367" i="6"/>
  <c r="F363" i="6"/>
  <c r="I363" i="6" s="1"/>
  <c r="J363" i="6" s="1"/>
  <c r="B363" i="6"/>
  <c r="C363" i="6"/>
  <c r="A359" i="6"/>
  <c r="C359" i="6"/>
  <c r="F359" i="6"/>
  <c r="I359" i="6" s="1"/>
  <c r="J359" i="6" s="1"/>
  <c r="L359" i="6" s="1"/>
  <c r="D359" i="6"/>
  <c r="B104" i="6"/>
  <c r="C104" i="6"/>
  <c r="F104" i="6"/>
  <c r="I104" i="6" s="1"/>
  <c r="J104" i="6" s="1"/>
  <c r="L104" i="6" s="1"/>
  <c r="D104" i="6"/>
  <c r="F100" i="6"/>
  <c r="I100" i="6" s="1"/>
  <c r="J100" i="6" s="1"/>
  <c r="L100" i="6" s="1"/>
  <c r="C100" i="6"/>
  <c r="A100" i="6"/>
  <c r="B100" i="6"/>
  <c r="F96" i="6"/>
  <c r="I96" i="6" s="1"/>
  <c r="J96" i="6" s="1"/>
  <c r="L96" i="6" s="1"/>
  <c r="C96" i="6"/>
  <c r="D96" i="6"/>
  <c r="G96" i="6"/>
  <c r="G256" i="6"/>
  <c r="A473" i="6"/>
  <c r="D469" i="6"/>
  <c r="J494" i="6"/>
  <c r="J8" i="6"/>
  <c r="J395" i="6"/>
  <c r="M395" i="6" s="1"/>
  <c r="F256" i="6"/>
  <c r="I256" i="6" s="1"/>
  <c r="J256" i="6" s="1"/>
  <c r="D477" i="6"/>
  <c r="G473" i="6"/>
  <c r="A469" i="6"/>
  <c r="J462" i="6"/>
  <c r="F603" i="6"/>
  <c r="I603" i="6" s="1"/>
  <c r="C599" i="6"/>
  <c r="G587" i="6"/>
  <c r="G129" i="6"/>
  <c r="A125" i="6"/>
  <c r="A121" i="6"/>
  <c r="B117" i="6"/>
  <c r="F113" i="6"/>
  <c r="F81" i="6"/>
  <c r="I81" i="6" s="1"/>
  <c r="J81" i="6" s="1"/>
  <c r="C81" i="6"/>
  <c r="F227" i="6"/>
  <c r="I227" i="6" s="1"/>
  <c r="J227" i="6" s="1"/>
  <c r="C227" i="6"/>
  <c r="F216" i="6"/>
  <c r="I216" i="6" s="1"/>
  <c r="J216" i="6" s="1"/>
  <c r="C216" i="6"/>
  <c r="F210" i="6"/>
  <c r="I210" i="6" s="1"/>
  <c r="J210" i="6" s="1"/>
  <c r="C210" i="6"/>
  <c r="G432" i="6"/>
  <c r="D432" i="6"/>
  <c r="G441" i="6"/>
  <c r="B441" i="6"/>
  <c r="F435" i="6"/>
  <c r="I435" i="6" s="1"/>
  <c r="J435" i="6" s="1"/>
  <c r="A435" i="6"/>
  <c r="F171" i="6"/>
  <c r="I171" i="6" s="1"/>
  <c r="B171" i="6"/>
  <c r="F160" i="6"/>
  <c r="I160" i="6" s="1"/>
  <c r="J160" i="6" s="1"/>
  <c r="C160" i="6"/>
  <c r="G323" i="6"/>
  <c r="D323" i="6"/>
  <c r="F319" i="6"/>
  <c r="I319" i="6" s="1"/>
  <c r="J319" i="6" s="1"/>
  <c r="K319" i="6" s="1"/>
  <c r="C319" i="6"/>
  <c r="F553" i="6"/>
  <c r="I553" i="6" s="1"/>
  <c r="J553" i="6" s="1"/>
  <c r="C553" i="6"/>
  <c r="G541" i="6"/>
  <c r="D541" i="6"/>
  <c r="F537" i="6"/>
  <c r="I537" i="6" s="1"/>
  <c r="J537" i="6" s="1"/>
  <c r="C537" i="6"/>
  <c r="F533" i="6"/>
  <c r="I533" i="6" s="1"/>
  <c r="J533" i="6" s="1"/>
  <c r="K533" i="6" s="1"/>
  <c r="B533" i="6"/>
  <c r="J387" i="6"/>
  <c r="J66" i="6"/>
  <c r="L66" i="6" s="1"/>
  <c r="J118" i="6"/>
  <c r="K118" i="6" s="1"/>
  <c r="G93" i="6"/>
  <c r="D89" i="6"/>
  <c r="F89" i="6"/>
  <c r="I89" i="6" s="1"/>
  <c r="J89" i="6" s="1"/>
  <c r="L89" i="6" s="1"/>
  <c r="C85" i="6"/>
  <c r="D81" i="6"/>
  <c r="A227" i="6"/>
  <c r="B223" i="6"/>
  <c r="A216" i="6"/>
  <c r="C213" i="6"/>
  <c r="B210" i="6"/>
  <c r="C432" i="6"/>
  <c r="A441" i="6"/>
  <c r="D435" i="6"/>
  <c r="A455" i="6"/>
  <c r="C451" i="6"/>
  <c r="C447" i="6"/>
  <c r="F447" i="6"/>
  <c r="I447" i="6" s="1"/>
  <c r="J447" i="6" s="1"/>
  <c r="M447" i="6" s="1"/>
  <c r="B443" i="6"/>
  <c r="J580" i="6"/>
  <c r="G579" i="6"/>
  <c r="B575" i="6"/>
  <c r="G571" i="6"/>
  <c r="A567" i="6"/>
  <c r="C563" i="6"/>
  <c r="F563" i="6"/>
  <c r="I563" i="6" s="1"/>
  <c r="J563" i="6" s="1"/>
  <c r="N563" i="6" s="1"/>
  <c r="B559" i="6"/>
  <c r="G159" i="6"/>
  <c r="C179" i="6"/>
  <c r="G171" i="6"/>
  <c r="A160" i="6"/>
  <c r="B160" i="6"/>
  <c r="D327" i="6"/>
  <c r="A323" i="6"/>
  <c r="B319" i="6"/>
  <c r="C315" i="6"/>
  <c r="C311" i="6"/>
  <c r="G307" i="6"/>
  <c r="A553" i="6"/>
  <c r="B549" i="6"/>
  <c r="F545" i="6"/>
  <c r="I545" i="6" s="1"/>
  <c r="J545" i="6" s="1"/>
  <c r="N545" i="6" s="1"/>
  <c r="J114" i="6"/>
  <c r="D93" i="6"/>
  <c r="C89" i="6"/>
  <c r="B85" i="6"/>
  <c r="B81" i="6"/>
  <c r="G227" i="6"/>
  <c r="G223" i="6"/>
  <c r="G216" i="6"/>
  <c r="A213" i="6"/>
  <c r="J369" i="6"/>
  <c r="K369" i="6" s="1"/>
  <c r="J361" i="6"/>
  <c r="J98" i="6"/>
  <c r="J91" i="6"/>
  <c r="J316" i="6"/>
  <c r="N316" i="6" s="1"/>
  <c r="J550" i="6"/>
  <c r="M550" i="6" s="1"/>
  <c r="K22" i="6"/>
  <c r="L22" i="6"/>
  <c r="M22" i="6"/>
  <c r="N22" i="6"/>
  <c r="N307" i="6"/>
  <c r="L307" i="6"/>
  <c r="M307" i="6"/>
  <c r="A205" i="6"/>
  <c r="B205" i="6"/>
  <c r="F205" i="6"/>
  <c r="I205" i="6" s="1"/>
  <c r="J205" i="6" s="1"/>
  <c r="L205" i="6" s="1"/>
  <c r="G205" i="6"/>
  <c r="C205" i="6"/>
  <c r="C201" i="6"/>
  <c r="G201" i="6"/>
  <c r="D201" i="6"/>
  <c r="B201" i="6"/>
  <c r="F201" i="6"/>
  <c r="I201" i="6" s="1"/>
  <c r="J201" i="6" s="1"/>
  <c r="L201" i="6" s="1"/>
  <c r="A193" i="6"/>
  <c r="F193" i="6"/>
  <c r="I193" i="6" s="1"/>
  <c r="J193" i="6" s="1"/>
  <c r="L193" i="6" s="1"/>
  <c r="B193" i="6"/>
  <c r="G193" i="6"/>
  <c r="C193" i="6"/>
  <c r="G189" i="6"/>
  <c r="D189" i="6"/>
  <c r="A189" i="6"/>
  <c r="C189" i="6"/>
  <c r="F189" i="6"/>
  <c r="I189" i="6" s="1"/>
  <c r="J189" i="6" s="1"/>
  <c r="L189" i="6" s="1"/>
  <c r="F184" i="6"/>
  <c r="I184" i="6" s="1"/>
  <c r="J184" i="6" s="1"/>
  <c r="M184" i="6" s="1"/>
  <c r="B184" i="6"/>
  <c r="C184" i="6"/>
  <c r="G184" i="6"/>
  <c r="A184" i="6"/>
  <c r="B414" i="6"/>
  <c r="F414" i="6"/>
  <c r="I414" i="6" s="1"/>
  <c r="J414" i="6" s="1"/>
  <c r="L414" i="6" s="1"/>
  <c r="C414" i="6"/>
  <c r="G414" i="6"/>
  <c r="A414" i="6"/>
  <c r="G410" i="6"/>
  <c r="D410" i="6"/>
  <c r="A410" i="6"/>
  <c r="B410" i="6"/>
  <c r="C410" i="6"/>
  <c r="F52" i="6"/>
  <c r="I52" i="6" s="1"/>
  <c r="J52" i="6" s="1"/>
  <c r="L52" i="6" s="1"/>
  <c r="B52" i="6"/>
  <c r="C52" i="6"/>
  <c r="G52" i="6"/>
  <c r="A52" i="6"/>
  <c r="B44" i="6"/>
  <c r="F44" i="6"/>
  <c r="I44" i="6" s="1"/>
  <c r="J44" i="6" s="1"/>
  <c r="L44" i="6" s="1"/>
  <c r="C44" i="6"/>
  <c r="G44" i="6"/>
  <c r="A44" i="6"/>
  <c r="F504" i="6"/>
  <c r="I504" i="6" s="1"/>
  <c r="J504" i="6" s="1"/>
  <c r="M504" i="6" s="1"/>
  <c r="B504" i="6"/>
  <c r="C504" i="6"/>
  <c r="A504" i="6"/>
  <c r="D504" i="6"/>
  <c r="G14" i="6"/>
  <c r="D14" i="6"/>
  <c r="A14" i="6"/>
  <c r="C14" i="6"/>
  <c r="F14" i="6"/>
  <c r="I14" i="6" s="1"/>
  <c r="J14" i="6" s="1"/>
  <c r="A133" i="6"/>
  <c r="G133" i="6"/>
  <c r="B133" i="6"/>
  <c r="C133" i="6"/>
  <c r="D133" i="6"/>
  <c r="F133" i="6"/>
  <c r="I133" i="6" s="1"/>
  <c r="J133" i="6" s="1"/>
  <c r="G304" i="6"/>
  <c r="D304" i="6"/>
  <c r="F304" i="6"/>
  <c r="I304" i="6" s="1"/>
  <c r="J304" i="6" s="1"/>
  <c r="A304" i="6"/>
  <c r="B304" i="6"/>
  <c r="B284" i="6"/>
  <c r="G284" i="6"/>
  <c r="A284" i="6"/>
  <c r="F284" i="6"/>
  <c r="I284" i="6" s="1"/>
  <c r="J284" i="6" s="1"/>
  <c r="C284" i="6"/>
  <c r="A528" i="6"/>
  <c r="B528" i="6"/>
  <c r="C528" i="6"/>
  <c r="F528" i="6"/>
  <c r="I528" i="6" s="1"/>
  <c r="J528" i="6" s="1"/>
  <c r="G528" i="6"/>
  <c r="D528" i="6"/>
  <c r="A524" i="6"/>
  <c r="G524" i="6"/>
  <c r="B524" i="6"/>
  <c r="F524" i="6"/>
  <c r="I524" i="6" s="1"/>
  <c r="J524" i="6" s="1"/>
  <c r="L524" i="6" s="1"/>
  <c r="C524" i="6"/>
  <c r="D524" i="6"/>
  <c r="D509" i="6"/>
  <c r="C509" i="6"/>
  <c r="F509" i="6"/>
  <c r="I509" i="6" s="1"/>
  <c r="J509" i="6" s="1"/>
  <c r="G509" i="6"/>
  <c r="B509" i="6"/>
  <c r="A509" i="6"/>
  <c r="F506" i="6"/>
  <c r="I506" i="6" s="1"/>
  <c r="J506" i="6" s="1"/>
  <c r="C506" i="6"/>
  <c r="B506" i="6"/>
  <c r="D506" i="6"/>
  <c r="G506" i="6"/>
  <c r="L276" i="6"/>
  <c r="N276" i="6"/>
  <c r="M276" i="6"/>
  <c r="A233" i="6"/>
  <c r="B233" i="6"/>
  <c r="C233" i="6"/>
  <c r="F233" i="6"/>
  <c r="I233" i="6" s="1"/>
  <c r="J233" i="6" s="1"/>
  <c r="G233" i="6"/>
  <c r="D233" i="6"/>
  <c r="K354" i="6"/>
  <c r="M497" i="6"/>
  <c r="K307" i="6"/>
  <c r="B189" i="6"/>
  <c r="K416" i="6"/>
  <c r="D414" i="6"/>
  <c r="F410" i="6"/>
  <c r="I410" i="6" s="1"/>
  <c r="J410" i="6" s="1"/>
  <c r="D44" i="6"/>
  <c r="G504" i="6"/>
  <c r="K313" i="6"/>
  <c r="L313" i="6"/>
  <c r="M313" i="6"/>
  <c r="A197" i="6"/>
  <c r="B197" i="6"/>
  <c r="G197" i="6"/>
  <c r="C197" i="6"/>
  <c r="D197" i="6"/>
  <c r="A406" i="6"/>
  <c r="F406" i="6"/>
  <c r="I406" i="6" s="1"/>
  <c r="J406" i="6" s="1"/>
  <c r="L406" i="6" s="1"/>
  <c r="B406" i="6"/>
  <c r="G406" i="6"/>
  <c r="C406" i="6"/>
  <c r="F32" i="6"/>
  <c r="I32" i="6" s="1"/>
  <c r="J32" i="6" s="1"/>
  <c r="M32" i="6" s="1"/>
  <c r="C32" i="6"/>
  <c r="G32" i="6"/>
  <c r="D32" i="6"/>
  <c r="B32" i="6"/>
  <c r="A353" i="6"/>
  <c r="B353" i="6"/>
  <c r="F353" i="6"/>
  <c r="I353" i="6" s="1"/>
  <c r="J353" i="6" s="1"/>
  <c r="M353" i="6" s="1"/>
  <c r="G353" i="6"/>
  <c r="C353" i="6"/>
  <c r="F349" i="6"/>
  <c r="I349" i="6" s="1"/>
  <c r="J349" i="6" s="1"/>
  <c r="L349" i="6" s="1"/>
  <c r="C349" i="6"/>
  <c r="G349" i="6"/>
  <c r="D349" i="6"/>
  <c r="B349" i="6"/>
  <c r="G345" i="6"/>
  <c r="D345" i="6"/>
  <c r="A345" i="6"/>
  <c r="F345" i="6"/>
  <c r="I345" i="6" s="1"/>
  <c r="J345" i="6" s="1"/>
  <c r="B345" i="6"/>
  <c r="F333" i="6"/>
  <c r="I333" i="6" s="1"/>
  <c r="J333" i="6" s="1"/>
  <c r="N333" i="6" s="1"/>
  <c r="B333" i="6"/>
  <c r="C333" i="6"/>
  <c r="D333" i="6"/>
  <c r="G333" i="6"/>
  <c r="B500" i="6"/>
  <c r="F500" i="6"/>
  <c r="I500" i="6" s="1"/>
  <c r="J500" i="6" s="1"/>
  <c r="K500" i="6" s="1"/>
  <c r="C500" i="6"/>
  <c r="G500" i="6"/>
  <c r="A500" i="6"/>
  <c r="B492" i="6"/>
  <c r="F492" i="6"/>
  <c r="I492" i="6" s="1"/>
  <c r="J492" i="6" s="1"/>
  <c r="C492" i="6"/>
  <c r="G492" i="6"/>
  <c r="A492" i="6"/>
  <c r="D492" i="6"/>
  <c r="G22" i="6"/>
  <c r="D22" i="6"/>
  <c r="A22" i="6"/>
  <c r="B22" i="6"/>
  <c r="C22" i="6"/>
  <c r="C18" i="6"/>
  <c r="A18" i="6"/>
  <c r="D6" i="6"/>
  <c r="F6" i="6"/>
  <c r="I6" i="6" s="1"/>
  <c r="J6" i="6" s="1"/>
  <c r="A6" i="6"/>
  <c r="G6" i="6"/>
  <c r="B6" i="6"/>
  <c r="G393" i="6"/>
  <c r="F393" i="6"/>
  <c r="I393" i="6" s="1"/>
  <c r="J393" i="6" s="1"/>
  <c r="D393" i="6"/>
  <c r="A393" i="6"/>
  <c r="B393" i="6"/>
  <c r="G389" i="6"/>
  <c r="D389" i="6"/>
  <c r="B389" i="6"/>
  <c r="C389" i="6"/>
  <c r="F389" i="6"/>
  <c r="I389" i="6" s="1"/>
  <c r="J389" i="6" s="1"/>
  <c r="N389" i="6" s="1"/>
  <c r="F140" i="6"/>
  <c r="I140" i="6" s="1"/>
  <c r="J140" i="6" s="1"/>
  <c r="C140" i="6"/>
  <c r="A140" i="6"/>
  <c r="D140" i="6"/>
  <c r="G140" i="6"/>
  <c r="B140" i="6"/>
  <c r="A137" i="6"/>
  <c r="F137" i="6"/>
  <c r="I137" i="6" s="1"/>
  <c r="J137" i="6" s="1"/>
  <c r="C137" i="6"/>
  <c r="G137" i="6"/>
  <c r="B137" i="6"/>
  <c r="D137" i="6"/>
  <c r="A300" i="6"/>
  <c r="F300" i="6"/>
  <c r="I300" i="6" s="1"/>
  <c r="J300" i="6" s="1"/>
  <c r="D300" i="6"/>
  <c r="G300" i="6"/>
  <c r="B300" i="6"/>
  <c r="G520" i="6"/>
  <c r="D520" i="6"/>
  <c r="A520" i="6"/>
  <c r="B520" i="6"/>
  <c r="C520" i="6"/>
  <c r="F520" i="6"/>
  <c r="I520" i="6" s="1"/>
  <c r="J520" i="6" s="1"/>
  <c r="M520" i="6" s="1"/>
  <c r="F516" i="6"/>
  <c r="I516" i="6" s="1"/>
  <c r="J516" i="6" s="1"/>
  <c r="D516" i="6"/>
  <c r="A516" i="6"/>
  <c r="G516" i="6"/>
  <c r="B516" i="6"/>
  <c r="C516" i="6"/>
  <c r="F511" i="6"/>
  <c r="I511" i="6" s="1"/>
  <c r="J511" i="6" s="1"/>
  <c r="C511" i="6"/>
  <c r="D511" i="6"/>
  <c r="G511" i="6"/>
  <c r="B511" i="6"/>
  <c r="A511" i="6"/>
  <c r="L493" i="6"/>
  <c r="K616" i="6"/>
  <c r="D205" i="6"/>
  <c r="A201" i="6"/>
  <c r="F197" i="6"/>
  <c r="I197" i="6" s="1"/>
  <c r="J197" i="6" s="1"/>
  <c r="L197" i="6" s="1"/>
  <c r="D193" i="6"/>
  <c r="L191" i="6"/>
  <c r="J424" i="6"/>
  <c r="L424" i="6" s="1"/>
  <c r="D52" i="6"/>
  <c r="A349" i="6"/>
  <c r="C345" i="6"/>
  <c r="B14" i="6"/>
  <c r="C6" i="6"/>
  <c r="C300" i="6"/>
  <c r="D284" i="6"/>
  <c r="F186" i="6"/>
  <c r="I186" i="6" s="1"/>
  <c r="J186" i="6" s="1"/>
  <c r="M186" i="6" s="1"/>
  <c r="C186" i="6"/>
  <c r="G186" i="6"/>
  <c r="D186" i="6"/>
  <c r="A186" i="6"/>
  <c r="B186" i="6"/>
  <c r="G430" i="6"/>
  <c r="D430" i="6"/>
  <c r="A430" i="6"/>
  <c r="B430" i="6"/>
  <c r="F430" i="6"/>
  <c r="I430" i="6" s="1"/>
  <c r="J430" i="6" s="1"/>
  <c r="M430" i="6" s="1"/>
  <c r="G48" i="6"/>
  <c r="D48" i="6"/>
  <c r="A48" i="6"/>
  <c r="F48" i="6"/>
  <c r="I48" i="6" s="1"/>
  <c r="J48" i="6" s="1"/>
  <c r="L48" i="6" s="1"/>
  <c r="B48" i="6"/>
  <c r="C48" i="6"/>
  <c r="C40" i="6"/>
  <c r="G40" i="6"/>
  <c r="D40" i="6"/>
  <c r="A40" i="6"/>
  <c r="B40" i="6"/>
  <c r="A36" i="6"/>
  <c r="B36" i="6"/>
  <c r="F36" i="6"/>
  <c r="I36" i="6" s="1"/>
  <c r="J36" i="6" s="1"/>
  <c r="K36" i="6" s="1"/>
  <c r="G36" i="6"/>
  <c r="C36" i="6"/>
  <c r="F341" i="6"/>
  <c r="I341" i="6" s="1"/>
  <c r="J341" i="6" s="1"/>
  <c r="B341" i="6"/>
  <c r="C341" i="6"/>
  <c r="D341" i="6"/>
  <c r="G341" i="6"/>
  <c r="G337" i="6"/>
  <c r="D337" i="6"/>
  <c r="A337" i="6"/>
  <c r="F337" i="6"/>
  <c r="I337" i="6" s="1"/>
  <c r="J337" i="6" s="1"/>
  <c r="M337" i="6" s="1"/>
  <c r="B337" i="6"/>
  <c r="G496" i="6"/>
  <c r="D496" i="6"/>
  <c r="A496" i="6"/>
  <c r="C496" i="6"/>
  <c r="F496" i="6"/>
  <c r="I496" i="6" s="1"/>
  <c r="J496" i="6" s="1"/>
  <c r="K496" i="6" s="1"/>
  <c r="G488" i="6"/>
  <c r="D488" i="6"/>
  <c r="A488" i="6"/>
  <c r="F488" i="6"/>
  <c r="I488" i="6" s="1"/>
  <c r="J488" i="6" s="1"/>
  <c r="B488" i="6"/>
  <c r="B484" i="6"/>
  <c r="F484" i="6"/>
  <c r="I484" i="6" s="1"/>
  <c r="J484" i="6" s="1"/>
  <c r="C484" i="6"/>
  <c r="A484" i="6"/>
  <c r="D484" i="6"/>
  <c r="G30" i="6"/>
  <c r="D30" i="6"/>
  <c r="A30" i="6"/>
  <c r="F30" i="6"/>
  <c r="I30" i="6" s="1"/>
  <c r="J30" i="6" s="1"/>
  <c r="B30" i="6"/>
  <c r="C30" i="6"/>
  <c r="B26" i="6"/>
  <c r="F26" i="6"/>
  <c r="I26" i="6" s="1"/>
  <c r="J26" i="6" s="1"/>
  <c r="C26" i="6"/>
  <c r="D26" i="6"/>
  <c r="G26" i="6"/>
  <c r="B10" i="6"/>
  <c r="F10" i="6"/>
  <c r="I10" i="6" s="1"/>
  <c r="J10" i="6" s="1"/>
  <c r="C10" i="6"/>
  <c r="G10" i="6"/>
  <c r="A10" i="6"/>
  <c r="D10" i="6"/>
  <c r="A405" i="6"/>
  <c r="B405" i="6"/>
  <c r="F405" i="6"/>
  <c r="I405" i="6" s="1"/>
  <c r="J405" i="6" s="1"/>
  <c r="L405" i="6" s="1"/>
  <c r="G405" i="6"/>
  <c r="C405" i="6"/>
  <c r="F401" i="6"/>
  <c r="I401" i="6" s="1"/>
  <c r="J401" i="6" s="1"/>
  <c r="C401" i="6"/>
  <c r="G401" i="6"/>
  <c r="D401" i="6"/>
  <c r="B401" i="6"/>
  <c r="G397" i="6"/>
  <c r="D397" i="6"/>
  <c r="A397" i="6"/>
  <c r="C397" i="6"/>
  <c r="F397" i="6"/>
  <c r="I397" i="6" s="1"/>
  <c r="J397" i="6" s="1"/>
  <c r="G385" i="6"/>
  <c r="D385" i="6"/>
  <c r="F385" i="6"/>
  <c r="I385" i="6" s="1"/>
  <c r="J385" i="6" s="1"/>
  <c r="M385" i="6" s="1"/>
  <c r="A385" i="6"/>
  <c r="B385" i="6"/>
  <c r="G381" i="6"/>
  <c r="D381" i="6"/>
  <c r="B381" i="6"/>
  <c r="C381" i="6"/>
  <c r="F381" i="6"/>
  <c r="I381" i="6" s="1"/>
  <c r="J381" i="6" s="1"/>
  <c r="N381" i="6" s="1"/>
  <c r="G627" i="6"/>
  <c r="D627" i="6"/>
  <c r="F627" i="6"/>
  <c r="I627" i="6" s="1"/>
  <c r="J627" i="6" s="1"/>
  <c r="K627" i="6" s="1"/>
  <c r="A627" i="6"/>
  <c r="B627" i="6"/>
  <c r="F623" i="6"/>
  <c r="I623" i="6" s="1"/>
  <c r="J623" i="6" s="1"/>
  <c r="L623" i="6" s="1"/>
  <c r="C623" i="6"/>
  <c r="G623" i="6"/>
  <c r="A623" i="6"/>
  <c r="B623" i="6"/>
  <c r="C619" i="6"/>
  <c r="A619" i="6"/>
  <c r="G619" i="6"/>
  <c r="B619" i="6"/>
  <c r="F619" i="6"/>
  <c r="I619" i="6" s="1"/>
  <c r="J619" i="6" s="1"/>
  <c r="L619" i="6" s="1"/>
  <c r="D619" i="6"/>
  <c r="G615" i="6"/>
  <c r="D615" i="6"/>
  <c r="C615" i="6"/>
  <c r="F615" i="6"/>
  <c r="I615" i="6" s="1"/>
  <c r="J615" i="6" s="1"/>
  <c r="A615" i="6"/>
  <c r="B615" i="6"/>
  <c r="B611" i="6"/>
  <c r="G611" i="6"/>
  <c r="C611" i="6"/>
  <c r="D611" i="6"/>
  <c r="A611" i="6"/>
  <c r="F607" i="6"/>
  <c r="I607" i="6" s="1"/>
  <c r="J607" i="6" s="1"/>
  <c r="C607" i="6"/>
  <c r="G607" i="6"/>
  <c r="A607" i="6"/>
  <c r="B607" i="6"/>
  <c r="F143" i="6"/>
  <c r="I143" i="6" s="1"/>
  <c r="J143" i="6" s="1"/>
  <c r="D143" i="6"/>
  <c r="C143" i="6"/>
  <c r="A143" i="6"/>
  <c r="B143" i="6"/>
  <c r="G143" i="6"/>
  <c r="A148" i="6"/>
  <c r="F148" i="6"/>
  <c r="I148" i="6" s="1"/>
  <c r="J148" i="6" s="1"/>
  <c r="G148" i="6"/>
  <c r="C148" i="6"/>
  <c r="B148" i="6"/>
  <c r="D148" i="6"/>
  <c r="G141" i="6"/>
  <c r="C141" i="6"/>
  <c r="D141" i="6"/>
  <c r="B141" i="6"/>
  <c r="A141" i="6"/>
  <c r="F141" i="6"/>
  <c r="I141" i="6" s="1"/>
  <c r="J141" i="6" s="1"/>
  <c r="K141" i="6" s="1"/>
  <c r="B296" i="6"/>
  <c r="F296" i="6"/>
  <c r="I296" i="6" s="1"/>
  <c r="J296" i="6" s="1"/>
  <c r="N296" i="6" s="1"/>
  <c r="D296" i="6"/>
  <c r="G296" i="6"/>
  <c r="A296" i="6"/>
  <c r="B292" i="6"/>
  <c r="C292" i="6"/>
  <c r="F292" i="6"/>
  <c r="I292" i="6" s="1"/>
  <c r="J292" i="6" s="1"/>
  <c r="D292" i="6"/>
  <c r="G292" i="6"/>
  <c r="B288" i="6"/>
  <c r="A288" i="6"/>
  <c r="C288" i="6"/>
  <c r="F288" i="6"/>
  <c r="I288" i="6" s="1"/>
  <c r="J288" i="6" s="1"/>
  <c r="G288" i="6"/>
  <c r="M493" i="6"/>
  <c r="N616" i="6"/>
  <c r="K276" i="6"/>
  <c r="A32" i="6"/>
  <c r="D353" i="6"/>
  <c r="D405" i="6"/>
  <c r="A401" i="6"/>
  <c r="C385" i="6"/>
  <c r="J146" i="6"/>
  <c r="C304" i="6"/>
  <c r="D288" i="6"/>
  <c r="A506" i="6"/>
  <c r="J202" i="6"/>
  <c r="J422" i="6"/>
  <c r="J485" i="6"/>
  <c r="J15" i="6"/>
  <c r="J402" i="6"/>
  <c r="K625" i="6"/>
  <c r="M625" i="6"/>
  <c r="K621" i="6"/>
  <c r="K302" i="6"/>
  <c r="K604" i="6"/>
  <c r="M589" i="6"/>
  <c r="M126" i="6"/>
  <c r="M124" i="6"/>
  <c r="L124" i="6"/>
  <c r="L122" i="6"/>
  <c r="K122" i="6"/>
  <c r="N120" i="6"/>
  <c r="M120" i="6"/>
  <c r="K445" i="6"/>
  <c r="M445" i="6"/>
  <c r="N572" i="6"/>
  <c r="K572" i="6"/>
  <c r="N561" i="6"/>
  <c r="K561" i="6"/>
  <c r="J194" i="6"/>
  <c r="N194" i="6" s="1"/>
  <c r="J342" i="6"/>
  <c r="J489" i="6"/>
  <c r="J7" i="6"/>
  <c r="L517" i="6"/>
  <c r="K129" i="6"/>
  <c r="N127" i="6"/>
  <c r="K438" i="6"/>
  <c r="L438" i="6"/>
  <c r="J423" i="6"/>
  <c r="J415" i="6"/>
  <c r="N415" i="6" s="1"/>
  <c r="J45" i="6"/>
  <c r="L45" i="6" s="1"/>
  <c r="J501" i="6"/>
  <c r="J481" i="6"/>
  <c r="J19" i="6"/>
  <c r="J390" i="6"/>
  <c r="K275" i="6"/>
  <c r="L275" i="6"/>
  <c r="M275" i="6"/>
  <c r="L273" i="6"/>
  <c r="K271" i="6"/>
  <c r="N271" i="6"/>
  <c r="M271" i="6"/>
  <c r="G380" i="6"/>
  <c r="D380" i="6"/>
  <c r="C380" i="6"/>
  <c r="F380" i="6"/>
  <c r="I380" i="6" s="1"/>
  <c r="J380" i="6" s="1"/>
  <c r="K380" i="6" s="1"/>
  <c r="A376" i="6"/>
  <c r="F376" i="6"/>
  <c r="I376" i="6" s="1"/>
  <c r="J376" i="6" s="1"/>
  <c r="C376" i="6"/>
  <c r="D376" i="6"/>
  <c r="C372" i="6"/>
  <c r="D372" i="6"/>
  <c r="G372" i="6"/>
  <c r="F368" i="6"/>
  <c r="I368" i="6" s="1"/>
  <c r="J368" i="6" s="1"/>
  <c r="C368" i="6"/>
  <c r="B368" i="6"/>
  <c r="D368" i="6"/>
  <c r="C364" i="6"/>
  <c r="G364" i="6"/>
  <c r="A364" i="6"/>
  <c r="F360" i="6"/>
  <c r="I360" i="6" s="1"/>
  <c r="J360" i="6" s="1"/>
  <c r="N360" i="6" s="1"/>
  <c r="A360" i="6"/>
  <c r="G360" i="6"/>
  <c r="B360" i="6"/>
  <c r="F356" i="6"/>
  <c r="I356" i="6" s="1"/>
  <c r="J356" i="6" s="1"/>
  <c r="K356" i="6" s="1"/>
  <c r="C356" i="6"/>
  <c r="G356" i="6"/>
  <c r="A356" i="6"/>
  <c r="A105" i="6"/>
  <c r="G105" i="6"/>
  <c r="B105" i="6"/>
  <c r="J102" i="6"/>
  <c r="G101" i="6"/>
  <c r="D101" i="6"/>
  <c r="B101" i="6"/>
  <c r="C101" i="6"/>
  <c r="B97" i="6"/>
  <c r="F97" i="6"/>
  <c r="I97" i="6" s="1"/>
  <c r="J97" i="6" s="1"/>
  <c r="L97" i="6" s="1"/>
  <c r="D97" i="6"/>
  <c r="G97" i="6"/>
  <c r="C90" i="6"/>
  <c r="G90" i="6"/>
  <c r="A90" i="6"/>
  <c r="J49" i="6"/>
  <c r="K49" i="6" s="1"/>
  <c r="J346" i="6"/>
  <c r="J398" i="6"/>
  <c r="L398" i="6" s="1"/>
  <c r="J394" i="6"/>
  <c r="M394" i="6" s="1"/>
  <c r="J521" i="6"/>
  <c r="K521" i="6" s="1"/>
  <c r="J231" i="6"/>
  <c r="J377" i="6"/>
  <c r="A372" i="6"/>
  <c r="F364" i="6"/>
  <c r="I364" i="6" s="1"/>
  <c r="J364" i="6" s="1"/>
  <c r="L364" i="6" s="1"/>
  <c r="D360" i="6"/>
  <c r="D105" i="6"/>
  <c r="F90" i="6"/>
  <c r="I90" i="6" s="1"/>
  <c r="J90" i="6" s="1"/>
  <c r="K90" i="6" s="1"/>
  <c r="M327" i="6"/>
  <c r="K327" i="6"/>
  <c r="N327" i="6"/>
  <c r="K548" i="6"/>
  <c r="L548" i="6"/>
  <c r="L537" i="6"/>
  <c r="J198" i="6"/>
  <c r="L198" i="6" s="1"/>
  <c r="J418" i="6"/>
  <c r="L418" i="6" s="1"/>
  <c r="J417" i="6"/>
  <c r="M417" i="6" s="1"/>
  <c r="J628" i="6"/>
  <c r="J305" i="6"/>
  <c r="J293" i="6"/>
  <c r="J289" i="6"/>
  <c r="J514" i="6"/>
  <c r="J507" i="6"/>
  <c r="B380" i="6"/>
  <c r="J373" i="6"/>
  <c r="F372" i="6"/>
  <c r="I372" i="6" s="1"/>
  <c r="J372" i="6" s="1"/>
  <c r="C360" i="6"/>
  <c r="C105" i="6"/>
  <c r="A101" i="6"/>
  <c r="J94" i="6"/>
  <c r="N94" i="6" s="1"/>
  <c r="D90" i="6"/>
  <c r="F86" i="6"/>
  <c r="I86" i="6" s="1"/>
  <c r="J86" i="6" s="1"/>
  <c r="L86" i="6" s="1"/>
  <c r="C86" i="6"/>
  <c r="F82" i="6"/>
  <c r="I82" i="6" s="1"/>
  <c r="J82" i="6" s="1"/>
  <c r="K82" i="6" s="1"/>
  <c r="B82" i="6"/>
  <c r="F224" i="6"/>
  <c r="I224" i="6" s="1"/>
  <c r="J224" i="6" s="1"/>
  <c r="B224" i="6"/>
  <c r="J569" i="6"/>
  <c r="M569" i="6" s="1"/>
  <c r="J297" i="6"/>
  <c r="K66" i="6"/>
  <c r="B86" i="6"/>
  <c r="J285" i="6"/>
  <c r="J365" i="6"/>
  <c r="M365" i="6" s="1"/>
  <c r="J357" i="6"/>
  <c r="J87" i="6"/>
  <c r="M87" i="6" s="1"/>
  <c r="A86" i="6"/>
  <c r="G217" i="6"/>
  <c r="D217" i="6"/>
  <c r="G439" i="6"/>
  <c r="D439" i="6"/>
  <c r="G444" i="6"/>
  <c r="D444" i="6"/>
  <c r="F564" i="6"/>
  <c r="I564" i="6" s="1"/>
  <c r="J564" i="6" s="1"/>
  <c r="K564" i="6" s="1"/>
  <c r="C564" i="6"/>
  <c r="F560" i="6"/>
  <c r="I560" i="6" s="1"/>
  <c r="J560" i="6" s="1"/>
  <c r="A560" i="6"/>
  <c r="F556" i="6"/>
  <c r="I556" i="6" s="1"/>
  <c r="J556" i="6" s="1"/>
  <c r="M556" i="6" s="1"/>
  <c r="A556" i="6"/>
  <c r="F165" i="6"/>
  <c r="I165" i="6" s="1"/>
  <c r="B165" i="6"/>
  <c r="F161" i="6"/>
  <c r="I161" i="6" s="1"/>
  <c r="J161" i="6" s="1"/>
  <c r="N161" i="6" s="1"/>
  <c r="G161" i="6"/>
  <c r="D157" i="6"/>
  <c r="G157" i="6"/>
  <c r="F172" i="6"/>
  <c r="I172" i="6" s="1"/>
  <c r="J172" i="6" s="1"/>
  <c r="K172" i="6" s="1"/>
  <c r="C172" i="6"/>
  <c r="G324" i="6"/>
  <c r="D324" i="6"/>
  <c r="G320" i="6"/>
  <c r="D320" i="6"/>
  <c r="F312" i="6"/>
  <c r="I312" i="6" s="1"/>
  <c r="J312" i="6" s="1"/>
  <c r="C312" i="6"/>
  <c r="G308" i="6"/>
  <c r="D308" i="6"/>
  <c r="F554" i="6"/>
  <c r="I554" i="6" s="1"/>
  <c r="J554" i="6" s="1"/>
  <c r="N554" i="6" s="1"/>
  <c r="B554" i="6"/>
  <c r="G550" i="6"/>
  <c r="D550" i="6"/>
  <c r="F538" i="6"/>
  <c r="I538" i="6" s="1"/>
  <c r="J538" i="6" s="1"/>
  <c r="K538" i="6" s="1"/>
  <c r="C538" i="6"/>
  <c r="J301" i="6"/>
  <c r="J529" i="6"/>
  <c r="L529" i="6" s="1"/>
  <c r="J525" i="6"/>
  <c r="K525" i="6" s="1"/>
  <c r="C69" i="6"/>
  <c r="D278" i="6"/>
  <c r="B276" i="6"/>
  <c r="C268" i="6"/>
  <c r="D264" i="6"/>
  <c r="J261" i="6"/>
  <c r="M261" i="6" s="1"/>
  <c r="J229" i="6"/>
  <c r="B217" i="6"/>
  <c r="A214" i="6"/>
  <c r="F439" i="6"/>
  <c r="I439" i="6" s="1"/>
  <c r="J439" i="6" s="1"/>
  <c r="D431" i="6"/>
  <c r="D452" i="6"/>
  <c r="F452" i="6"/>
  <c r="I452" i="6" s="1"/>
  <c r="J452" i="6" s="1"/>
  <c r="M452" i="6" s="1"/>
  <c r="C448" i="6"/>
  <c r="F448" i="6"/>
  <c r="I448" i="6" s="1"/>
  <c r="J448" i="6" s="1"/>
  <c r="F444" i="6"/>
  <c r="I444" i="6" s="1"/>
  <c r="J444" i="6" s="1"/>
  <c r="M444" i="6" s="1"/>
  <c r="A438" i="6"/>
  <c r="C580" i="6"/>
  <c r="D576" i="6"/>
  <c r="F576" i="6"/>
  <c r="I576" i="6" s="1"/>
  <c r="J576" i="6" s="1"/>
  <c r="N576" i="6" s="1"/>
  <c r="G572" i="6"/>
  <c r="A568" i="6"/>
  <c r="D564" i="6"/>
  <c r="D560" i="6"/>
  <c r="B556" i="6"/>
  <c r="A165" i="6"/>
  <c r="A161" i="6"/>
  <c r="F157" i="6"/>
  <c r="I157" i="6" s="1"/>
  <c r="J157" i="6" s="1"/>
  <c r="G180" i="6"/>
  <c r="C176" i="6"/>
  <c r="G172" i="6"/>
  <c r="A168" i="6"/>
  <c r="D328" i="6"/>
  <c r="F328" i="6"/>
  <c r="I328" i="6" s="1"/>
  <c r="J328" i="6" s="1"/>
  <c r="N328" i="6" s="1"/>
  <c r="C324" i="6"/>
  <c r="F324" i="6"/>
  <c r="I324" i="6" s="1"/>
  <c r="J324" i="6" s="1"/>
  <c r="A320" i="6"/>
  <c r="A316" i="6"/>
  <c r="A312" i="6"/>
  <c r="J449" i="6"/>
  <c r="M449" i="6" s="1"/>
  <c r="J547" i="6"/>
  <c r="M547" i="6" s="1"/>
  <c r="K422" i="6"/>
  <c r="N422" i="6"/>
  <c r="L422" i="6"/>
  <c r="M422" i="6"/>
  <c r="L419" i="6"/>
  <c r="M419" i="6"/>
  <c r="L36" i="6"/>
  <c r="M503" i="6"/>
  <c r="K503" i="6"/>
  <c r="K203" i="6"/>
  <c r="L195" i="6"/>
  <c r="K34" i="6"/>
  <c r="L500" i="6"/>
  <c r="K198" i="6"/>
  <c r="L417" i="6"/>
  <c r="N32" i="6"/>
  <c r="M349" i="6"/>
  <c r="M498" i="6"/>
  <c r="K498" i="6"/>
  <c r="N498" i="6"/>
  <c r="L498" i="6"/>
  <c r="L426" i="6"/>
  <c r="K426" i="6"/>
  <c r="N420" i="6"/>
  <c r="M420" i="6"/>
  <c r="N430" i="6"/>
  <c r="N421" i="6"/>
  <c r="K425" i="6"/>
  <c r="N331" i="6"/>
  <c r="M331" i="6"/>
  <c r="N504" i="6"/>
  <c r="K396" i="6"/>
  <c r="K392" i="6"/>
  <c r="N392" i="6"/>
  <c r="M392" i="6"/>
  <c r="K388" i="6"/>
  <c r="M388" i="6"/>
  <c r="K384" i="6"/>
  <c r="N384" i="6"/>
  <c r="M384" i="6"/>
  <c r="K630" i="6"/>
  <c r="M630" i="6"/>
  <c r="K626" i="6"/>
  <c r="N626" i="6"/>
  <c r="M626" i="6"/>
  <c r="N622" i="6"/>
  <c r="N502" i="6"/>
  <c r="M346" i="6"/>
  <c r="N346" i="6"/>
  <c r="K393" i="6"/>
  <c r="M389" i="6"/>
  <c r="M387" i="6"/>
  <c r="N385" i="6"/>
  <c r="M383" i="6"/>
  <c r="N383" i="6"/>
  <c r="K155" i="6"/>
  <c r="L155" i="6"/>
  <c r="M155" i="6"/>
  <c r="L64" i="6"/>
  <c r="N64" i="6"/>
  <c r="K64" i="6"/>
  <c r="M64" i="6"/>
  <c r="L58" i="6"/>
  <c r="N625" i="6"/>
  <c r="N619" i="6"/>
  <c r="N617" i="6"/>
  <c r="M150" i="6"/>
  <c r="N150" i="6"/>
  <c r="K150" i="6"/>
  <c r="N149" i="6"/>
  <c r="L149" i="6"/>
  <c r="L68" i="6"/>
  <c r="N68" i="6"/>
  <c r="K68" i="6"/>
  <c r="M68" i="6"/>
  <c r="L63" i="6"/>
  <c r="K63" i="6"/>
  <c r="N63" i="6"/>
  <c r="L59" i="6"/>
  <c r="K59" i="6"/>
  <c r="N59" i="6"/>
  <c r="K618" i="6"/>
  <c r="N618" i="6"/>
  <c r="M618" i="6"/>
  <c r="N153" i="6"/>
  <c r="K153" i="6"/>
  <c r="L153" i="6"/>
  <c r="N525" i="6"/>
  <c r="L67" i="6"/>
  <c r="K523" i="6"/>
  <c r="N522" i="6"/>
  <c r="L85" i="6"/>
  <c r="K85" i="6"/>
  <c r="M85" i="6"/>
  <c r="N559" i="6"/>
  <c r="M559" i="6"/>
  <c r="M557" i="6"/>
  <c r="N557" i="6"/>
  <c r="K311" i="6"/>
  <c r="N311" i="6"/>
  <c r="L553" i="6"/>
  <c r="K476" i="6"/>
  <c r="M86" i="6"/>
  <c r="N571" i="6"/>
  <c r="M571" i="6"/>
  <c r="M329" i="6"/>
  <c r="K329" i="6"/>
  <c r="L329" i="6"/>
  <c r="N329" i="6"/>
  <c r="K544" i="6"/>
  <c r="L544" i="6"/>
  <c r="L523" i="6"/>
  <c r="N66" i="6"/>
  <c r="N62" i="6"/>
  <c r="K480" i="6"/>
  <c r="M480" i="6"/>
  <c r="N85" i="6"/>
  <c r="M574" i="6"/>
  <c r="N574" i="6"/>
  <c r="M563" i="6"/>
  <c r="K536" i="6"/>
  <c r="L536" i="6"/>
  <c r="L533" i="6"/>
  <c r="G207" i="6"/>
  <c r="D207" i="6"/>
  <c r="A207" i="6"/>
  <c r="B207" i="6"/>
  <c r="G211" i="6"/>
  <c r="D211" i="6"/>
  <c r="A211" i="6"/>
  <c r="B211" i="6"/>
  <c r="G215" i="6"/>
  <c r="D215" i="6"/>
  <c r="A215" i="6"/>
  <c r="B215" i="6"/>
  <c r="G219" i="6"/>
  <c r="D219" i="6"/>
  <c r="A219" i="6"/>
  <c r="B219" i="6"/>
  <c r="L84" i="6"/>
  <c r="N84" i="6"/>
  <c r="N169" i="6"/>
  <c r="K320" i="6"/>
  <c r="K309" i="6"/>
  <c r="N309" i="6"/>
  <c r="K306" i="6"/>
  <c r="L306" i="6"/>
  <c r="K552" i="6"/>
  <c r="K549" i="6"/>
  <c r="K541" i="6"/>
  <c r="M84" i="6"/>
  <c r="M441" i="6"/>
  <c r="N441" i="6"/>
  <c r="M578" i="6"/>
  <c r="N578" i="6"/>
  <c r="K532" i="6"/>
  <c r="L532" i="6"/>
  <c r="L327" i="6"/>
  <c r="M45" i="6"/>
  <c r="L340" i="6"/>
  <c r="N340" i="6"/>
  <c r="N336" i="6"/>
  <c r="K336" i="6"/>
  <c r="L413" i="6"/>
  <c r="M413" i="6"/>
  <c r="K55" i="6"/>
  <c r="M55" i="6"/>
  <c r="K47" i="6"/>
  <c r="M47" i="6"/>
  <c r="K39" i="6"/>
  <c r="M39" i="6"/>
  <c r="L333" i="6"/>
  <c r="M6" i="6"/>
  <c r="N6" i="6"/>
  <c r="L6" i="6"/>
  <c r="K6" i="6"/>
  <c r="L49" i="6"/>
  <c r="N409" i="6"/>
  <c r="K409" i="6"/>
  <c r="L409" i="6"/>
  <c r="M409" i="6"/>
  <c r="N51" i="6"/>
  <c r="K51" i="6"/>
  <c r="L51" i="6"/>
  <c r="M51" i="6"/>
  <c r="K43" i="6"/>
  <c r="L43" i="6"/>
  <c r="M335" i="6"/>
  <c r="N202" i="6"/>
  <c r="N185" i="6"/>
  <c r="N400" i="6"/>
  <c r="K154" i="6"/>
  <c r="M154" i="6"/>
  <c r="L154" i="6"/>
  <c r="N139" i="6"/>
  <c r="M139" i="6"/>
  <c r="K139" i="6"/>
  <c r="K137" i="6"/>
  <c r="N136" i="6"/>
  <c r="N134" i="6"/>
  <c r="M132" i="6"/>
  <c r="N132" i="6"/>
  <c r="K132" i="6"/>
  <c r="M131" i="6"/>
  <c r="N131" i="6"/>
  <c r="K131" i="6"/>
  <c r="L61" i="6"/>
  <c r="K61" i="6"/>
  <c r="M61" i="6"/>
  <c r="N471" i="6"/>
  <c r="K471" i="6"/>
  <c r="L471" i="6"/>
  <c r="M471" i="6"/>
  <c r="N467" i="6"/>
  <c r="L467" i="6"/>
  <c r="N463" i="6"/>
  <c r="L463" i="6"/>
  <c r="M531" i="6"/>
  <c r="N531" i="6"/>
  <c r="K531" i="6"/>
  <c r="L531" i="6"/>
  <c r="I111" i="6"/>
  <c r="J111" i="6" s="1"/>
  <c r="I106" i="6"/>
  <c r="J106" i="6" s="1"/>
  <c r="I110" i="6"/>
  <c r="J110" i="6" s="1"/>
  <c r="I109" i="6"/>
  <c r="J109" i="6" s="1"/>
  <c r="I113" i="6"/>
  <c r="J113" i="6" s="1"/>
  <c r="I220" i="6"/>
  <c r="J220" i="6" s="1"/>
  <c r="I221" i="6"/>
  <c r="J221" i="6" s="1"/>
  <c r="I206" i="6"/>
  <c r="J206" i="6" s="1"/>
  <c r="I207" i="6"/>
  <c r="J207" i="6" s="1"/>
  <c r="I219" i="6"/>
  <c r="J219" i="6" s="1"/>
  <c r="I214" i="6"/>
  <c r="J214" i="6" s="1"/>
  <c r="I218" i="6"/>
  <c r="J218" i="6" s="1"/>
  <c r="I208" i="6"/>
  <c r="J208" i="6" s="1"/>
  <c r="I213" i="6"/>
  <c r="J213" i="6" s="1"/>
  <c r="I212" i="6"/>
  <c r="J212" i="6" s="1"/>
  <c r="I209" i="6"/>
  <c r="J209" i="6" s="1"/>
  <c r="I217" i="6"/>
  <c r="J217" i="6" s="1"/>
  <c r="I281" i="6"/>
  <c r="J281" i="6" s="1"/>
  <c r="I282" i="6"/>
  <c r="J282" i="6" s="1"/>
  <c r="M201" i="6"/>
  <c r="N201" i="6"/>
  <c r="N193" i="6"/>
  <c r="N427" i="6"/>
  <c r="K427" i="6"/>
  <c r="M416" i="6"/>
  <c r="K144" i="6"/>
  <c r="K510" i="6"/>
  <c r="N510" i="6"/>
  <c r="L510" i="6"/>
  <c r="M530" i="6"/>
  <c r="N530" i="6"/>
  <c r="N528" i="6"/>
  <c r="L69" i="6"/>
  <c r="L65" i="6"/>
  <c r="K65" i="6"/>
  <c r="M65" i="6"/>
  <c r="N361" i="6"/>
  <c r="M361" i="6"/>
  <c r="N103" i="6"/>
  <c r="K103" i="6"/>
  <c r="M103" i="6"/>
  <c r="L103" i="6"/>
  <c r="N95" i="6"/>
  <c r="K95" i="6"/>
  <c r="M95" i="6"/>
  <c r="L95" i="6"/>
  <c r="M204" i="6"/>
  <c r="N204" i="6"/>
  <c r="M200" i="6"/>
  <c r="N200" i="6"/>
  <c r="M196" i="6"/>
  <c r="N196" i="6"/>
  <c r="M183" i="6"/>
  <c r="M429" i="6"/>
  <c r="N429" i="6"/>
  <c r="L425" i="6"/>
  <c r="N423" i="6"/>
  <c r="K412" i="6"/>
  <c r="K410" i="6"/>
  <c r="N408" i="6"/>
  <c r="K50" i="6"/>
  <c r="N48" i="6"/>
  <c r="K46" i="6"/>
  <c r="N44" i="6"/>
  <c r="K44" i="6"/>
  <c r="K42" i="6"/>
  <c r="N40" i="6"/>
  <c r="K40" i="6"/>
  <c r="N490" i="6"/>
  <c r="N280" i="6"/>
  <c r="K280" i="6"/>
  <c r="M423" i="6"/>
  <c r="L204" i="6"/>
  <c r="M203" i="6"/>
  <c r="K201" i="6"/>
  <c r="L200" i="6"/>
  <c r="L196" i="6"/>
  <c r="M195" i="6"/>
  <c r="M191" i="6"/>
  <c r="N191" i="6"/>
  <c r="N187" i="6"/>
  <c r="L183" i="6"/>
  <c r="M427" i="6"/>
  <c r="M412" i="6"/>
  <c r="M408" i="6"/>
  <c r="M44" i="6"/>
  <c r="M40" i="6"/>
  <c r="L35" i="6"/>
  <c r="N34" i="6"/>
  <c r="K32" i="6"/>
  <c r="M611" i="6"/>
  <c r="N611" i="6"/>
  <c r="K611" i="6"/>
  <c r="M610" i="6"/>
  <c r="N610" i="6"/>
  <c r="K610" i="6"/>
  <c r="M609" i="6"/>
  <c r="N609" i="6"/>
  <c r="K609" i="6"/>
  <c r="M607" i="6"/>
  <c r="K607" i="6"/>
  <c r="L142" i="6"/>
  <c r="N142" i="6"/>
  <c r="K142" i="6"/>
  <c r="L57" i="6"/>
  <c r="K57" i="6"/>
  <c r="M57" i="6"/>
  <c r="N474" i="6"/>
  <c r="M470" i="6"/>
  <c r="K466" i="6"/>
  <c r="K462" i="6"/>
  <c r="M462" i="6"/>
  <c r="N366" i="6"/>
  <c r="K366" i="6"/>
  <c r="M366" i="6"/>
  <c r="L366" i="6"/>
  <c r="K357" i="6"/>
  <c r="N99" i="6"/>
  <c r="K99" i="6"/>
  <c r="M99" i="6"/>
  <c r="L99" i="6"/>
  <c r="K91" i="6"/>
  <c r="L91" i="6"/>
  <c r="N479" i="6"/>
  <c r="K479" i="6"/>
  <c r="K475" i="6"/>
  <c r="N369" i="6"/>
  <c r="K365" i="6"/>
  <c r="M360" i="6"/>
  <c r="N356" i="6"/>
  <c r="K102" i="6"/>
  <c r="N98" i="6"/>
  <c r="K98" i="6"/>
  <c r="M98" i="6"/>
  <c r="N90" i="6"/>
  <c r="L397" i="6"/>
  <c r="L392" i="6"/>
  <c r="L389" i="6"/>
  <c r="L387" i="6"/>
  <c r="L384" i="6"/>
  <c r="L630" i="6"/>
  <c r="L629" i="6"/>
  <c r="L626" i="6"/>
  <c r="L625" i="6"/>
  <c r="L622" i="6"/>
  <c r="L618" i="6"/>
  <c r="L617" i="6"/>
  <c r="L150" i="6"/>
  <c r="M149" i="6"/>
  <c r="M66" i="6"/>
  <c r="M62" i="6"/>
  <c r="M58" i="6"/>
  <c r="M479" i="6"/>
  <c r="N477" i="6"/>
  <c r="M477" i="6"/>
  <c r="N472" i="6"/>
  <c r="K472" i="6"/>
  <c r="L472" i="6"/>
  <c r="N469" i="6"/>
  <c r="K469" i="6"/>
  <c r="N468" i="6"/>
  <c r="K468" i="6"/>
  <c r="L468" i="6"/>
  <c r="K465" i="6"/>
  <c r="N464" i="6"/>
  <c r="K464" i="6"/>
  <c r="L464" i="6"/>
  <c r="N359" i="6"/>
  <c r="K359" i="6"/>
  <c r="N105" i="6"/>
  <c r="K105" i="6"/>
  <c r="M105" i="6"/>
  <c r="N101" i="6"/>
  <c r="K101" i="6"/>
  <c r="M101" i="6"/>
  <c r="L93" i="6"/>
  <c r="M93" i="6"/>
  <c r="N93" i="6"/>
  <c r="N89" i="6"/>
  <c r="K89" i="6"/>
  <c r="M89" i="6"/>
  <c r="M74" i="6"/>
  <c r="M63" i="6"/>
  <c r="K62" i="6"/>
  <c r="M59" i="6"/>
  <c r="N480" i="6"/>
  <c r="L480" i="6"/>
  <c r="L479" i="6"/>
  <c r="N476" i="6"/>
  <c r="L476" i="6"/>
  <c r="L475" i="6"/>
  <c r="M469" i="6"/>
  <c r="L369" i="6"/>
  <c r="L365" i="6"/>
  <c r="N362" i="6"/>
  <c r="K362" i="6"/>
  <c r="M362" i="6"/>
  <c r="L360" i="6"/>
  <c r="N358" i="6"/>
  <c r="K358" i="6"/>
  <c r="M358" i="6"/>
  <c r="L356" i="6"/>
  <c r="M104" i="6"/>
  <c r="L102" i="6"/>
  <c r="N100" i="6"/>
  <c r="K100" i="6"/>
  <c r="M100" i="6"/>
  <c r="L98" i="6"/>
  <c r="N96" i="6"/>
  <c r="K96" i="6"/>
  <c r="M96" i="6"/>
  <c r="N92" i="6"/>
  <c r="K92" i="6"/>
  <c r="M92" i="6"/>
  <c r="L90" i="6"/>
  <c r="M379" i="6"/>
  <c r="N379" i="6"/>
  <c r="K442" i="6"/>
  <c r="N442" i="6"/>
  <c r="L442" i="6"/>
  <c r="K453" i="6"/>
  <c r="L453" i="6"/>
  <c r="M453" i="6"/>
  <c r="K579" i="6"/>
  <c r="L579" i="6"/>
  <c r="M579" i="6"/>
  <c r="N579" i="6"/>
  <c r="K575" i="6"/>
  <c r="L575" i="6"/>
  <c r="M575" i="6"/>
  <c r="N575" i="6"/>
  <c r="K570" i="6"/>
  <c r="L570" i="6"/>
  <c r="M570" i="6"/>
  <c r="N570" i="6"/>
  <c r="N564" i="6"/>
  <c r="K558" i="6"/>
  <c r="L558" i="6"/>
  <c r="M558" i="6"/>
  <c r="N558" i="6"/>
  <c r="M542" i="6"/>
  <c r="N542" i="6"/>
  <c r="K542" i="6"/>
  <c r="L542" i="6"/>
  <c r="M172" i="6"/>
  <c r="N547" i="6"/>
  <c r="K81" i="6"/>
  <c r="K455" i="6"/>
  <c r="L455" i="6"/>
  <c r="M455" i="6"/>
  <c r="K450" i="6"/>
  <c r="L450" i="6"/>
  <c r="M450" i="6"/>
  <c r="K446" i="6"/>
  <c r="L446" i="6"/>
  <c r="M446" i="6"/>
  <c r="K577" i="6"/>
  <c r="L577" i="6"/>
  <c r="M577" i="6"/>
  <c r="N577" i="6"/>
  <c r="K573" i="6"/>
  <c r="L573" i="6"/>
  <c r="M573" i="6"/>
  <c r="N573" i="6"/>
  <c r="K568" i="6"/>
  <c r="L568" i="6"/>
  <c r="M568" i="6"/>
  <c r="N568" i="6"/>
  <c r="K562" i="6"/>
  <c r="L562" i="6"/>
  <c r="M562" i="6"/>
  <c r="N562" i="6"/>
  <c r="L556" i="6"/>
  <c r="L328" i="6"/>
  <c r="L325" i="6"/>
  <c r="M325" i="6"/>
  <c r="K325" i="6"/>
  <c r="N325" i="6"/>
  <c r="L315" i="6"/>
  <c r="M315" i="6"/>
  <c r="K315" i="6"/>
  <c r="N315" i="6"/>
  <c r="M554" i="6"/>
  <c r="M543" i="6"/>
  <c r="N543" i="6"/>
  <c r="K543" i="6"/>
  <c r="N538" i="6"/>
  <c r="K454" i="6"/>
  <c r="L454" i="6"/>
  <c r="L452" i="6"/>
  <c r="L447" i="6"/>
  <c r="M330" i="6"/>
  <c r="K330" i="6"/>
  <c r="L330" i="6"/>
  <c r="L326" i="6"/>
  <c r="M326" i="6"/>
  <c r="K326" i="6"/>
  <c r="L321" i="6"/>
  <c r="M321" i="6"/>
  <c r="K321" i="6"/>
  <c r="N321" i="6"/>
  <c r="M316" i="6"/>
  <c r="K316" i="6"/>
  <c r="M555" i="6"/>
  <c r="N555" i="6"/>
  <c r="K555" i="6"/>
  <c r="L550" i="6"/>
  <c r="M539" i="6"/>
  <c r="N539" i="6"/>
  <c r="K539" i="6"/>
  <c r="M534" i="6"/>
  <c r="N534" i="6"/>
  <c r="K534" i="6"/>
  <c r="L534" i="6"/>
  <c r="K441" i="6"/>
  <c r="L441" i="6"/>
  <c r="N454" i="6"/>
  <c r="N447" i="6"/>
  <c r="K580" i="6"/>
  <c r="L580" i="6"/>
  <c r="K578" i="6"/>
  <c r="L578" i="6"/>
  <c r="K574" i="6"/>
  <c r="L574" i="6"/>
  <c r="K571" i="6"/>
  <c r="L571" i="6"/>
  <c r="K569" i="6"/>
  <c r="K566" i="6"/>
  <c r="L566" i="6"/>
  <c r="K563" i="6"/>
  <c r="L563" i="6"/>
  <c r="K559" i="6"/>
  <c r="L559" i="6"/>
  <c r="K557" i="6"/>
  <c r="L557" i="6"/>
  <c r="L322" i="6"/>
  <c r="M322" i="6"/>
  <c r="K322" i="6"/>
  <c r="L318" i="6"/>
  <c r="M318" i="6"/>
  <c r="K318" i="6"/>
  <c r="M551" i="6"/>
  <c r="N551" i="6"/>
  <c r="K551" i="6"/>
  <c r="M546" i="6"/>
  <c r="N546" i="6"/>
  <c r="K546" i="6"/>
  <c r="L546" i="6"/>
  <c r="L543" i="6"/>
  <c r="M535" i="6"/>
  <c r="N535" i="6"/>
  <c r="K535" i="6"/>
  <c r="L320" i="6"/>
  <c r="M320" i="6"/>
  <c r="M553" i="6"/>
  <c r="M549" i="6"/>
  <c r="N549" i="6"/>
  <c r="M545" i="6"/>
  <c r="M541" i="6"/>
  <c r="N541" i="6"/>
  <c r="M537" i="6"/>
  <c r="L323" i="6"/>
  <c r="M323" i="6"/>
  <c r="L311" i="6"/>
  <c r="M311" i="6"/>
  <c r="L309" i="6"/>
  <c r="M309" i="6"/>
  <c r="M306" i="6"/>
  <c r="N306" i="6"/>
  <c r="M552" i="6"/>
  <c r="N552" i="6"/>
  <c r="M548" i="6"/>
  <c r="N548" i="6"/>
  <c r="M544" i="6"/>
  <c r="N544" i="6"/>
  <c r="M540" i="6"/>
  <c r="N540" i="6"/>
  <c r="M536" i="6"/>
  <c r="N536" i="6"/>
  <c r="M532" i="6"/>
  <c r="N532" i="6"/>
  <c r="L355" i="6" l="1"/>
  <c r="N355" i="6"/>
  <c r="K355" i="6"/>
  <c r="M355" i="6"/>
  <c r="N347" i="6"/>
  <c r="M347" i="6"/>
  <c r="K347" i="6"/>
  <c r="L347" i="6"/>
  <c r="K624" i="6"/>
  <c r="M624" i="6"/>
  <c r="M391" i="6"/>
  <c r="L391" i="6"/>
  <c r="N391" i="6"/>
  <c r="L526" i="6"/>
  <c r="N526" i="6"/>
  <c r="K60" i="6"/>
  <c r="N60" i="6"/>
  <c r="M60" i="6"/>
  <c r="L60" i="6"/>
  <c r="M238" i="6"/>
  <c r="N238" i="6"/>
  <c r="N25" i="6"/>
  <c r="M25" i="6"/>
  <c r="K188" i="6"/>
  <c r="L188" i="6"/>
  <c r="M188" i="6"/>
  <c r="N188" i="6"/>
  <c r="M538" i="6"/>
  <c r="L554" i="6"/>
  <c r="M48" i="6"/>
  <c r="M525" i="6"/>
  <c r="K430" i="6"/>
  <c r="L316" i="6"/>
  <c r="K447" i="6"/>
  <c r="L538" i="6"/>
  <c r="K554" i="6"/>
  <c r="K104" i="6"/>
  <c r="M465" i="6"/>
  <c r="N465" i="6"/>
  <c r="L396" i="6"/>
  <c r="M369" i="6"/>
  <c r="M50" i="6"/>
  <c r="K193" i="6"/>
  <c r="N199" i="6"/>
  <c r="N50" i="6"/>
  <c r="M262" i="6"/>
  <c r="M69" i="6"/>
  <c r="K478" i="6"/>
  <c r="K335" i="6"/>
  <c r="N43" i="6"/>
  <c r="K413" i="6"/>
  <c r="L525" i="6"/>
  <c r="K383" i="6"/>
  <c r="K502" i="6"/>
  <c r="M396" i="6"/>
  <c r="L199" i="6"/>
  <c r="L415" i="6"/>
  <c r="L421" i="6"/>
  <c r="L430" i="6"/>
  <c r="M426" i="6"/>
  <c r="N351" i="6"/>
  <c r="K195" i="6"/>
  <c r="N302" i="6"/>
  <c r="K399" i="6"/>
  <c r="B241" i="6"/>
  <c r="F595" i="6"/>
  <c r="I595" i="6" s="1"/>
  <c r="J595" i="6" s="1"/>
  <c r="D15" i="6"/>
  <c r="M287" i="6"/>
  <c r="K332" i="6"/>
  <c r="C254" i="6"/>
  <c r="C588" i="6"/>
  <c r="C604" i="6"/>
  <c r="B20" i="6"/>
  <c r="K116" i="6"/>
  <c r="K456" i="6"/>
  <c r="N371" i="6"/>
  <c r="L371" i="6"/>
  <c r="K371" i="6"/>
  <c r="M371" i="6"/>
  <c r="N230" i="6"/>
  <c r="M230" i="6"/>
  <c r="L230" i="6"/>
  <c r="K230" i="6"/>
  <c r="L88" i="6"/>
  <c r="K88" i="6"/>
  <c r="N374" i="6"/>
  <c r="L374" i="6"/>
  <c r="K374" i="6"/>
  <c r="M374" i="6"/>
  <c r="N375" i="6"/>
  <c r="M375" i="6"/>
  <c r="L375" i="6"/>
  <c r="K375" i="6"/>
  <c r="L385" i="6"/>
  <c r="N365" i="6"/>
  <c r="K385" i="6"/>
  <c r="N104" i="6"/>
  <c r="L477" i="6"/>
  <c r="M359" i="6"/>
  <c r="M475" i="6"/>
  <c r="L474" i="6"/>
  <c r="N606" i="6"/>
  <c r="M52" i="6"/>
  <c r="K189" i="6"/>
  <c r="M199" i="6"/>
  <c r="M296" i="6"/>
  <c r="K48" i="6"/>
  <c r="K408" i="6"/>
  <c r="K69" i="6"/>
  <c r="K530" i="6"/>
  <c r="M189" i="6"/>
  <c r="L83" i="6"/>
  <c r="K381" i="6"/>
  <c r="L502" i="6"/>
  <c r="K415" i="6"/>
  <c r="M597" i="6"/>
  <c r="L302" i="6"/>
  <c r="L399" i="6"/>
  <c r="C338" i="6"/>
  <c r="N332" i="6"/>
  <c r="F588" i="6"/>
  <c r="I588" i="6" s="1"/>
  <c r="J588" i="6" s="1"/>
  <c r="B604" i="6"/>
  <c r="G338" i="6"/>
  <c r="J177" i="6"/>
  <c r="L177" i="6" s="1"/>
  <c r="J9" i="6"/>
  <c r="M9" i="6" s="1"/>
  <c r="N443" i="6"/>
  <c r="K443" i="6"/>
  <c r="L443" i="6"/>
  <c r="M443" i="6"/>
  <c r="K120" i="6"/>
  <c r="L120" i="6"/>
  <c r="L259" i="6"/>
  <c r="N259" i="6"/>
  <c r="M259" i="6"/>
  <c r="K259" i="6"/>
  <c r="K378" i="6"/>
  <c r="M378" i="6"/>
  <c r="L378" i="6"/>
  <c r="N378" i="6"/>
  <c r="M116" i="6"/>
  <c r="L456" i="6"/>
  <c r="L128" i="6"/>
  <c r="M128" i="6"/>
  <c r="K76" i="6"/>
  <c r="M76" i="6"/>
  <c r="N323" i="6"/>
  <c r="K323" i="6"/>
  <c r="L433" i="6"/>
  <c r="N433" i="6"/>
  <c r="K433" i="6"/>
  <c r="M433" i="6"/>
  <c r="K226" i="6"/>
  <c r="N226" i="6"/>
  <c r="K434" i="6"/>
  <c r="M434" i="6"/>
  <c r="L434" i="6"/>
  <c r="N434" i="6"/>
  <c r="M370" i="6"/>
  <c r="L370" i="6"/>
  <c r="N566" i="6"/>
  <c r="M566" i="6"/>
  <c r="K440" i="6"/>
  <c r="N440" i="6"/>
  <c r="M440" i="6"/>
  <c r="L440" i="6"/>
  <c r="L190" i="6"/>
  <c r="K190" i="6"/>
  <c r="N190" i="6"/>
  <c r="M190" i="6"/>
  <c r="L608" i="6"/>
  <c r="M608" i="6"/>
  <c r="K608" i="6"/>
  <c r="N608" i="6"/>
  <c r="L173" i="6"/>
  <c r="N173" i="6"/>
  <c r="N255" i="6"/>
  <c r="L255" i="6"/>
  <c r="K255" i="6"/>
  <c r="M255" i="6"/>
  <c r="L137" i="6"/>
  <c r="N137" i="6"/>
  <c r="L133" i="6"/>
  <c r="K133" i="6"/>
  <c r="K182" i="6"/>
  <c r="M182" i="6"/>
  <c r="L135" i="6"/>
  <c r="N135" i="6"/>
  <c r="K169" i="6"/>
  <c r="L169" i="6"/>
  <c r="M232" i="6"/>
  <c r="K232" i="6"/>
  <c r="L232" i="6"/>
  <c r="N232" i="6"/>
  <c r="L527" i="6"/>
  <c r="N527" i="6"/>
  <c r="N448" i="6"/>
  <c r="M448" i="6"/>
  <c r="N628" i="6"/>
  <c r="M628" i="6"/>
  <c r="K202" i="6"/>
  <c r="L202" i="6"/>
  <c r="M202" i="6"/>
  <c r="L367" i="6"/>
  <c r="M367" i="6"/>
  <c r="N367" i="6"/>
  <c r="K473" i="6"/>
  <c r="N473" i="6"/>
  <c r="L473" i="6"/>
  <c r="M621" i="6"/>
  <c r="N621" i="6"/>
  <c r="L621" i="6"/>
  <c r="K550" i="6"/>
  <c r="A164" i="6"/>
  <c r="B164" i="6"/>
  <c r="G164" i="6"/>
  <c r="F164" i="6"/>
  <c r="I164" i="6" s="1"/>
  <c r="J164" i="6" s="1"/>
  <c r="C164" i="6"/>
  <c r="C168" i="6"/>
  <c r="B168" i="6"/>
  <c r="D168" i="6"/>
  <c r="G168" i="6"/>
  <c r="F168" i="6"/>
  <c r="I168" i="6" s="1"/>
  <c r="J168" i="6" s="1"/>
  <c r="G248" i="6"/>
  <c r="D248" i="6"/>
  <c r="A248" i="6"/>
  <c r="C248" i="6"/>
  <c r="F248" i="6"/>
  <c r="I248" i="6" s="1"/>
  <c r="J248" i="6" s="1"/>
  <c r="B248" i="6"/>
  <c r="B253" i="6"/>
  <c r="A253" i="6"/>
  <c r="C253" i="6"/>
  <c r="G253" i="6"/>
  <c r="D253" i="6"/>
  <c r="G237" i="6"/>
  <c r="D237" i="6"/>
  <c r="A237" i="6"/>
  <c r="C237" i="6"/>
  <c r="B237" i="6"/>
  <c r="B250" i="6"/>
  <c r="C250" i="6"/>
  <c r="G250" i="6"/>
  <c r="D250" i="6"/>
  <c r="A250" i="6"/>
  <c r="F250" i="6"/>
  <c r="I250" i="6" s="1"/>
  <c r="J250" i="6" s="1"/>
  <c r="B598" i="6"/>
  <c r="A598" i="6"/>
  <c r="C598" i="6"/>
  <c r="F598" i="6"/>
  <c r="I598" i="6" s="1"/>
  <c r="J598" i="6" s="1"/>
  <c r="G598" i="6"/>
  <c r="D598" i="6"/>
  <c r="A582" i="6"/>
  <c r="F582" i="6"/>
  <c r="I582" i="6" s="1"/>
  <c r="J582" i="6" s="1"/>
  <c r="D582" i="6"/>
  <c r="C582" i="6"/>
  <c r="G582" i="6"/>
  <c r="B582" i="6"/>
  <c r="B591" i="6"/>
  <c r="F591" i="6"/>
  <c r="I591" i="6" s="1"/>
  <c r="J591" i="6" s="1"/>
  <c r="G591" i="6"/>
  <c r="D591" i="6"/>
  <c r="C591" i="6"/>
  <c r="A591" i="6"/>
  <c r="C600" i="6"/>
  <c r="B600" i="6"/>
  <c r="G600" i="6"/>
  <c r="D600" i="6"/>
  <c r="K589" i="6"/>
  <c r="N589" i="6"/>
  <c r="L589" i="6"/>
  <c r="C584" i="6"/>
  <c r="D584" i="6"/>
  <c r="F584" i="6"/>
  <c r="I584" i="6" s="1"/>
  <c r="J584" i="6" s="1"/>
  <c r="A584" i="6"/>
  <c r="B584" i="6"/>
  <c r="G584" i="6"/>
  <c r="D18" i="6"/>
  <c r="G18" i="6"/>
  <c r="F18" i="6"/>
  <c r="I18" i="6" s="1"/>
  <c r="J18" i="6" s="1"/>
  <c r="B27" i="6"/>
  <c r="D27" i="6"/>
  <c r="C27" i="6"/>
  <c r="A27" i="6"/>
  <c r="A11" i="6"/>
  <c r="B11" i="6"/>
  <c r="G11" i="6"/>
  <c r="D11" i="6"/>
  <c r="C11" i="6"/>
  <c r="A16" i="6"/>
  <c r="C16" i="6"/>
  <c r="B16" i="6"/>
  <c r="F16" i="6"/>
  <c r="I16" i="6" s="1"/>
  <c r="J16" i="6" s="1"/>
  <c r="J334" i="6"/>
  <c r="C334" i="6"/>
  <c r="F334" i="6"/>
  <c r="I334" i="6" s="1"/>
  <c r="B334" i="6"/>
  <c r="G334" i="6"/>
  <c r="M235" i="6"/>
  <c r="L235" i="6"/>
  <c r="K235" i="6"/>
  <c r="N235" i="6"/>
  <c r="M463" i="6"/>
  <c r="K463" i="6"/>
  <c r="N58" i="6"/>
  <c r="K58" i="6"/>
  <c r="K517" i="6"/>
  <c r="M517" i="6"/>
  <c r="N517" i="6"/>
  <c r="N177" i="6"/>
  <c r="L115" i="6"/>
  <c r="M115" i="6"/>
  <c r="K115" i="6"/>
  <c r="M127" i="6"/>
  <c r="L127" i="6"/>
  <c r="K127" i="6"/>
  <c r="M467" i="6"/>
  <c r="K467" i="6"/>
  <c r="K419" i="6"/>
  <c r="N419" i="6"/>
  <c r="L9" i="6"/>
  <c r="K9" i="6"/>
  <c r="N9" i="6"/>
  <c r="L39" i="6"/>
  <c r="N39" i="6"/>
  <c r="K429" i="6"/>
  <c r="L429" i="6"/>
  <c r="M146" i="6"/>
  <c r="L146" i="6"/>
  <c r="L184" i="6"/>
  <c r="N184" i="6"/>
  <c r="K184" i="6"/>
  <c r="L134" i="6"/>
  <c r="M134" i="6"/>
  <c r="L466" i="6"/>
  <c r="N466" i="6"/>
  <c r="K367" i="6"/>
  <c r="K135" i="6"/>
  <c r="M137" i="6"/>
  <c r="L182" i="6"/>
  <c r="K390" i="6"/>
  <c r="N390" i="6"/>
  <c r="L607" i="6"/>
  <c r="N607" i="6"/>
  <c r="L361" i="6"/>
  <c r="K361" i="6"/>
  <c r="L81" i="6"/>
  <c r="M81" i="6"/>
  <c r="N395" i="6"/>
  <c r="K395" i="6"/>
  <c r="L470" i="6"/>
  <c r="N470" i="6"/>
  <c r="N388" i="6"/>
  <c r="L388" i="6"/>
  <c r="N13" i="6"/>
  <c r="K13" i="6"/>
  <c r="M13" i="6"/>
  <c r="L13" i="6"/>
  <c r="L416" i="6"/>
  <c r="N416" i="6"/>
  <c r="L420" i="6"/>
  <c r="K420" i="6"/>
  <c r="K343" i="6"/>
  <c r="L343" i="6"/>
  <c r="N343" i="6"/>
  <c r="A107" i="6"/>
  <c r="F107" i="6"/>
  <c r="I107" i="6" s="1"/>
  <c r="J107" i="6" s="1"/>
  <c r="D107" i="6"/>
  <c r="G107" i="6"/>
  <c r="C107" i="6"/>
  <c r="B107" i="6"/>
  <c r="A162" i="6"/>
  <c r="D162" i="6"/>
  <c r="C162" i="6"/>
  <c r="F162" i="6"/>
  <c r="I162" i="6" s="1"/>
  <c r="J162" i="6" s="1"/>
  <c r="B162" i="6"/>
  <c r="G162" i="6"/>
  <c r="L158" i="6"/>
  <c r="M158" i="6"/>
  <c r="F175" i="6"/>
  <c r="I175" i="6" s="1"/>
  <c r="J175" i="6" s="1"/>
  <c r="A175" i="6"/>
  <c r="C175" i="6"/>
  <c r="B175" i="6"/>
  <c r="D175" i="6"/>
  <c r="G156" i="6"/>
  <c r="C156" i="6"/>
  <c r="D156" i="6"/>
  <c r="F156" i="6"/>
  <c r="I156" i="6" s="1"/>
  <c r="J156" i="6" s="1"/>
  <c r="B156" i="6"/>
  <c r="L319" i="6"/>
  <c r="N533" i="6"/>
  <c r="N550" i="6"/>
  <c r="K470" i="6"/>
  <c r="K527" i="6"/>
  <c r="M135" i="6"/>
  <c r="N81" i="6"/>
  <c r="K146" i="6"/>
  <c r="L624" i="6"/>
  <c r="N624" i="6"/>
  <c r="D13" i="7"/>
  <c r="N41" i="6"/>
  <c r="L41" i="6"/>
  <c r="D6" i="7"/>
  <c r="B18" i="6"/>
  <c r="L528" i="6"/>
  <c r="M528" i="6"/>
  <c r="K528" i="6"/>
  <c r="K387" i="6"/>
  <c r="N387" i="6"/>
  <c r="K537" i="6"/>
  <c r="N537" i="6"/>
  <c r="K553" i="6"/>
  <c r="N553" i="6"/>
  <c r="J171" i="6"/>
  <c r="L331" i="6"/>
  <c r="K331" i="6"/>
  <c r="F600" i="6"/>
  <c r="I600" i="6" s="1"/>
  <c r="J600" i="6" s="1"/>
  <c r="L336" i="6"/>
  <c r="M336" i="6"/>
  <c r="K67" i="6"/>
  <c r="M67" i="6"/>
  <c r="N158" i="6"/>
  <c r="N144" i="6"/>
  <c r="M144" i="6"/>
  <c r="M629" i="6"/>
  <c r="K629" i="6"/>
  <c r="L243" i="6"/>
  <c r="N243" i="6"/>
  <c r="M243" i="6"/>
  <c r="N393" i="6"/>
  <c r="L393" i="6"/>
  <c r="K353" i="6"/>
  <c r="L353" i="6"/>
  <c r="L54" i="6"/>
  <c r="N54" i="6"/>
  <c r="M54" i="6"/>
  <c r="K192" i="6"/>
  <c r="N192" i="6"/>
  <c r="M473" i="6"/>
  <c r="K54" i="6"/>
  <c r="M192" i="6"/>
  <c r="M169" i="6"/>
  <c r="K389" i="6"/>
  <c r="L324" i="6"/>
  <c r="M324" i="6"/>
  <c r="N86" i="6"/>
  <c r="K86" i="6"/>
  <c r="L368" i="6"/>
  <c r="M368" i="6"/>
  <c r="M496" i="6"/>
  <c r="N496" i="6"/>
  <c r="N83" i="6"/>
  <c r="K83" i="6"/>
  <c r="M533" i="6"/>
  <c r="L448" i="6"/>
  <c r="N380" i="6"/>
  <c r="N146" i="6"/>
  <c r="L381" i="6"/>
  <c r="L395" i="6"/>
  <c r="M466" i="6"/>
  <c r="L192" i="6"/>
  <c r="M527" i="6"/>
  <c r="M381" i="6"/>
  <c r="M393" i="6"/>
  <c r="L496" i="6"/>
  <c r="N353" i="6"/>
  <c r="D164" i="6"/>
  <c r="M357" i="6"/>
  <c r="N357" i="6"/>
  <c r="N102" i="6"/>
  <c r="M102" i="6"/>
  <c r="K423" i="6"/>
  <c r="L423" i="6"/>
  <c r="L410" i="6"/>
  <c r="M410" i="6"/>
  <c r="N410" i="6"/>
  <c r="N91" i="6"/>
  <c r="M91" i="6"/>
  <c r="A156" i="6"/>
  <c r="G175" i="6"/>
  <c r="L462" i="6"/>
  <c r="N462" i="6"/>
  <c r="F237" i="6"/>
  <c r="I237" i="6" s="1"/>
  <c r="J237" i="6" s="1"/>
  <c r="F253" i="6"/>
  <c r="I253" i="6" s="1"/>
  <c r="J253" i="6" s="1"/>
  <c r="L34" i="6"/>
  <c r="M34" i="6"/>
  <c r="F11" i="6"/>
  <c r="I11" i="6" s="1"/>
  <c r="J11" i="6" s="1"/>
  <c r="D61" i="7" s="1"/>
  <c r="K185" i="6"/>
  <c r="L185" i="6"/>
  <c r="L203" i="6"/>
  <c r="N203" i="6"/>
  <c r="M343" i="6"/>
  <c r="L47" i="6"/>
  <c r="N47" i="6"/>
  <c r="G16" i="6"/>
  <c r="L42" i="6"/>
  <c r="N42" i="6"/>
  <c r="M42" i="6"/>
  <c r="L46" i="6"/>
  <c r="N46" i="6"/>
  <c r="M46" i="6"/>
  <c r="K351" i="6"/>
  <c r="M351" i="6"/>
  <c r="L412" i="6"/>
  <c r="N412" i="6"/>
  <c r="D334" i="6"/>
  <c r="K29" i="6"/>
  <c r="N29" i="6"/>
  <c r="L29" i="6"/>
  <c r="M622" i="6"/>
  <c r="K622" i="6"/>
  <c r="M606" i="6"/>
  <c r="M478" i="6"/>
  <c r="M526" i="6"/>
  <c r="N478" i="6"/>
  <c r="K136" i="6"/>
  <c r="K400" i="6"/>
  <c r="N335" i="6"/>
  <c r="N55" i="6"/>
  <c r="M340" i="6"/>
  <c r="L74" i="6"/>
  <c r="M421" i="6"/>
  <c r="N503" i="6"/>
  <c r="M399" i="6"/>
  <c r="J603" i="6"/>
  <c r="L603" i="6" s="1"/>
  <c r="N592" i="6"/>
  <c r="K71" i="6"/>
  <c r="L238" i="6"/>
  <c r="A242" i="6"/>
  <c r="F242" i="6"/>
  <c r="I242" i="6" s="1"/>
  <c r="J242" i="6" s="1"/>
  <c r="F170" i="6"/>
  <c r="I170" i="6" s="1"/>
  <c r="J170" i="6" s="1"/>
  <c r="C170" i="6"/>
  <c r="G170" i="6"/>
  <c r="D170" i="6"/>
  <c r="B170" i="6"/>
  <c r="A170" i="6"/>
  <c r="A179" i="6"/>
  <c r="D179" i="6"/>
  <c r="F179" i="6"/>
  <c r="I179" i="6" s="1"/>
  <c r="J179" i="6" s="1"/>
  <c r="B179" i="6"/>
  <c r="G179" i="6"/>
  <c r="C165" i="6"/>
  <c r="G165" i="6"/>
  <c r="D165" i="6"/>
  <c r="A172" i="6"/>
  <c r="D172" i="6"/>
  <c r="B172" i="6"/>
  <c r="F252" i="6"/>
  <c r="I252" i="6" s="1"/>
  <c r="J252" i="6" s="1"/>
  <c r="C252" i="6"/>
  <c r="D252" i="6"/>
  <c r="B252" i="6"/>
  <c r="G252" i="6"/>
  <c r="A252" i="6"/>
  <c r="A236" i="6"/>
  <c r="F236" i="6"/>
  <c r="I236" i="6" s="1"/>
  <c r="J236" i="6" s="1"/>
  <c r="D236" i="6"/>
  <c r="C236" i="6"/>
  <c r="G236" i="6"/>
  <c r="B236" i="6"/>
  <c r="C241" i="6"/>
  <c r="G241" i="6"/>
  <c r="D241" i="6"/>
  <c r="F241" i="6"/>
  <c r="I241" i="6" s="1"/>
  <c r="J241" i="6" s="1"/>
  <c r="F254" i="6"/>
  <c r="I254" i="6" s="1"/>
  <c r="J254" i="6" s="1"/>
  <c r="A254" i="6"/>
  <c r="C238" i="6"/>
  <c r="D238" i="6"/>
  <c r="G238" i="6"/>
  <c r="F602" i="6"/>
  <c r="I602" i="6" s="1"/>
  <c r="J602" i="6" s="1"/>
  <c r="C602" i="6"/>
  <c r="A602" i="6"/>
  <c r="B602" i="6"/>
  <c r="G602" i="6"/>
  <c r="D602" i="6"/>
  <c r="F586" i="6"/>
  <c r="I586" i="6" s="1"/>
  <c r="J586" i="6" s="1"/>
  <c r="C586" i="6"/>
  <c r="A586" i="6"/>
  <c r="D586" i="6"/>
  <c r="G586" i="6"/>
  <c r="B586" i="6"/>
  <c r="A595" i="6"/>
  <c r="D595" i="6"/>
  <c r="G595" i="6"/>
  <c r="C15" i="6"/>
  <c r="A15" i="6"/>
  <c r="G20" i="6"/>
  <c r="F20" i="6"/>
  <c r="I20" i="6" s="1"/>
  <c r="J20" i="6" s="1"/>
  <c r="N512" i="6"/>
  <c r="M512" i="6"/>
  <c r="L279" i="6"/>
  <c r="N279" i="6"/>
  <c r="M279" i="6"/>
  <c r="K279" i="6"/>
  <c r="J339" i="6"/>
  <c r="C211" i="6"/>
  <c r="F211" i="6"/>
  <c r="I211" i="6" s="1"/>
  <c r="J211" i="6" s="1"/>
  <c r="A174" i="6"/>
  <c r="B174" i="6"/>
  <c r="G174" i="6"/>
  <c r="D174" i="6"/>
  <c r="F174" i="6"/>
  <c r="I174" i="6" s="1"/>
  <c r="J174" i="6" s="1"/>
  <c r="C174" i="6"/>
  <c r="B167" i="6"/>
  <c r="A167" i="6"/>
  <c r="D167" i="6"/>
  <c r="G167" i="6"/>
  <c r="F167" i="6"/>
  <c r="I167" i="6" s="1"/>
  <c r="J167" i="6" s="1"/>
  <c r="C161" i="6"/>
  <c r="D161" i="6"/>
  <c r="B161" i="6"/>
  <c r="A157" i="6"/>
  <c r="C157" i="6"/>
  <c r="B157" i="6"/>
  <c r="A176" i="6"/>
  <c r="F176" i="6"/>
  <c r="I176" i="6" s="1"/>
  <c r="J176" i="6" s="1"/>
  <c r="G176" i="6"/>
  <c r="B176" i="6"/>
  <c r="D176" i="6"/>
  <c r="F240" i="6"/>
  <c r="I240" i="6" s="1"/>
  <c r="J240" i="6" s="1"/>
  <c r="C240" i="6"/>
  <c r="A240" i="6"/>
  <c r="D240" i="6"/>
  <c r="G240" i="6"/>
  <c r="B240" i="6"/>
  <c r="G245" i="6"/>
  <c r="D245" i="6"/>
  <c r="F245" i="6"/>
  <c r="I245" i="6" s="1"/>
  <c r="J245" i="6" s="1"/>
  <c r="C245" i="6"/>
  <c r="B234" i="6"/>
  <c r="F234" i="6"/>
  <c r="I234" i="6" s="1"/>
  <c r="J234" i="6" s="1"/>
  <c r="C234" i="6"/>
  <c r="F590" i="6"/>
  <c r="I590" i="6" s="1"/>
  <c r="J590" i="6" s="1"/>
  <c r="C590" i="6"/>
  <c r="G590" i="6"/>
  <c r="B590" i="6"/>
  <c r="D590" i="6"/>
  <c r="A590" i="6"/>
  <c r="G599" i="6"/>
  <c r="D599" i="6"/>
  <c r="F599" i="6"/>
  <c r="I599" i="6" s="1"/>
  <c r="J599" i="6" s="1"/>
  <c r="G583" i="6"/>
  <c r="D583" i="6"/>
  <c r="A583" i="6"/>
  <c r="D592" i="6"/>
  <c r="C592" i="6"/>
  <c r="A19" i="6"/>
  <c r="C19" i="6"/>
  <c r="B19" i="6"/>
  <c r="L72" i="6"/>
  <c r="K72" i="6"/>
  <c r="N72" i="6"/>
  <c r="M72" i="6"/>
  <c r="M523" i="6"/>
  <c r="N523" i="6"/>
  <c r="K522" i="6"/>
  <c r="L522" i="6"/>
  <c r="K474" i="6"/>
  <c r="K606" i="6"/>
  <c r="M187" i="6"/>
  <c r="M425" i="6"/>
  <c r="N183" i="6"/>
  <c r="K526" i="6"/>
  <c r="M136" i="6"/>
  <c r="M400" i="6"/>
  <c r="M332" i="6"/>
  <c r="J165" i="6"/>
  <c r="D29" i="7"/>
  <c r="E29" i="7" s="1"/>
  <c r="I29" i="7" s="1"/>
  <c r="K29" i="7" s="1"/>
  <c r="C167" i="6"/>
  <c r="M71" i="6"/>
  <c r="K238" i="6"/>
  <c r="G242" i="6"/>
  <c r="C215" i="6"/>
  <c r="F215" i="6"/>
  <c r="I215" i="6" s="1"/>
  <c r="J215" i="6" s="1"/>
  <c r="G166" i="6"/>
  <c r="F166" i="6"/>
  <c r="I166" i="6" s="1"/>
  <c r="J166" i="6" s="1"/>
  <c r="B166" i="6"/>
  <c r="D166" i="6"/>
  <c r="A166" i="6"/>
  <c r="C166" i="6"/>
  <c r="G178" i="6"/>
  <c r="D178" i="6"/>
  <c r="A178" i="6"/>
  <c r="C178" i="6"/>
  <c r="B178" i="6"/>
  <c r="F178" i="6"/>
  <c r="I178" i="6" s="1"/>
  <c r="J178" i="6" s="1"/>
  <c r="A159" i="6"/>
  <c r="F159" i="6"/>
  <c r="I159" i="6" s="1"/>
  <c r="J159" i="6" s="1"/>
  <c r="B159" i="6"/>
  <c r="C159" i="6"/>
  <c r="D159" i="6"/>
  <c r="D171" i="6"/>
  <c r="C171" i="6"/>
  <c r="A171" i="6"/>
  <c r="D160" i="6"/>
  <c r="G160" i="6"/>
  <c r="A180" i="6"/>
  <c r="D180" i="6"/>
  <c r="F180" i="6"/>
  <c r="I180" i="6" s="1"/>
  <c r="J180" i="6" s="1"/>
  <c r="C180" i="6"/>
  <c r="B180" i="6"/>
  <c r="B244" i="6"/>
  <c r="C244" i="6"/>
  <c r="A244" i="6"/>
  <c r="F244" i="6"/>
  <c r="I244" i="6" s="1"/>
  <c r="J244" i="6" s="1"/>
  <c r="G244" i="6"/>
  <c r="D244" i="6"/>
  <c r="B249" i="6"/>
  <c r="C249" i="6"/>
  <c r="F249" i="6"/>
  <c r="I249" i="6" s="1"/>
  <c r="J249" i="6" s="1"/>
  <c r="G246" i="6"/>
  <c r="F246" i="6"/>
  <c r="I246" i="6" s="1"/>
  <c r="J246" i="6" s="1"/>
  <c r="B594" i="6"/>
  <c r="A594" i="6"/>
  <c r="D594" i="6"/>
  <c r="G594" i="6"/>
  <c r="F594" i="6"/>
  <c r="I594" i="6" s="1"/>
  <c r="J594" i="6" s="1"/>
  <c r="C594" i="6"/>
  <c r="C603" i="6"/>
  <c r="B603" i="6"/>
  <c r="D587" i="6"/>
  <c r="C587" i="6"/>
  <c r="F587" i="6"/>
  <c r="I587" i="6" s="1"/>
  <c r="J587" i="6" s="1"/>
  <c r="A23" i="6"/>
  <c r="D23" i="6"/>
  <c r="C23" i="6"/>
  <c r="F23" i="6"/>
  <c r="I23" i="6" s="1"/>
  <c r="J23" i="6" s="1"/>
  <c r="D7" i="6"/>
  <c r="B7" i="6"/>
  <c r="G28" i="6"/>
  <c r="A28" i="6"/>
  <c r="M460" i="6"/>
  <c r="L460" i="6"/>
  <c r="N460" i="6"/>
  <c r="K460" i="6"/>
  <c r="L263" i="6"/>
  <c r="K263" i="6"/>
  <c r="N263" i="6"/>
  <c r="M263" i="6"/>
  <c r="K80" i="6"/>
  <c r="L80" i="6"/>
  <c r="N80" i="6"/>
  <c r="M80" i="6"/>
  <c r="J163" i="6"/>
  <c r="N267" i="6"/>
  <c r="M267" i="6"/>
  <c r="L267" i="6"/>
  <c r="K267" i="6"/>
  <c r="L138" i="6"/>
  <c r="M138" i="6"/>
  <c r="N138" i="6"/>
  <c r="K138" i="6"/>
  <c r="N382" i="6"/>
  <c r="M382" i="6"/>
  <c r="L382" i="6"/>
  <c r="K382" i="6"/>
  <c r="K428" i="6"/>
  <c r="M428" i="6"/>
  <c r="L428" i="6"/>
  <c r="N428" i="6"/>
  <c r="M338" i="6"/>
  <c r="L338" i="6"/>
  <c r="K338" i="6"/>
  <c r="N53" i="6"/>
  <c r="M53" i="6"/>
  <c r="N407" i="6"/>
  <c r="M407" i="6"/>
  <c r="L407" i="6"/>
  <c r="M181" i="6"/>
  <c r="L181" i="6"/>
  <c r="L38" i="6"/>
  <c r="N38" i="6"/>
  <c r="M38" i="6"/>
  <c r="K38" i="6"/>
  <c r="L257" i="6"/>
  <c r="M257" i="6"/>
  <c r="L56" i="6"/>
  <c r="N56" i="6"/>
  <c r="M56" i="6"/>
  <c r="K56" i="6"/>
  <c r="L70" i="6"/>
  <c r="M70" i="6"/>
  <c r="K70" i="6"/>
  <c r="N70" i="6"/>
  <c r="D49" i="7"/>
  <c r="D24" i="7"/>
  <c r="E24" i="7" s="1"/>
  <c r="I24" i="7" s="1"/>
  <c r="K24" i="7" s="1"/>
  <c r="D30" i="7"/>
  <c r="D54" i="7"/>
  <c r="D65" i="7"/>
  <c r="D36" i="7"/>
  <c r="D15" i="7"/>
  <c r="D7" i="7"/>
  <c r="D66" i="7"/>
  <c r="D52" i="7"/>
  <c r="L33" i="6"/>
  <c r="N33" i="6"/>
  <c r="M33" i="6"/>
  <c r="K33" i="6"/>
  <c r="K328" i="6"/>
  <c r="M328" i="6"/>
  <c r="L547" i="6"/>
  <c r="L628" i="6"/>
  <c r="D46" i="7"/>
  <c r="K52" i="6"/>
  <c r="N529" i="6"/>
  <c r="M193" i="6"/>
  <c r="D27" i="7"/>
  <c r="N405" i="6"/>
  <c r="N49" i="6"/>
  <c r="K337" i="6"/>
  <c r="K45" i="6"/>
  <c r="N261" i="6"/>
  <c r="M141" i="6"/>
  <c r="N629" i="6"/>
  <c r="K391" i="6"/>
  <c r="K628" i="6"/>
  <c r="N394" i="6"/>
  <c r="N349" i="6"/>
  <c r="N417" i="6"/>
  <c r="N500" i="6"/>
  <c r="K187" i="6"/>
  <c r="D53" i="7"/>
  <c r="K505" i="6"/>
  <c r="D10" i="7"/>
  <c r="E10" i="7" s="1"/>
  <c r="I10" i="7" s="1"/>
  <c r="K10" i="7" s="1"/>
  <c r="D22" i="7"/>
  <c r="D47" i="7"/>
  <c r="D45" i="7"/>
  <c r="E45" i="7" s="1"/>
  <c r="I45" i="7" s="1"/>
  <c r="K45" i="7" s="1"/>
  <c r="D14" i="7"/>
  <c r="E14" i="7" s="1"/>
  <c r="I14" i="7" s="1"/>
  <c r="K14" i="7" s="1"/>
  <c r="D51" i="7"/>
  <c r="E51" i="7" s="1"/>
  <c r="I51" i="7" s="1"/>
  <c r="K51" i="7" s="1"/>
  <c r="D21" i="7"/>
  <c r="E21" i="7" s="1"/>
  <c r="I21" i="7" s="1"/>
  <c r="K21" i="7" s="1"/>
  <c r="D17" i="7"/>
  <c r="E17" i="7" s="1"/>
  <c r="F17" i="7" s="1"/>
  <c r="D11" i="7"/>
  <c r="E11" i="7" s="1"/>
  <c r="I11" i="7" s="1"/>
  <c r="K11" i="7" s="1"/>
  <c r="M75" i="6"/>
  <c r="L75" i="6"/>
  <c r="M108" i="6"/>
  <c r="K108" i="6"/>
  <c r="N108" i="6"/>
  <c r="L108" i="6"/>
  <c r="N508" i="6"/>
  <c r="M508" i="6"/>
  <c r="K508" i="6"/>
  <c r="L508" i="6"/>
  <c r="K459" i="6"/>
  <c r="L459" i="6"/>
  <c r="N459" i="6"/>
  <c r="M459" i="6"/>
  <c r="N518" i="6"/>
  <c r="K518" i="6"/>
  <c r="L518" i="6"/>
  <c r="M518" i="6"/>
  <c r="L404" i="6"/>
  <c r="K404" i="6"/>
  <c r="N404" i="6"/>
  <c r="M404" i="6"/>
  <c r="K585" i="6"/>
  <c r="L585" i="6"/>
  <c r="N21" i="6"/>
  <c r="L21" i="6"/>
  <c r="N35" i="6"/>
  <c r="K35" i="6"/>
  <c r="N130" i="6"/>
  <c r="L130" i="6"/>
  <c r="M515" i="6"/>
  <c r="N515" i="6"/>
  <c r="K515" i="6"/>
  <c r="L515" i="6"/>
  <c r="L265" i="6"/>
  <c r="M265" i="6"/>
  <c r="K277" i="6"/>
  <c r="N277" i="6"/>
  <c r="N495" i="6"/>
  <c r="K495" i="6"/>
  <c r="L352" i="6"/>
  <c r="K352" i="6"/>
  <c r="N352" i="6"/>
  <c r="M352" i="6"/>
  <c r="N294" i="6"/>
  <c r="K294" i="6"/>
  <c r="L294" i="6"/>
  <c r="M294" i="6"/>
  <c r="L613" i="6"/>
  <c r="N613" i="6"/>
  <c r="N452" i="6"/>
  <c r="K547" i="6"/>
  <c r="N52" i="6"/>
  <c r="M424" i="6"/>
  <c r="M529" i="6"/>
  <c r="N189" i="6"/>
  <c r="M405" i="6"/>
  <c r="M49" i="6"/>
  <c r="L337" i="6"/>
  <c r="N45" i="6"/>
  <c r="K173" i="6"/>
  <c r="N74" i="6"/>
  <c r="N141" i="6"/>
  <c r="M390" i="6"/>
  <c r="K394" i="6"/>
  <c r="K504" i="6"/>
  <c r="K349" i="6"/>
  <c r="K417" i="6"/>
  <c r="M500" i="6"/>
  <c r="L118" i="6"/>
  <c r="K603" i="6"/>
  <c r="D9" i="7"/>
  <c r="E9" i="7" s="1"/>
  <c r="I9" i="7" s="1"/>
  <c r="K9" i="7" s="1"/>
  <c r="D26" i="7"/>
  <c r="D32" i="7"/>
  <c r="D31" i="7"/>
  <c r="E31" i="7" s="1"/>
  <c r="I31" i="7" s="1"/>
  <c r="K31" i="7" s="1"/>
  <c r="D25" i="7"/>
  <c r="E25" i="7" s="1"/>
  <c r="I25" i="7" s="1"/>
  <c r="K25" i="7" s="1"/>
  <c r="D12" i="7"/>
  <c r="D48" i="7"/>
  <c r="D33" i="7"/>
  <c r="E33" i="7" s="1"/>
  <c r="I33" i="7" s="1"/>
  <c r="K33" i="7" s="1"/>
  <c r="D23" i="7"/>
  <c r="E23" i="7" s="1"/>
  <c r="I23" i="7" s="1"/>
  <c r="K23" i="7" s="1"/>
  <c r="N287" i="6"/>
  <c r="K75" i="6"/>
  <c r="N491" i="6"/>
  <c r="L123" i="6"/>
  <c r="K123" i="6"/>
  <c r="M123" i="6"/>
  <c r="N123" i="6"/>
  <c r="K251" i="6"/>
  <c r="M251" i="6"/>
  <c r="K258" i="6"/>
  <c r="N258" i="6"/>
  <c r="L258" i="6"/>
  <c r="M258" i="6"/>
  <c r="N299" i="6"/>
  <c r="L299" i="6"/>
  <c r="K299" i="6"/>
  <c r="M299" i="6"/>
  <c r="L17" i="6"/>
  <c r="N17" i="6"/>
  <c r="K17" i="6"/>
  <c r="M17" i="6"/>
  <c r="M283" i="6"/>
  <c r="N283" i="6"/>
  <c r="L283" i="6"/>
  <c r="K283" i="6"/>
  <c r="L25" i="6"/>
  <c r="K25" i="6"/>
  <c r="N126" i="6"/>
  <c r="L126" i="6"/>
  <c r="N600" i="6"/>
  <c r="M600" i="6"/>
  <c r="N344" i="6"/>
  <c r="M344" i="6"/>
  <c r="L344" i="6"/>
  <c r="K344" i="6"/>
  <c r="M614" i="6"/>
  <c r="K614" i="6"/>
  <c r="L614" i="6"/>
  <c r="N614" i="6"/>
  <c r="M273" i="6"/>
  <c r="K273" i="6"/>
  <c r="K482" i="6"/>
  <c r="L482" i="6"/>
  <c r="N482" i="6"/>
  <c r="M486" i="6"/>
  <c r="L486" i="6"/>
  <c r="K486" i="6"/>
  <c r="N486" i="6"/>
  <c r="N239" i="6"/>
  <c r="M239" i="6"/>
  <c r="L239" i="6"/>
  <c r="K239" i="6"/>
  <c r="L593" i="6"/>
  <c r="N593" i="6"/>
  <c r="K593" i="6"/>
  <c r="M593" i="6"/>
  <c r="L119" i="6"/>
  <c r="K119" i="6"/>
  <c r="N119" i="6"/>
  <c r="M119" i="6"/>
  <c r="N581" i="6"/>
  <c r="M581" i="6"/>
  <c r="N266" i="6"/>
  <c r="M266" i="6"/>
  <c r="L266" i="6"/>
  <c r="K266" i="6"/>
  <c r="K601" i="6"/>
  <c r="M601" i="6"/>
  <c r="N601" i="6"/>
  <c r="L601" i="6"/>
  <c r="N487" i="6"/>
  <c r="M487" i="6"/>
  <c r="L487" i="6"/>
  <c r="K487" i="6"/>
  <c r="L291" i="6"/>
  <c r="M291" i="6"/>
  <c r="N291" i="6"/>
  <c r="K291" i="6"/>
  <c r="L286" i="6"/>
  <c r="M286" i="6"/>
  <c r="K286" i="6"/>
  <c r="N286" i="6"/>
  <c r="M298" i="6"/>
  <c r="N298" i="6"/>
  <c r="K298" i="6"/>
  <c r="L298" i="6"/>
  <c r="K452" i="6"/>
  <c r="L390" i="6"/>
  <c r="L394" i="6"/>
  <c r="K529" i="6"/>
  <c r="M185" i="6"/>
  <c r="M173" i="6"/>
  <c r="L379" i="6"/>
  <c r="L504" i="6"/>
  <c r="K581" i="6"/>
  <c r="D34" i="7"/>
  <c r="D18" i="7"/>
  <c r="E18" i="7" s="1"/>
  <c r="I18" i="7" s="1"/>
  <c r="K18" i="7" s="1"/>
  <c r="D8" i="7"/>
  <c r="D64" i="7"/>
  <c r="D50" i="7"/>
  <c r="E50" i="7" s="1"/>
  <c r="I50" i="7" s="1"/>
  <c r="K50" i="7" s="1"/>
  <c r="D19" i="7"/>
  <c r="E19" i="7" s="1"/>
  <c r="I19" i="7" s="1"/>
  <c r="K19" i="7" s="1"/>
  <c r="K287" i="6"/>
  <c r="N247" i="6"/>
  <c r="L247" i="6"/>
  <c r="M247" i="6"/>
  <c r="K247" i="6"/>
  <c r="K270" i="6"/>
  <c r="M270" i="6"/>
  <c r="L270" i="6"/>
  <c r="N270" i="6"/>
  <c r="K597" i="6"/>
  <c r="L597" i="6"/>
  <c r="M274" i="6"/>
  <c r="K274" i="6"/>
  <c r="L274" i="6"/>
  <c r="N274" i="6"/>
  <c r="M605" i="6"/>
  <c r="N605" i="6"/>
  <c r="L605" i="6"/>
  <c r="K605" i="6"/>
  <c r="L262" i="6"/>
  <c r="K262" i="6"/>
  <c r="N295" i="6"/>
  <c r="L295" i="6"/>
  <c r="K295" i="6"/>
  <c r="M295" i="6"/>
  <c r="N269" i="6"/>
  <c r="L269" i="6"/>
  <c r="K269" i="6"/>
  <c r="M269" i="6"/>
  <c r="M151" i="6"/>
  <c r="N151" i="6"/>
  <c r="K151" i="6"/>
  <c r="L151" i="6"/>
  <c r="M620" i="6"/>
  <c r="K620" i="6"/>
  <c r="N620" i="6"/>
  <c r="L620" i="6"/>
  <c r="L350" i="6"/>
  <c r="M350" i="6"/>
  <c r="N350" i="6"/>
  <c r="K350" i="6"/>
  <c r="K37" i="6"/>
  <c r="N37" i="6"/>
  <c r="L37" i="6"/>
  <c r="M37" i="6"/>
  <c r="N152" i="6"/>
  <c r="L152" i="6"/>
  <c r="K152" i="6"/>
  <c r="M152" i="6"/>
  <c r="M521" i="6"/>
  <c r="M603" i="6"/>
  <c r="N588" i="6"/>
  <c r="L588" i="6"/>
  <c r="M588" i="6"/>
  <c r="K588" i="6"/>
  <c r="N176" i="6"/>
  <c r="L176" i="6"/>
  <c r="K176" i="6"/>
  <c r="M176" i="6"/>
  <c r="K596" i="6"/>
  <c r="N596" i="6"/>
  <c r="L596" i="6"/>
  <c r="M596" i="6"/>
  <c r="N458" i="6"/>
  <c r="M458" i="6"/>
  <c r="L458" i="6"/>
  <c r="K458" i="6"/>
  <c r="L8" i="6"/>
  <c r="K8" i="6"/>
  <c r="N8" i="6"/>
  <c r="M8" i="6"/>
  <c r="N583" i="6"/>
  <c r="L583" i="6"/>
  <c r="K583" i="6"/>
  <c r="M583" i="6"/>
  <c r="M595" i="6"/>
  <c r="L595" i="6"/>
  <c r="K595" i="6"/>
  <c r="N595" i="6"/>
  <c r="M16" i="6"/>
  <c r="K16" i="6"/>
  <c r="N16" i="6"/>
  <c r="L16" i="6"/>
  <c r="N272" i="6"/>
  <c r="L272" i="6"/>
  <c r="K272" i="6"/>
  <c r="M272" i="6"/>
  <c r="M505" i="6"/>
  <c r="L505" i="6"/>
  <c r="K386" i="6"/>
  <c r="N603" i="6"/>
  <c r="K228" i="6"/>
  <c r="N228" i="6"/>
  <c r="L228" i="6"/>
  <c r="M228" i="6"/>
  <c r="L545" i="6"/>
  <c r="K545" i="6"/>
  <c r="K250" i="6"/>
  <c r="N250" i="6"/>
  <c r="L250" i="6"/>
  <c r="M250" i="6"/>
  <c r="N145" i="6"/>
  <c r="L145" i="6"/>
  <c r="K145" i="6"/>
  <c r="M145" i="6"/>
  <c r="N319" i="6"/>
  <c r="M319" i="6"/>
  <c r="K160" i="6"/>
  <c r="N160" i="6"/>
  <c r="M160" i="6"/>
  <c r="L160" i="6"/>
  <c r="N227" i="6"/>
  <c r="K227" i="6"/>
  <c r="M227" i="6"/>
  <c r="L227" i="6"/>
  <c r="K20" i="6"/>
  <c r="N20" i="6"/>
  <c r="M20" i="6"/>
  <c r="L20" i="6"/>
  <c r="N363" i="6"/>
  <c r="L363" i="6"/>
  <c r="K363" i="6"/>
  <c r="M363" i="6"/>
  <c r="L129" i="6"/>
  <c r="M129" i="6"/>
  <c r="M28" i="6"/>
  <c r="L28" i="6"/>
  <c r="K28" i="6"/>
  <c r="N28" i="6"/>
  <c r="M278" i="6"/>
  <c r="L278" i="6"/>
  <c r="N278" i="6"/>
  <c r="K278" i="6"/>
  <c r="M616" i="6"/>
  <c r="L616" i="6"/>
  <c r="N493" i="6"/>
  <c r="K493" i="6"/>
  <c r="N580" i="6"/>
  <c r="M580" i="6"/>
  <c r="N118" i="6"/>
  <c r="M118" i="6"/>
  <c r="N256" i="6"/>
  <c r="K256" i="6"/>
  <c r="L256" i="6"/>
  <c r="M256" i="6"/>
  <c r="N24" i="6"/>
  <c r="K24" i="6"/>
  <c r="L24" i="6"/>
  <c r="M24" i="6"/>
  <c r="K457" i="6"/>
  <c r="N457" i="6"/>
  <c r="L457" i="6"/>
  <c r="M457" i="6"/>
  <c r="L461" i="6"/>
  <c r="K461" i="6"/>
  <c r="M461" i="6"/>
  <c r="N461" i="6"/>
  <c r="K12" i="6"/>
  <c r="L12" i="6"/>
  <c r="N12" i="6"/>
  <c r="M12" i="6"/>
  <c r="K490" i="6"/>
  <c r="L490" i="6"/>
  <c r="M268" i="6"/>
  <c r="L268" i="6"/>
  <c r="N354" i="6"/>
  <c r="M354" i="6"/>
  <c r="M411" i="6"/>
  <c r="N82" i="6"/>
  <c r="M418" i="6"/>
  <c r="K268" i="6"/>
  <c r="N114" i="6"/>
  <c r="M114" i="6"/>
  <c r="L114" i="6"/>
  <c r="K114" i="6"/>
  <c r="L435" i="6"/>
  <c r="N435" i="6"/>
  <c r="M435" i="6"/>
  <c r="K435" i="6"/>
  <c r="M604" i="6"/>
  <c r="L604" i="6"/>
  <c r="K257" i="6"/>
  <c r="N257" i="6"/>
  <c r="N494" i="6"/>
  <c r="L494" i="6"/>
  <c r="K494" i="6"/>
  <c r="M494" i="6"/>
  <c r="L237" i="6"/>
  <c r="N237" i="6"/>
  <c r="M237" i="6"/>
  <c r="K237" i="6"/>
  <c r="M253" i="6"/>
  <c r="L253" i="6"/>
  <c r="K253" i="6"/>
  <c r="N253" i="6"/>
  <c r="L121" i="6"/>
  <c r="N121" i="6"/>
  <c r="K121" i="6"/>
  <c r="M121" i="6"/>
  <c r="K125" i="6"/>
  <c r="N125" i="6"/>
  <c r="L125" i="6"/>
  <c r="M125" i="6"/>
  <c r="N497" i="6"/>
  <c r="L497" i="6"/>
  <c r="N133" i="6"/>
  <c r="K333" i="6"/>
  <c r="L411" i="6"/>
  <c r="L32" i="6"/>
  <c r="K489" i="6"/>
  <c r="L489" i="6"/>
  <c r="M489" i="6"/>
  <c r="K623" i="6"/>
  <c r="M623" i="6"/>
  <c r="K397" i="6"/>
  <c r="N397" i="6"/>
  <c r="L26" i="6"/>
  <c r="K26" i="6"/>
  <c r="M26" i="6"/>
  <c r="N26" i="6"/>
  <c r="M30" i="6"/>
  <c r="K30" i="6"/>
  <c r="L30" i="6"/>
  <c r="N30" i="6"/>
  <c r="L341" i="6"/>
  <c r="M341" i="6"/>
  <c r="K341" i="6"/>
  <c r="N341" i="6"/>
  <c r="L511" i="6"/>
  <c r="M511" i="6"/>
  <c r="K511" i="6"/>
  <c r="N511" i="6"/>
  <c r="K300" i="6"/>
  <c r="L300" i="6"/>
  <c r="N300" i="6"/>
  <c r="M300" i="6"/>
  <c r="E32" i="7"/>
  <c r="I32" i="7"/>
  <c r="K32" i="7" s="1"/>
  <c r="E12" i="7"/>
  <c r="I12" i="7" s="1"/>
  <c r="K12" i="7" s="1"/>
  <c r="E48" i="7"/>
  <c r="I48" i="7" s="1"/>
  <c r="K48" i="7" s="1"/>
  <c r="M492" i="6"/>
  <c r="N492" i="6"/>
  <c r="K492" i="6"/>
  <c r="L492" i="6"/>
  <c r="N304" i="6"/>
  <c r="M304" i="6"/>
  <c r="K304" i="6"/>
  <c r="L304" i="6"/>
  <c r="M513" i="6"/>
  <c r="N513" i="6"/>
  <c r="L513" i="6"/>
  <c r="K513" i="6"/>
  <c r="L19" i="6"/>
  <c r="K19" i="6"/>
  <c r="M19" i="6"/>
  <c r="N19" i="6"/>
  <c r="E22" i="7"/>
  <c r="I22" i="7" s="1"/>
  <c r="K22" i="7" s="1"/>
  <c r="E47" i="7"/>
  <c r="I47" i="7" s="1"/>
  <c r="K47" i="7" s="1"/>
  <c r="N233" i="6"/>
  <c r="K233" i="6"/>
  <c r="M233" i="6"/>
  <c r="L233" i="6"/>
  <c r="L576" i="6"/>
  <c r="N449" i="6"/>
  <c r="K556" i="6"/>
  <c r="M564" i="6"/>
  <c r="M97" i="6"/>
  <c r="M364" i="6"/>
  <c r="K368" i="6"/>
  <c r="M380" i="6"/>
  <c r="M94" i="6"/>
  <c r="M406" i="6"/>
  <c r="M414" i="6"/>
  <c r="N205" i="6"/>
  <c r="M576" i="6"/>
  <c r="N524" i="6"/>
  <c r="M627" i="6"/>
  <c r="I17" i="7"/>
  <c r="K17" i="7" s="1"/>
  <c r="E61" i="7"/>
  <c r="I61" i="7" s="1"/>
  <c r="K61" i="7" s="1"/>
  <c r="N229" i="6"/>
  <c r="K229" i="6"/>
  <c r="L229" i="6"/>
  <c r="M229" i="6"/>
  <c r="M78" i="6"/>
  <c r="K78" i="6"/>
  <c r="L78" i="6"/>
  <c r="N78" i="6"/>
  <c r="M373" i="6"/>
  <c r="K373" i="6"/>
  <c r="N373" i="6"/>
  <c r="L373" i="6"/>
  <c r="L514" i="6"/>
  <c r="M514" i="6"/>
  <c r="N514" i="6"/>
  <c r="K514" i="6"/>
  <c r="K576" i="6"/>
  <c r="L82" i="6"/>
  <c r="L444" i="6"/>
  <c r="L449" i="6"/>
  <c r="N556" i="6"/>
  <c r="L172" i="6"/>
  <c r="L161" i="6"/>
  <c r="L564" i="6"/>
  <c r="K448" i="6"/>
  <c r="M397" i="6"/>
  <c r="K97" i="6"/>
  <c r="K364" i="6"/>
  <c r="N368" i="6"/>
  <c r="L386" i="6"/>
  <c r="M90" i="6"/>
  <c r="K94" i="6"/>
  <c r="M356" i="6"/>
  <c r="K360" i="6"/>
  <c r="L357" i="6"/>
  <c r="N398" i="6"/>
  <c r="K424" i="6"/>
  <c r="N489" i="6"/>
  <c r="K406" i="6"/>
  <c r="K414" i="6"/>
  <c r="M197" i="6"/>
  <c r="M205" i="6"/>
  <c r="M133" i="6"/>
  <c r="N181" i="6"/>
  <c r="N198" i="6"/>
  <c r="N186" i="6"/>
  <c r="N338" i="6"/>
  <c r="K41" i="6"/>
  <c r="K407" i="6"/>
  <c r="M333" i="6"/>
  <c r="N337" i="6"/>
  <c r="K53" i="6"/>
  <c r="K411" i="6"/>
  <c r="M82" i="6"/>
  <c r="N569" i="6"/>
  <c r="L521" i="6"/>
  <c r="M524" i="6"/>
  <c r="N623" i="6"/>
  <c r="N520" i="6"/>
  <c r="L141" i="6"/>
  <c r="N627" i="6"/>
  <c r="M386" i="6"/>
  <c r="M415" i="6"/>
  <c r="N418" i="6"/>
  <c r="L186" i="6"/>
  <c r="K181" i="6"/>
  <c r="M36" i="6"/>
  <c r="M157" i="6"/>
  <c r="N157" i="6"/>
  <c r="K157" i="6"/>
  <c r="L157" i="6"/>
  <c r="K439" i="6"/>
  <c r="N439" i="6"/>
  <c r="L439" i="6"/>
  <c r="M439" i="6"/>
  <c r="N234" i="6"/>
  <c r="L234" i="6"/>
  <c r="K234" i="6"/>
  <c r="M234" i="6"/>
  <c r="N312" i="6"/>
  <c r="K312" i="6"/>
  <c r="M312" i="6"/>
  <c r="L312" i="6"/>
  <c r="N165" i="6"/>
  <c r="K165" i="6"/>
  <c r="M165" i="6"/>
  <c r="L165" i="6"/>
  <c r="K560" i="6"/>
  <c r="M560" i="6"/>
  <c r="L560" i="6"/>
  <c r="N560" i="6"/>
  <c r="L224" i="6"/>
  <c r="M224" i="6"/>
  <c r="N224" i="6"/>
  <c r="K224" i="6"/>
  <c r="L289" i="6"/>
  <c r="M289" i="6"/>
  <c r="N289" i="6"/>
  <c r="K289" i="6"/>
  <c r="K377" i="6"/>
  <c r="M377" i="6"/>
  <c r="L377" i="6"/>
  <c r="N377" i="6"/>
  <c r="K346" i="6"/>
  <c r="L346" i="6"/>
  <c r="K376" i="6"/>
  <c r="L376" i="6"/>
  <c r="N376" i="6"/>
  <c r="M376" i="6"/>
  <c r="K501" i="6"/>
  <c r="N501" i="6"/>
  <c r="L501" i="6"/>
  <c r="M501" i="6"/>
  <c r="L402" i="6"/>
  <c r="K402" i="6"/>
  <c r="N402" i="6"/>
  <c r="M402" i="6"/>
  <c r="E53" i="7"/>
  <c r="I53" i="7" s="1"/>
  <c r="K53" i="7" s="1"/>
  <c r="L143" i="6"/>
  <c r="M143" i="6"/>
  <c r="K143" i="6"/>
  <c r="N143" i="6"/>
  <c r="M401" i="6"/>
  <c r="N401" i="6"/>
  <c r="L401" i="6"/>
  <c r="K401" i="6"/>
  <c r="L140" i="6"/>
  <c r="M140" i="6"/>
  <c r="K140" i="6"/>
  <c r="N140" i="6"/>
  <c r="E52" i="7"/>
  <c r="I52" i="7" s="1"/>
  <c r="K52" i="7" s="1"/>
  <c r="E66" i="7"/>
  <c r="I66" i="7" s="1"/>
  <c r="K66" i="7" s="1"/>
  <c r="E7" i="7"/>
  <c r="I7" i="7" s="1"/>
  <c r="K7" i="7" s="1"/>
  <c r="E15" i="7"/>
  <c r="I15" i="7" s="1"/>
  <c r="K15" i="7" s="1"/>
  <c r="E36" i="7"/>
  <c r="I36" i="7" s="1"/>
  <c r="K36" i="7" s="1"/>
  <c r="E65" i="7"/>
  <c r="I65" i="7" s="1"/>
  <c r="K65" i="7" s="1"/>
  <c r="E54" i="7"/>
  <c r="I54" i="7" s="1"/>
  <c r="K54" i="7" s="1"/>
  <c r="E30" i="7"/>
  <c r="I30" i="7" s="1"/>
  <c r="K30" i="7" s="1"/>
  <c r="N18" i="6"/>
  <c r="M18" i="6"/>
  <c r="K18" i="6"/>
  <c r="L18" i="6"/>
  <c r="L345" i="6"/>
  <c r="K345" i="6"/>
  <c r="N345" i="6"/>
  <c r="M345" i="6"/>
  <c r="N11" i="6"/>
  <c r="K11" i="6"/>
  <c r="M11" i="6"/>
  <c r="L11" i="6"/>
  <c r="L14" i="6"/>
  <c r="M14" i="6"/>
  <c r="N14" i="6"/>
  <c r="K14" i="6"/>
  <c r="N301" i="6"/>
  <c r="M301" i="6"/>
  <c r="K301" i="6"/>
  <c r="L301" i="6"/>
  <c r="N87" i="6"/>
  <c r="K87" i="6"/>
  <c r="L87" i="6"/>
  <c r="N372" i="6"/>
  <c r="K372" i="6"/>
  <c r="L372" i="6"/>
  <c r="M372" i="6"/>
  <c r="L305" i="6"/>
  <c r="M305" i="6"/>
  <c r="N305" i="6"/>
  <c r="K305" i="6"/>
  <c r="M27" i="6"/>
  <c r="K27" i="6"/>
  <c r="L27" i="6"/>
  <c r="N27" i="6"/>
  <c r="L194" i="6"/>
  <c r="K194" i="6"/>
  <c r="K485" i="6"/>
  <c r="L485" i="6"/>
  <c r="M485" i="6"/>
  <c r="N485" i="6"/>
  <c r="K619" i="6"/>
  <c r="M619" i="6"/>
  <c r="N10" i="6"/>
  <c r="L10" i="6"/>
  <c r="M10" i="6"/>
  <c r="K10" i="6"/>
  <c r="M484" i="6"/>
  <c r="L484" i="6"/>
  <c r="K484" i="6"/>
  <c r="N484" i="6"/>
  <c r="N172" i="6"/>
  <c r="K161" i="6"/>
  <c r="L94" i="6"/>
  <c r="K524" i="6"/>
  <c r="L520" i="6"/>
  <c r="L627" i="6"/>
  <c r="K398" i="6"/>
  <c r="N197" i="6"/>
  <c r="M194" i="6"/>
  <c r="L53" i="6"/>
  <c r="N521" i="6"/>
  <c r="K418" i="6"/>
  <c r="K186" i="6"/>
  <c r="N36" i="6"/>
  <c r="N324" i="6"/>
  <c r="K324" i="6"/>
  <c r="K297" i="6"/>
  <c r="N297" i="6"/>
  <c r="M297" i="6"/>
  <c r="L297" i="6"/>
  <c r="N481" i="6"/>
  <c r="L481" i="6"/>
  <c r="K481" i="6"/>
  <c r="M481" i="6"/>
  <c r="L292" i="6"/>
  <c r="K292" i="6"/>
  <c r="M292" i="6"/>
  <c r="N292" i="6"/>
  <c r="L569" i="6"/>
  <c r="N444" i="6"/>
  <c r="K444" i="6"/>
  <c r="K449" i="6"/>
  <c r="M161" i="6"/>
  <c r="K520" i="6"/>
  <c r="N97" i="6"/>
  <c r="N364" i="6"/>
  <c r="L380" i="6"/>
  <c r="M398" i="6"/>
  <c r="K197" i="6"/>
  <c r="K205" i="6"/>
  <c r="N406" i="6"/>
  <c r="N414" i="6"/>
  <c r="N424" i="6"/>
  <c r="L144" i="6"/>
  <c r="K134" i="6"/>
  <c r="K405" i="6"/>
  <c r="M198" i="6"/>
  <c r="K261" i="6"/>
  <c r="L261" i="6"/>
  <c r="N285" i="6"/>
  <c r="K285" i="6"/>
  <c r="M285" i="6"/>
  <c r="L285" i="6"/>
  <c r="E49" i="7"/>
  <c r="I49" i="7" s="1"/>
  <c r="K49" i="7" s="1"/>
  <c r="M612" i="6"/>
  <c r="K612" i="6"/>
  <c r="L612" i="6"/>
  <c r="M507" i="6"/>
  <c r="K507" i="6"/>
  <c r="L507" i="6"/>
  <c r="N507" i="6"/>
  <c r="K293" i="6"/>
  <c r="M293" i="6"/>
  <c r="L293" i="6"/>
  <c r="N293" i="6"/>
  <c r="D60" i="7"/>
  <c r="L231" i="6"/>
  <c r="K231" i="6"/>
  <c r="N231" i="6"/>
  <c r="M231" i="6"/>
  <c r="M7" i="6"/>
  <c r="N7" i="6"/>
  <c r="L7" i="6"/>
  <c r="K7" i="6"/>
  <c r="K342" i="6"/>
  <c r="N342" i="6"/>
  <c r="L342" i="6"/>
  <c r="M342" i="6"/>
  <c r="L15" i="6"/>
  <c r="K15" i="6"/>
  <c r="M15" i="6"/>
  <c r="N15" i="6"/>
  <c r="K288" i="6"/>
  <c r="M288" i="6"/>
  <c r="N288" i="6"/>
  <c r="L288" i="6"/>
  <c r="K296" i="6"/>
  <c r="L296" i="6"/>
  <c r="M148" i="6"/>
  <c r="K148" i="6"/>
  <c r="L148" i="6"/>
  <c r="N148" i="6"/>
  <c r="N615" i="6"/>
  <c r="M615" i="6"/>
  <c r="K615" i="6"/>
  <c r="L615" i="6"/>
  <c r="L488" i="6"/>
  <c r="M488" i="6"/>
  <c r="N488" i="6"/>
  <c r="K488" i="6"/>
  <c r="L516" i="6"/>
  <c r="K516" i="6"/>
  <c r="M516" i="6"/>
  <c r="N516" i="6"/>
  <c r="E34" i="7"/>
  <c r="I34" i="7"/>
  <c r="K34" i="7" s="1"/>
  <c r="E13" i="7"/>
  <c r="I13" i="7" s="1"/>
  <c r="K13" i="7" s="1"/>
  <c r="E6" i="7"/>
  <c r="F6" i="7" s="1"/>
  <c r="E64" i="7"/>
  <c r="I64" i="7" s="1"/>
  <c r="K64" i="7" s="1"/>
  <c r="L506" i="6"/>
  <c r="M506" i="6"/>
  <c r="K506" i="6"/>
  <c r="N506" i="6"/>
  <c r="M509" i="6"/>
  <c r="N509" i="6"/>
  <c r="K509" i="6"/>
  <c r="L509" i="6"/>
  <c r="M284" i="6"/>
  <c r="L284" i="6"/>
  <c r="N284" i="6"/>
  <c r="K284" i="6"/>
  <c r="M214" i="6"/>
  <c r="K214" i="6"/>
  <c r="L214" i="6"/>
  <c r="N214" i="6"/>
  <c r="D40" i="7"/>
  <c r="N106" i="6"/>
  <c r="L106" i="6"/>
  <c r="M106" i="6"/>
  <c r="K106" i="6"/>
  <c r="D16" i="7"/>
  <c r="L209" i="6"/>
  <c r="D57" i="7"/>
  <c r="N209" i="6"/>
  <c r="M209" i="6"/>
  <c r="K209" i="6"/>
  <c r="D56" i="7"/>
  <c r="M208" i="6"/>
  <c r="L208" i="6"/>
  <c r="K208" i="6"/>
  <c r="N208" i="6"/>
  <c r="D59" i="7"/>
  <c r="L219" i="6"/>
  <c r="K219" i="6"/>
  <c r="N219" i="6"/>
  <c r="M219" i="6"/>
  <c r="K206" i="6"/>
  <c r="L206" i="6"/>
  <c r="M206" i="6"/>
  <c r="N206" i="6"/>
  <c r="D35" i="7"/>
  <c r="K109" i="6"/>
  <c r="M109" i="6"/>
  <c r="N109" i="6"/>
  <c r="L109" i="6"/>
  <c r="K107" i="6"/>
  <c r="N107" i="6"/>
  <c r="M107" i="6"/>
  <c r="L107" i="6"/>
  <c r="K281" i="6"/>
  <c r="L281" i="6"/>
  <c r="D62" i="7"/>
  <c r="M281" i="6"/>
  <c r="N281" i="6"/>
  <c r="M211" i="6"/>
  <c r="N211" i="6"/>
  <c r="K211" i="6"/>
  <c r="L211" i="6"/>
  <c r="D37" i="7"/>
  <c r="K282" i="6"/>
  <c r="N282" i="6"/>
  <c r="D63" i="7"/>
  <c r="L282" i="6"/>
  <c r="M282" i="6"/>
  <c r="N212" i="6"/>
  <c r="K212" i="6"/>
  <c r="M212" i="6"/>
  <c r="D38" i="7"/>
  <c r="L212" i="6"/>
  <c r="D58" i="7"/>
  <c r="N218" i="6"/>
  <c r="L218" i="6"/>
  <c r="K218" i="6"/>
  <c r="M218" i="6"/>
  <c r="L215" i="6"/>
  <c r="M215" i="6"/>
  <c r="K215" i="6"/>
  <c r="N215" i="6"/>
  <c r="D41" i="7"/>
  <c r="N221" i="6"/>
  <c r="K221" i="6"/>
  <c r="M221" i="6"/>
  <c r="D43" i="7"/>
  <c r="L221" i="6"/>
  <c r="N110" i="6"/>
  <c r="M110" i="6"/>
  <c r="K110" i="6"/>
  <c r="L110" i="6"/>
  <c r="E27" i="7"/>
  <c r="F27" i="7" s="1"/>
  <c r="N213" i="6"/>
  <c r="K213" i="6"/>
  <c r="L213" i="6"/>
  <c r="M213" i="6"/>
  <c r="D39" i="7"/>
  <c r="K220" i="6"/>
  <c r="L220" i="6"/>
  <c r="N220" i="6"/>
  <c r="M220" i="6"/>
  <c r="D42" i="7"/>
  <c r="E46" i="7"/>
  <c r="I46" i="7" s="1"/>
  <c r="K46" i="7" s="1"/>
  <c r="L217" i="6"/>
  <c r="N217" i="6"/>
  <c r="K217" i="6"/>
  <c r="D20" i="7"/>
  <c r="M217" i="6"/>
  <c r="K216" i="6"/>
  <c r="L216" i="6"/>
  <c r="M216" i="6"/>
  <c r="D44" i="7"/>
  <c r="N216" i="6"/>
  <c r="D28" i="7"/>
  <c r="L210" i="6"/>
  <c r="M210" i="6"/>
  <c r="K210" i="6"/>
  <c r="N210" i="6"/>
  <c r="M207" i="6"/>
  <c r="N207" i="6"/>
  <c r="K207" i="6"/>
  <c r="D55" i="7"/>
  <c r="L207" i="6"/>
  <c r="K113" i="6"/>
  <c r="L113" i="6"/>
  <c r="N113" i="6"/>
  <c r="M113" i="6"/>
  <c r="L111" i="6"/>
  <c r="M111" i="6"/>
  <c r="N111" i="6"/>
  <c r="K111" i="6"/>
  <c r="M177" i="6" l="1"/>
  <c r="K177" i="6"/>
  <c r="K23" i="6"/>
  <c r="N23" i="6"/>
  <c r="L23" i="6"/>
  <c r="M23" i="6"/>
  <c r="M180" i="6"/>
  <c r="L180" i="6"/>
  <c r="N180" i="6"/>
  <c r="K180" i="6"/>
  <c r="N242" i="6"/>
  <c r="K242" i="6"/>
  <c r="L242" i="6"/>
  <c r="M242" i="6"/>
  <c r="K587" i="6"/>
  <c r="M587" i="6"/>
  <c r="L587" i="6"/>
  <c r="N587" i="6"/>
  <c r="K339" i="6"/>
  <c r="N339" i="6"/>
  <c r="L339" i="6"/>
  <c r="M339" i="6"/>
  <c r="N171" i="6"/>
  <c r="L171" i="6"/>
  <c r="M171" i="6"/>
  <c r="K171" i="6"/>
  <c r="K164" i="6"/>
  <c r="L164" i="6"/>
  <c r="M164" i="6"/>
  <c r="N164" i="6"/>
  <c r="N249" i="6"/>
  <c r="M249" i="6"/>
  <c r="L249" i="6"/>
  <c r="K249" i="6"/>
  <c r="M178" i="6"/>
  <c r="K178" i="6"/>
  <c r="N178" i="6"/>
  <c r="L178" i="6"/>
  <c r="N174" i="6"/>
  <c r="L174" i="6"/>
  <c r="M174" i="6"/>
  <c r="K174" i="6"/>
  <c r="N602" i="6"/>
  <c r="K602" i="6"/>
  <c r="M602" i="6"/>
  <c r="L602" i="6"/>
  <c r="K600" i="6"/>
  <c r="L600" i="6"/>
  <c r="N591" i="6"/>
  <c r="M591" i="6"/>
  <c r="K591" i="6"/>
  <c r="L591" i="6"/>
  <c r="M248" i="6"/>
  <c r="L248" i="6"/>
  <c r="N248" i="6"/>
  <c r="K248" i="6"/>
  <c r="L594" i="6"/>
  <c r="K594" i="6"/>
  <c r="N594" i="6"/>
  <c r="M594" i="6"/>
  <c r="M244" i="6"/>
  <c r="L244" i="6"/>
  <c r="N244" i="6"/>
  <c r="K244" i="6"/>
  <c r="N599" i="6"/>
  <c r="M599" i="6"/>
  <c r="L599" i="6"/>
  <c r="K599" i="6"/>
  <c r="K590" i="6"/>
  <c r="L590" i="6"/>
  <c r="M590" i="6"/>
  <c r="N590" i="6"/>
  <c r="N254" i="6"/>
  <c r="M254" i="6"/>
  <c r="L254" i="6"/>
  <c r="K254" i="6"/>
  <c r="K252" i="6"/>
  <c r="L252" i="6"/>
  <c r="M252" i="6"/>
  <c r="N252" i="6"/>
  <c r="L156" i="6"/>
  <c r="M156" i="6"/>
  <c r="K156" i="6"/>
  <c r="N156" i="6"/>
  <c r="K175" i="6"/>
  <c r="M175" i="6"/>
  <c r="N175" i="6"/>
  <c r="L175" i="6"/>
  <c r="K334" i="6"/>
  <c r="M334" i="6"/>
  <c r="N334" i="6"/>
  <c r="L334" i="6"/>
  <c r="L168" i="6"/>
  <c r="M168" i="6"/>
  <c r="K168" i="6"/>
  <c r="N168" i="6"/>
  <c r="M163" i="6"/>
  <c r="N163" i="6"/>
  <c r="L163" i="6"/>
  <c r="K163" i="6"/>
  <c r="N246" i="6"/>
  <c r="L246" i="6"/>
  <c r="K246" i="6"/>
  <c r="M246" i="6"/>
  <c r="N159" i="6"/>
  <c r="M159" i="6"/>
  <c r="L159" i="6"/>
  <c r="K159" i="6"/>
  <c r="M166" i="6"/>
  <c r="L166" i="6"/>
  <c r="K166" i="6"/>
  <c r="N166" i="6"/>
  <c r="K245" i="6"/>
  <c r="L245" i="6"/>
  <c r="N245" i="6"/>
  <c r="M245" i="6"/>
  <c r="L240" i="6"/>
  <c r="N240" i="6"/>
  <c r="M240" i="6"/>
  <c r="K240" i="6"/>
  <c r="N167" i="6"/>
  <c r="L167" i="6"/>
  <c r="K167" i="6"/>
  <c r="M167" i="6"/>
  <c r="N586" i="6"/>
  <c r="L586" i="6"/>
  <c r="K586" i="6"/>
  <c r="M586" i="6"/>
  <c r="N241" i="6"/>
  <c r="M241" i="6"/>
  <c r="K241" i="6"/>
  <c r="L241" i="6"/>
  <c r="K236" i="6"/>
  <c r="M236" i="6"/>
  <c r="L236" i="6"/>
  <c r="N236" i="6"/>
  <c r="L179" i="6"/>
  <c r="M179" i="6"/>
  <c r="N179" i="6"/>
  <c r="K179" i="6"/>
  <c r="N170" i="6"/>
  <c r="L170" i="6"/>
  <c r="M170" i="6"/>
  <c r="K170" i="6"/>
  <c r="L162" i="6"/>
  <c r="M162" i="6"/>
  <c r="K162" i="6"/>
  <c r="N162" i="6"/>
  <c r="K584" i="6"/>
  <c r="L584" i="6"/>
  <c r="N584" i="6"/>
  <c r="M584" i="6"/>
  <c r="M582" i="6"/>
  <c r="K582" i="6"/>
  <c r="N582" i="6"/>
  <c r="L582" i="6"/>
  <c r="N598" i="6"/>
  <c r="M598" i="6"/>
  <c r="K598" i="6"/>
  <c r="L598" i="6"/>
  <c r="E8" i="7"/>
  <c r="I8" i="7" s="1"/>
  <c r="K8" i="7" s="1"/>
  <c r="E26" i="7"/>
  <c r="F26" i="7" s="1"/>
  <c r="I6" i="7"/>
  <c r="K6" i="7" s="1"/>
  <c r="E60" i="7"/>
  <c r="I60" i="7" s="1"/>
  <c r="K60" i="7" s="1"/>
  <c r="I27" i="7"/>
  <c r="K27" i="7" s="1"/>
  <c r="E41" i="7"/>
  <c r="I41" i="7" s="1"/>
  <c r="K41" i="7" s="1"/>
  <c r="F41" i="7"/>
  <c r="E37" i="7"/>
  <c r="F37" i="7" s="1"/>
  <c r="F56" i="7"/>
  <c r="E56" i="7"/>
  <c r="I56" i="7" s="1"/>
  <c r="K56" i="7" s="1"/>
  <c r="E57" i="7"/>
  <c r="F57" i="7" s="1"/>
  <c r="F46" i="7"/>
  <c r="E58" i="7"/>
  <c r="F58" i="7" s="1"/>
  <c r="E63" i="7"/>
  <c r="I63" i="7" s="1"/>
  <c r="K63" i="7" s="1"/>
  <c r="F63" i="7"/>
  <c r="E55" i="7"/>
  <c r="F55" i="7" s="1"/>
  <c r="E44" i="7"/>
  <c r="I44" i="7" s="1"/>
  <c r="K44" i="7" s="1"/>
  <c r="F44" i="7"/>
  <c r="E42" i="7"/>
  <c r="F42" i="7" s="1"/>
  <c r="F35" i="7"/>
  <c r="E35" i="7"/>
  <c r="I35" i="7" s="1"/>
  <c r="K35" i="7" s="1"/>
  <c r="E16" i="7"/>
  <c r="E5" i="8"/>
  <c r="D67" i="7"/>
  <c r="E6" i="8"/>
  <c r="E28" i="7"/>
  <c r="F28" i="7" s="1"/>
  <c r="I28" i="7"/>
  <c r="K28" i="7" s="1"/>
  <c r="E43" i="7"/>
  <c r="I43" i="7" s="1"/>
  <c r="K43" i="7" s="1"/>
  <c r="F43" i="7"/>
  <c r="E20" i="7"/>
  <c r="F20" i="7" s="1"/>
  <c r="E39" i="7"/>
  <c r="F39" i="7" s="1"/>
  <c r="E38" i="7"/>
  <c r="I38" i="7" s="1"/>
  <c r="K38" i="7" s="1"/>
  <c r="F38" i="7"/>
  <c r="E62" i="7"/>
  <c r="F62" i="7" s="1"/>
  <c r="E59" i="7"/>
  <c r="F59" i="7" s="1"/>
  <c r="E40" i="7"/>
  <c r="I40" i="7" s="1"/>
  <c r="K40" i="7" s="1"/>
  <c r="F40" i="7"/>
  <c r="I26" i="7" l="1"/>
  <c r="K26" i="7" s="1"/>
  <c r="I42" i="7"/>
  <c r="K42" i="7" s="1"/>
  <c r="I58" i="7"/>
  <c r="K58" i="7" s="1"/>
  <c r="I62" i="7"/>
  <c r="K62" i="7" s="1"/>
  <c r="E67" i="7"/>
  <c r="I39" i="7"/>
  <c r="K39" i="7" s="1"/>
  <c r="I57" i="7"/>
  <c r="K57" i="7" s="1"/>
  <c r="I55" i="7"/>
  <c r="K55" i="7" s="1"/>
  <c r="I37" i="7"/>
  <c r="K37" i="7" s="1"/>
  <c r="I59" i="7"/>
  <c r="K59" i="7" s="1"/>
  <c r="I20" i="7"/>
  <c r="K20" i="7" s="1"/>
  <c r="I16" i="7"/>
  <c r="F16" i="7"/>
  <c r="F67" i="7" s="1"/>
  <c r="K16" i="7" l="1"/>
  <c r="K67" i="7" s="1"/>
  <c r="I67" i="7"/>
</calcChain>
</file>

<file path=xl/sharedStrings.xml><?xml version="1.0" encoding="utf-8"?>
<sst xmlns="http://schemas.openxmlformats.org/spreadsheetml/2006/main" count="324" uniqueCount="208">
  <si>
    <t>Походный калькулятор меню и закупки</t>
  </si>
  <si>
    <t>Схема: продукты → рецепты → меню → формульная калькуляция по дням и трапезам → агрегированная раскладка для закупки.</t>
  </si>
  <si>
    <t>Шаг</t>
  </si>
  <si>
    <t>Действие</t>
  </si>
  <si>
    <t>Лист</t>
  </si>
  <si>
    <t>Кто использует</t>
  </si>
  <si>
    <t>1</t>
  </si>
  <si>
    <t>Задать M, N, резерв и цели.</t>
  </si>
  <si>
    <t>Ввод</t>
  </si>
  <si>
    <t>Организатор</t>
  </si>
  <si>
    <t>2</t>
  </si>
  <si>
    <t>Проверить продукты, упаковки, цены и единицы.</t>
  </si>
  <si>
    <t>Продукты</t>
  </si>
  <si>
    <t>Закупки</t>
  </si>
  <si>
    <t>3</t>
  </si>
  <si>
    <t>Заполнить рецепты на 1 порцию.</t>
  </si>
  <si>
    <t>Рецепты</t>
  </si>
  <si>
    <t>Повара</t>
  </si>
  <si>
    <t>4</t>
  </si>
  <si>
    <t>Выбрать блюда по дням и трапезам.</t>
  </si>
  <si>
    <t>Меню</t>
  </si>
  <si>
    <t>Команда</t>
  </si>
  <si>
    <t>5</t>
  </si>
  <si>
    <t>Работать по количествам продуктов на день и трапезу.</t>
  </si>
  <si>
    <t>Калькуляция</t>
  </si>
  <si>
    <t>Дежурные повара</t>
  </si>
  <si>
    <t>6</t>
  </si>
  <si>
    <t>Использовать агрегированный список для закупки.</t>
  </si>
  <si>
    <t>Раскладка</t>
  </si>
  <si>
    <t>Завхоз</t>
  </si>
  <si>
    <t>7</t>
  </si>
  <si>
    <t>Проверить калории, БЖУ, вес и бюджет.</t>
  </si>
  <si>
    <t>Сводка</t>
  </si>
  <si>
    <t>8</t>
  </si>
  <si>
    <t>Предложения вносятся руками; затем расчёт запускается заново.</t>
  </si>
  <si>
    <t>Ответственный</t>
  </si>
  <si>
    <t>Правила модели</t>
  </si>
  <si>
    <t>• Рецепт задаётся на 1 порцию; вода — отдельный ингредиент в мл.
• Порции по умолчанию равны числу участников, но могут быть изменены в меню.
• «Калькуляция» и «Раскладка» — формульные листы, их не редактируют.
• Резерв применяется к закупке, но не увеличивает плановые калории и БЖУ.</t>
  </si>
  <si>
    <t>1. Ввод параметров похода</t>
  </si>
  <si>
    <t>Параметр</t>
  </si>
  <si>
    <t>Значение</t>
  </si>
  <si>
    <t>Что меняется вручную</t>
  </si>
  <si>
    <t>Участников, чел.</t>
  </si>
  <si>
    <t>B4:B5 — масштаб похода.
B6 — резерв только для закупки.
B7:B10 — цели для проверки, а не автоматическая подгонка меню.</t>
  </si>
  <si>
    <t>Дней, суток</t>
  </si>
  <si>
    <t>Резерв закупки, %</t>
  </si>
  <si>
    <t>Целевая энергия, ккал/чел/день</t>
  </si>
  <si>
    <t>Целевой белок, г/чел/день</t>
  </si>
  <si>
    <t>Целевой жир, г/чел/день</t>
  </si>
  <si>
    <t>Целевые углеводы, г/чел/день</t>
  </si>
  <si>
    <t>Валюта</t>
  </si>
  <si>
    <t>Сезон</t>
  </si>
  <si>
    <t>Расчет ккал на лайтовый день без больших нагрузок</t>
  </si>
  <si>
    <t>Погода / температура</t>
  </si>
  <si>
    <t>Предпочтения / ограничения</t>
  </si>
  <si>
    <t>2. Справочник продуктов</t>
  </si>
  <si>
    <t>Жёлтые поля редактируются. Рецепты используют базовые единицы г, мл или шт.; нутриенты указаны на 100 г.</t>
  </si>
  <si>
    <t>ID</t>
  </si>
  <si>
    <t>Категория</t>
  </si>
  <si>
    <t>Продукт</t>
  </si>
  <si>
    <t>Ед. закупки</t>
  </si>
  <si>
    <t>Размер упаковки</t>
  </si>
  <si>
    <t>Базовая ед.</t>
  </si>
  <si>
    <t>ккал/100 г</t>
  </si>
  <si>
    <t>Белок/100 г</t>
  </si>
  <si>
    <t>Жир/100 г</t>
  </si>
  <si>
    <t>Угл./100 г</t>
  </si>
  <si>
    <t>Цена/уп., KZT</t>
  </si>
  <si>
    <t>В закупку?</t>
  </si>
  <si>
    <t>Примечание</t>
  </si>
  <si>
    <t>Крупы/макароны</t>
  </si>
  <si>
    <t>Овсяные хлопья</t>
  </si>
  <si>
    <t>пачка</t>
  </si>
  <si>
    <t>г</t>
  </si>
  <si>
    <t>Да</t>
  </si>
  <si>
    <t>Завтрак</t>
  </si>
  <si>
    <t>Гречка</t>
  </si>
  <si>
    <t>Сухие продукты</t>
  </si>
  <si>
    <t>Белок</t>
  </si>
  <si>
    <t>Колбаса сырокопчёная</t>
  </si>
  <si>
    <t>Сыр твёрдый</t>
  </si>
  <si>
    <t>Жиры</t>
  </si>
  <si>
    <t>Масло растительное</t>
  </si>
  <si>
    <t>Перекусы</t>
  </si>
  <si>
    <t>Выпечка</t>
  </si>
  <si>
    <t>Напитки</t>
  </si>
  <si>
    <t>Чай</t>
  </si>
  <si>
    <t>Бакалея</t>
  </si>
  <si>
    <t>Сахар</t>
  </si>
  <si>
    <t>Соль</t>
  </si>
  <si>
    <t>Вода</t>
  </si>
  <si>
    <t>3. Рецепты: ингредиенты на 1 порцию</t>
  </si>
  <si>
    <t>Каждый блок — отдельный рецепт. Вода указывается отдельной строкой. Жёлтые ячейки — ручной ввод.</t>
  </si>
  <si>
    <t>Техническая таблица для формул — не редактировать</t>
  </si>
  <si>
    <t>Рецепт_ID</t>
  </si>
  <si>
    <t>Рецепт</t>
  </si>
  <si>
    <t>R001</t>
  </si>
  <si>
    <t>Щи из свежей капусты</t>
  </si>
  <si>
    <t>Продукт_ID</t>
  </si>
  <si>
    <t>Кол-во/порцию</t>
  </si>
  <si>
    <t>Ед.</t>
  </si>
  <si>
    <t>Суп на обед, мясной. Готовить в первый день, овощи и зажарку можно подготовить дома накануне выезда.</t>
  </si>
  <si>
    <t>Кол-во/порция</t>
  </si>
  <si>
    <t>R002</t>
  </si>
  <si>
    <t xml:space="preserve">Закуска №1
</t>
  </si>
  <si>
    <t>К щам.</t>
  </si>
  <si>
    <t>R003</t>
  </si>
  <si>
    <t>Чай с сахаром</t>
  </si>
  <si>
    <t>Чай как чай.</t>
  </si>
  <si>
    <t>R004</t>
  </si>
  <si>
    <t>Десерт №1</t>
  </si>
  <si>
    <t>После обеда. А могли бы пить дижестив..</t>
  </si>
  <si>
    <t>R005</t>
  </si>
  <si>
    <t>Греча с говядиной и грибами</t>
  </si>
  <si>
    <t>На ужин. Нужно 2 кастрюли для приготовления</t>
  </si>
  <si>
    <t>R006</t>
  </si>
  <si>
    <t>Пшённая каша</t>
  </si>
  <si>
    <t>На завтак</t>
  </si>
  <si>
    <t>R007</t>
  </si>
  <si>
    <t>R008</t>
  </si>
  <si>
    <t>Солянка сборная</t>
  </si>
  <si>
    <t>R009</t>
  </si>
  <si>
    <t xml:space="preserve">Закуска №2 с салатом
</t>
  </si>
  <si>
    <t>R010</t>
  </si>
  <si>
    <t>Десерт №2</t>
  </si>
  <si>
    <t>4. Меню по дням и трапезам</t>
  </si>
  <si>
    <t>Заполните или измените меню руками. Порции по умолчанию равны числу участников; при необходимости замените значение.</t>
  </si>
  <si>
    <t>День</t>
  </si>
  <si>
    <t>Трапеза</t>
  </si>
  <si>
    <t>Блюдо</t>
  </si>
  <si>
    <t>Порций</t>
  </si>
  <si>
    <t>Комментарий / предпочтения</t>
  </si>
  <si>
    <t>5. Калькуляция подготовки по дням и трапезам</t>
  </si>
  <si>
    <t>Формульный рабочий лист: одна строка — один ингредиент одного блюда. Данные берутся из «Меню» и «Рецепты»; здесь ничего менять не нужно.</t>
  </si>
  <si>
    <t>Всего</t>
  </si>
  <si>
    <t>ккал</t>
  </si>
  <si>
    <t>Белок, г</t>
  </si>
  <si>
    <t>Жир, г</t>
  </si>
  <si>
    <t>Угл., г</t>
  </si>
  <si>
    <t>6. Раскладка для закупки</t>
  </si>
  <si>
    <t>Итог по названиям продуктов. Резерв и округление до упаковок применяются только здесь. Вода отображается, но по умолчанию исключена из закупочной стоимости.</t>
  </si>
  <si>
    <t>Нужно всего</t>
  </si>
  <si>
    <t>Резерв</t>
  </si>
  <si>
    <t>Купить</t>
  </si>
  <si>
    <t>Упаковок</t>
  </si>
  <si>
    <t>Цена/уп.</t>
  </si>
  <si>
    <t>Стоимость</t>
  </si>
  <si>
    <t>7. Сводка и контроль</t>
  </si>
  <si>
    <t>Показатель</t>
  </si>
  <si>
    <t>Проверка</t>
  </si>
  <si>
    <t>Результат</t>
  </si>
  <si>
    <t>Все блюда имеют рецепт</t>
  </si>
  <si>
    <t>Все продукты имеют цену</t>
  </si>
  <si>
    <t>Цель энергии, ккал/чел/день</t>
  </si>
  <si>
    <t>Все упаковки заполнены</t>
  </si>
  <si>
    <t>Факт энергии, ккал/чел/день</t>
  </si>
  <si>
    <t>Меню не пустое</t>
  </si>
  <si>
    <t>Цель белка, г/чел/день</t>
  </si>
  <si>
    <t>Резерв закупки</t>
  </si>
  <si>
    <t>Факт белка, г/чел/день</t>
  </si>
  <si>
    <t>Вес сухой закупки, кг</t>
  </si>
  <si>
    <t>Вода, л</t>
  </si>
  <si>
    <t>Общая стоимость, KZT</t>
  </si>
  <si>
    <t>Стоимость, KZT/чел/день</t>
  </si>
  <si>
    <t>Заполненных строк меню</t>
  </si>
  <si>
    <t>Статус калорий</t>
  </si>
  <si>
    <t>Купить, кг</t>
  </si>
  <si>
    <t>Стоимость, KZT</t>
  </si>
  <si>
    <t>Говядина тушеная</t>
  </si>
  <si>
    <t>Овощи</t>
  </si>
  <si>
    <t>Картофель</t>
  </si>
  <si>
    <t>Морковь</t>
  </si>
  <si>
    <t>Лук репчатый</t>
  </si>
  <si>
    <t>Капуста</t>
  </si>
  <si>
    <t>Перец горошком</t>
  </si>
  <si>
    <t>Лавровый лист</t>
  </si>
  <si>
    <t>Чеснок</t>
  </si>
  <si>
    <t>Укроп сухой</t>
  </si>
  <si>
    <t>Петрушка сухая</t>
  </si>
  <si>
    <t>Томатная паста</t>
  </si>
  <si>
    <t>Соусы</t>
  </si>
  <si>
    <t>Майонез</t>
  </si>
  <si>
    <t>Кубик магги</t>
  </si>
  <si>
    <t>Хлеб черный</t>
  </si>
  <si>
    <t>Сало</t>
  </si>
  <si>
    <t>Помидор</t>
  </si>
  <si>
    <t>Огурец</t>
  </si>
  <si>
    <t>Лук зеленый</t>
  </si>
  <si>
    <t>Халва в шоколаде</t>
  </si>
  <si>
    <t>Фрукты</t>
  </si>
  <si>
    <t>Яблоко</t>
  </si>
  <si>
    <t>Пшено</t>
  </si>
  <si>
    <t>Молочное</t>
  </si>
  <si>
    <t>Молоко ультрапастеризованное</t>
  </si>
  <si>
    <t>Хлеб белый</t>
  </si>
  <si>
    <t>Огурцы соленые</t>
  </si>
  <si>
    <t>Оливки/маслины</t>
  </si>
  <si>
    <t>Лимон</t>
  </si>
  <si>
    <t>Лаваш</t>
  </si>
  <si>
    <t>Ветчина/грудинка</t>
  </si>
  <si>
    <t>Шампиньоны</t>
  </si>
  <si>
    <t>Горчица</t>
  </si>
  <si>
    <t>Банан</t>
  </si>
  <si>
    <t>ИТОГО</t>
  </si>
  <si>
    <t>Что-то добавленное по ошибке</t>
  </si>
  <si>
    <t>Вода техническая</t>
  </si>
  <si>
    <t>Вода питьевая</t>
  </si>
  <si>
    <t xml:space="preserve">Расчёт БЖУ в пропорции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</si>
</sst>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4">
    <font>
      <sz val="11"/>
      <name val="Carlito"/>
    </font>
    <font>
      <b/>
      <sz val="16"/>
      <color rgb="FFFFFFFF"/>
      <name val="Carlito"/>
    </font>
    <font>
      <i/>
      <sz val="10"/>
      <color rgb="FF203040"/>
      <name val="Carlito"/>
    </font>
    <font>
      <b/>
      <sz val="10"/>
      <color rgb="FFFFFFFF"/>
      <name val="Carlito"/>
    </font>
    <font>
      <b/>
      <sz val="10"/>
      <color rgb="FF203040"/>
      <name val="Carlito"/>
    </font>
    <font>
      <sz val="10"/>
      <color rgb="FF203040"/>
      <name val="Carlito"/>
    </font>
    <font>
      <b/>
      <sz val="11"/>
      <color rgb="FF203040"/>
      <name val="Carlito"/>
    </font>
    <font>
      <sz val="11"/>
      <name val="Carlito"/>
    </font>
    <font>
      <b/>
      <sz val="10"/>
      <color theme="2"/>
      <name val="Carlito"/>
    </font>
    <font>
      <sz val="11"/>
      <color theme="2"/>
      <name val="Carlito"/>
    </font>
    <font>
      <b/>
      <sz val="10"/>
      <color rgb="FF1F3A5F"/>
      <name val="Carlito"/>
    </font>
    <font>
      <sz val="10"/>
      <name val="Carlito"/>
    </font>
    <font>
      <sz val="10"/>
      <color rgb="FF203040"/>
      <name val="Carlito"/>
      <charset val="204"/>
    </font>
    <font>
      <sz val="10"/>
      <name val="Carlito"/>
      <charset val="204"/>
    </font>
  </fonts>
  <fills count="10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AF8F2"/>
      </patternFill>
    </fill>
    <fill>
      <patternFill patternType="solid">
        <fgColor rgb="FF2C7A7B"/>
      </patternFill>
    </fill>
    <fill>
      <patternFill patternType="solid">
        <fgColor rgb="FFF2F4F7"/>
      </patternFill>
    </fill>
    <fill>
      <patternFill patternType="solid">
        <fgColor rgb="FFFFF3CD"/>
      </patternFill>
    </fill>
    <fill>
      <patternFill patternType="solid">
        <fgColor rgb="FFDCEAF7"/>
      </patternFill>
    </fill>
    <fill>
      <patternFill patternType="solid">
        <fgColor rgb="FFF8FAFC"/>
      </patternFill>
    </fill>
    <fill>
      <patternFill patternType="solid">
        <fgColor rgb="FFDFF3F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5" borderId="0" xfId="1" applyFont="1" applyFill="1" applyAlignment="1">
      <alignment vertical="center"/>
    </xf>
    <xf numFmtId="0" fontId="5" fillId="6" borderId="0" xfId="1" applyFont="1" applyFill="1" applyAlignment="1">
      <alignment vertical="center"/>
    </xf>
    <xf numFmtId="9" fontId="5" fillId="6" borderId="0" xfId="1" applyNumberFormat="1" applyFont="1" applyFill="1" applyAlignment="1">
      <alignment vertical="center"/>
    </xf>
    <xf numFmtId="164" fontId="5" fillId="6" borderId="0" xfId="1" applyNumberFormat="1" applyFont="1" applyFill="1" applyAlignment="1">
      <alignment vertical="center"/>
    </xf>
    <xf numFmtId="0" fontId="5" fillId="8" borderId="0" xfId="1" applyFont="1" applyFill="1" applyAlignment="1">
      <alignment vertical="center"/>
    </xf>
    <xf numFmtId="164" fontId="5" fillId="8" borderId="0" xfId="1" applyNumberFormat="1" applyFont="1" applyFill="1" applyAlignment="1">
      <alignment vertical="center"/>
    </xf>
    <xf numFmtId="0" fontId="6" fillId="5" borderId="0" xfId="1" applyFont="1" applyFill="1" applyAlignment="1">
      <alignment vertical="center"/>
    </xf>
    <xf numFmtId="0" fontId="5" fillId="9" borderId="0" xfId="1" applyFont="1" applyFill="1" applyAlignment="1">
      <alignment vertical="center"/>
    </xf>
    <xf numFmtId="164" fontId="5" fillId="0" borderId="0" xfId="1" applyNumberFormat="1" applyFont="1" applyAlignment="1">
      <alignment vertical="center"/>
    </xf>
    <xf numFmtId="1" fontId="5" fillId="0" borderId="0" xfId="1" applyNumberFormat="1" applyFont="1" applyAlignment="1">
      <alignment vertical="center"/>
    </xf>
    <xf numFmtId="0" fontId="4" fillId="9" borderId="0" xfId="1" applyFont="1" applyFill="1" applyAlignment="1">
      <alignment vertical="center"/>
    </xf>
    <xf numFmtId="164" fontId="4" fillId="9" borderId="0" xfId="1" applyNumberFormat="1" applyFont="1" applyFill="1" applyAlignment="1">
      <alignment vertical="center"/>
    </xf>
    <xf numFmtId="0" fontId="6" fillId="9" borderId="0" xfId="1" applyFont="1" applyFill="1" applyAlignment="1">
      <alignment vertical="center"/>
    </xf>
    <xf numFmtId="9" fontId="6" fillId="9" borderId="0" xfId="1" applyNumberFormat="1" applyFont="1" applyFill="1" applyAlignment="1">
      <alignment vertical="center"/>
    </xf>
    <xf numFmtId="4" fontId="0" fillId="0" borderId="0" xfId="1" applyNumberFormat="1" applyFont="1" applyAlignment="1">
      <alignment vertical="center"/>
    </xf>
    <xf numFmtId="0" fontId="8" fillId="2" borderId="0" xfId="1" applyFont="1" applyFill="1" applyAlignment="1">
      <alignment horizontal="center" vertical="center" wrapText="1"/>
    </xf>
    <xf numFmtId="0" fontId="9" fillId="0" borderId="0" xfId="0" applyFont="1"/>
    <xf numFmtId="0" fontId="9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0" fontId="11" fillId="0" borderId="0" xfId="0" applyFont="1"/>
    <xf numFmtId="0" fontId="12" fillId="9" borderId="0" xfId="1" applyFont="1" applyFill="1" applyAlignment="1">
      <alignment vertical="center"/>
    </xf>
    <xf numFmtId="164" fontId="12" fillId="9" borderId="0" xfId="1" applyNumberFormat="1" applyFont="1" applyFill="1" applyAlignment="1">
      <alignment vertical="center"/>
    </xf>
    <xf numFmtId="1" fontId="12" fillId="9" borderId="0" xfId="1" applyNumberFormat="1" applyFont="1" applyFill="1" applyAlignment="1">
      <alignment vertical="center"/>
    </xf>
    <xf numFmtId="0" fontId="13" fillId="0" borderId="0" xfId="0" applyFont="1"/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vertical="center" wrapText="1"/>
    </xf>
    <xf numFmtId="0" fontId="3" fillId="4" borderId="0" xfId="1" applyFont="1" applyFill="1" applyAlignment="1">
      <alignment horizontal="center" vertical="center" wrapText="1"/>
    </xf>
    <xf numFmtId="0" fontId="4" fillId="7" borderId="0" xfId="1" applyFont="1" applyFill="1" applyAlignment="1">
      <alignment vertical="center"/>
    </xf>
    <xf numFmtId="0" fontId="10" fillId="7" borderId="0" xfId="1" applyFont="1" applyFill="1" applyAlignment="1">
      <alignment vertical="center"/>
    </xf>
    <xf numFmtId="0" fontId="4" fillId="7" borderId="0" xfId="1" applyFont="1" applyFill="1" applyAlignment="1">
      <alignment vertical="center" wrapText="1"/>
    </xf>
  </cellXfs>
  <cellStyles count="2">
    <cellStyle name="Normal" xfId="1"/>
    <cellStyle name="Обычный" xfId="0" builtinId="0"/>
  </cellStyles>
  <dxfs count="4">
    <dxf>
      <font>
        <b/>
        <color rgb="FF9C0006"/>
      </font>
      <fill>
        <patternFill>
          <bgColor rgb="FFF4CCCC"/>
        </patternFill>
      </fill>
    </dxf>
    <dxf>
      <font>
        <b/>
        <color rgb="FF27632A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27632A"/>
      </font>
      <fill>
        <patternFill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kk-KZ"/>
              <a:t>Закупка по категориям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Купить, кг</c:v>
          </c:tx>
          <c:invertIfNegative val="1"/>
          <c:cat>
            <c:strRef>
              <c:f>Сводка!$A$20:$A$27</c:f>
              <c:strCache>
                <c:ptCount val="8"/>
                <c:pt idx="0">
                  <c:v>Крупы/макароны</c:v>
                </c:pt>
                <c:pt idx="1">
                  <c:v>Сухие продукты</c:v>
                </c:pt>
                <c:pt idx="2">
                  <c:v>Белок</c:v>
                </c:pt>
                <c:pt idx="3">
                  <c:v>Жиры</c:v>
                </c:pt>
                <c:pt idx="4">
                  <c:v>Перекусы</c:v>
                </c:pt>
                <c:pt idx="5">
                  <c:v>Выпечка</c:v>
                </c:pt>
                <c:pt idx="6">
                  <c:v>Напитки</c:v>
                </c:pt>
                <c:pt idx="7">
                  <c:v>Бакалея</c:v>
                </c:pt>
              </c:strCache>
            </c:strRef>
          </c:cat>
          <c:val>
            <c:numRef>
              <c:f>Сводка!$B$20:$B$27</c:f>
              <c:numCache>
                <c:formatCode>#,##0.00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FCD2-42C6-BC9E-31D841529ECD}"/>
            </c:ext>
          </c:extLst>
        </c:ser>
        <c:ser>
          <c:idx val="1"/>
          <c:order val="1"/>
          <c:tx>
            <c:v>Стоимость, KZT</c:v>
          </c:tx>
          <c:invertIfNegative val="1"/>
          <c:cat>
            <c:strRef>
              <c:f>Сводка!$A$20:$A$27</c:f>
              <c:strCache>
                <c:ptCount val="8"/>
                <c:pt idx="0">
                  <c:v>Крупы/макароны</c:v>
                </c:pt>
                <c:pt idx="1">
                  <c:v>Сухие продукты</c:v>
                </c:pt>
                <c:pt idx="2">
                  <c:v>Белок</c:v>
                </c:pt>
                <c:pt idx="3">
                  <c:v>Жиры</c:v>
                </c:pt>
                <c:pt idx="4">
                  <c:v>Перекусы</c:v>
                </c:pt>
                <c:pt idx="5">
                  <c:v>Выпечка</c:v>
                </c:pt>
                <c:pt idx="6">
                  <c:v>Напитки</c:v>
                </c:pt>
                <c:pt idx="7">
                  <c:v>Бакалея</c:v>
                </c:pt>
              </c:strCache>
            </c:strRef>
          </c:cat>
          <c:val>
            <c:numRef>
              <c:f>Сводка!$C$20:$C$27</c:f>
              <c:numCache>
                <c:formatCode>#,##0.00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FCD2-42C6-BC9E-31D841529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ProductsTableV2" displayName="ProductsTableV2" ref="A5:M31" totalsRowShown="0">
  <tableColumns count="13">
    <tableColumn id="1" name="ID"/>
    <tableColumn id="2" name="Категория"/>
    <tableColumn id="3" name="Продукт"/>
    <tableColumn id="4" name="Ед. закупки"/>
    <tableColumn id="5" name="Размер упаковки"/>
    <tableColumn id="6" name="Базовая ед."/>
    <tableColumn id="7" name="ккал/100 г"/>
    <tableColumn id="8" name="Белок/100 г"/>
    <tableColumn id="9" name="Жир/100 г"/>
    <tableColumn id="10" name="Угл./100 г"/>
    <tableColumn id="11" name="Цена/уп., KZT"/>
    <tableColumn id="12" name="В закупку?"/>
    <tableColumn id="13" name="Примечание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enuTable" displayName="MenuTable" ref="A5:F95" totalsRowShown="0">
  <tableColumns count="6">
    <tableColumn id="1" name="День"/>
    <tableColumn id="2" name="Трапеза"/>
    <tableColumn id="3" name="Блюдо"/>
    <tableColumn id="4" name="Рецепт_ID"/>
    <tableColumn id="5" name="Порций"/>
    <tableColumn id="6" name="Комментарий / предпочтения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alculationTable" displayName="CalculationTable" ref="A5:O725" totalsRowShown="0">
  <tableColumns count="15">
    <tableColumn id="1" name="День"/>
    <tableColumn id="2" name="Трапеза"/>
    <tableColumn id="3" name="Блюдо"/>
    <tableColumn id="4" name="Рецепт_ID"/>
    <tableColumn id="5" name="Продукт_ID"/>
    <tableColumn id="6" name="Продукт"/>
    <tableColumn id="7" name="Ед."/>
    <tableColumn id="8" name="Кол-во/порцию"/>
    <tableColumn id="9" name="Порций"/>
    <tableColumn id="10" name="Всего"/>
    <tableColumn id="11" name="ккал"/>
    <tableColumn id="12" name="Белок, г"/>
    <tableColumn id="13" name="Жир, г"/>
    <tableColumn id="14" name="Угл., г"/>
    <tableColumn id="15" name="Примечание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id="4" name="PackingTableV2" displayName="PackingTableV2" ref="A5:M31" totalsRowShown="0">
  <autoFilter ref="A5:M31"/>
  <tableColumns count="13">
    <tableColumn id="1" name="Продукт_ID"/>
    <tableColumn id="2" name="Продукт"/>
    <tableColumn id="3" name="Базовая ед."/>
    <tableColumn id="4" name="Нужно всего"/>
    <tableColumn id="5" name="Резерв"/>
    <tableColumn id="6" name="Купить"/>
    <tableColumn id="7" name="Ед. закупки"/>
    <tableColumn id="8" name="Размер упаковки"/>
    <tableColumn id="9" name="Упаковок"/>
    <tableColumn id="10" name="Цена/уп."/>
    <tableColumn id="11" name="Стоимость"/>
    <tableColumn id="12" name="В закупку?"/>
    <tableColumn id="13" name="Примеча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showGridLines="0" workbookViewId="0">
      <pane ySplit="7" topLeftCell="A8" activePane="bottomLeft" state="frozen"/>
      <selection pane="bottomLeft" sqref="A1:H1"/>
    </sheetView>
  </sheetViews>
  <sheetFormatPr defaultRowHeight="14.25"/>
  <cols>
    <col min="1" max="1" width="7.875" customWidth="1"/>
    <col min="2" max="2" width="60" customWidth="1"/>
    <col min="3" max="3" width="20" customWidth="1"/>
    <col min="4" max="4" width="24" customWidth="1"/>
  </cols>
  <sheetData>
    <row r="1" spans="1:8" ht="30" customHeight="1">
      <c r="A1" s="28" t="s">
        <v>0</v>
      </c>
      <c r="B1" s="28"/>
      <c r="C1" s="28"/>
      <c r="D1" s="28"/>
      <c r="E1" s="28"/>
      <c r="F1" s="28"/>
      <c r="G1" s="28"/>
      <c r="H1" s="28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29" t="s">
        <v>1</v>
      </c>
      <c r="B3" s="29"/>
      <c r="C3" s="29"/>
      <c r="D3" s="29"/>
      <c r="E3" s="29"/>
      <c r="F3" s="29"/>
      <c r="G3" s="29"/>
      <c r="H3" s="29"/>
    </row>
    <row r="4" spans="1:8">
      <c r="A4" s="29"/>
      <c r="B4" s="29"/>
      <c r="C4" s="29"/>
      <c r="D4" s="29"/>
      <c r="E4" s="29"/>
      <c r="F4" s="29"/>
      <c r="G4" s="29"/>
      <c r="H4" s="29"/>
    </row>
    <row r="5" spans="1:8">
      <c r="A5" s="29"/>
      <c r="B5" s="29"/>
      <c r="C5" s="29"/>
      <c r="D5" s="29"/>
      <c r="E5" s="29"/>
      <c r="F5" s="29"/>
      <c r="G5" s="29"/>
      <c r="H5" s="29"/>
    </row>
    <row r="6" spans="1:8">
      <c r="A6" s="2"/>
      <c r="B6" s="2"/>
      <c r="C6" s="2"/>
      <c r="D6" s="2"/>
      <c r="E6" s="2"/>
      <c r="F6" s="2"/>
      <c r="G6" s="2"/>
      <c r="H6" s="2"/>
    </row>
    <row r="7" spans="1:8" s="20" customFormat="1">
      <c r="A7" s="19" t="s">
        <v>2</v>
      </c>
      <c r="B7" s="19" t="s">
        <v>3</v>
      </c>
      <c r="C7" s="19" t="s">
        <v>4</v>
      </c>
      <c r="D7" s="19" t="s">
        <v>5</v>
      </c>
      <c r="E7" s="21"/>
      <c r="F7" s="21"/>
      <c r="G7" s="21"/>
      <c r="H7" s="21"/>
    </row>
    <row r="8" spans="1:8">
      <c r="A8" s="3" t="s">
        <v>6</v>
      </c>
      <c r="B8" s="3" t="s">
        <v>7</v>
      </c>
      <c r="C8" s="3" t="s">
        <v>8</v>
      </c>
      <c r="D8" s="3" t="s">
        <v>9</v>
      </c>
      <c r="E8" s="2"/>
      <c r="F8" s="2"/>
      <c r="G8" s="2"/>
      <c r="H8" s="2"/>
    </row>
    <row r="9" spans="1:8">
      <c r="A9" s="3" t="s">
        <v>10</v>
      </c>
      <c r="B9" s="3" t="s">
        <v>11</v>
      </c>
      <c r="C9" s="3" t="s">
        <v>12</v>
      </c>
      <c r="D9" s="3" t="s">
        <v>13</v>
      </c>
      <c r="E9" s="2"/>
      <c r="F9" s="2"/>
      <c r="G9" s="2"/>
      <c r="H9" s="2"/>
    </row>
    <row r="10" spans="1:8">
      <c r="A10" s="3" t="s">
        <v>14</v>
      </c>
      <c r="B10" s="3" t="s">
        <v>15</v>
      </c>
      <c r="C10" s="3" t="s">
        <v>16</v>
      </c>
      <c r="D10" s="3" t="s">
        <v>17</v>
      </c>
      <c r="E10" s="2"/>
      <c r="F10" s="2"/>
      <c r="G10" s="2"/>
      <c r="H10" s="2"/>
    </row>
    <row r="11" spans="1:8">
      <c r="A11" s="3" t="s">
        <v>18</v>
      </c>
      <c r="B11" s="3" t="s">
        <v>19</v>
      </c>
      <c r="C11" s="3" t="s">
        <v>20</v>
      </c>
      <c r="D11" s="3" t="s">
        <v>21</v>
      </c>
      <c r="E11" s="2"/>
      <c r="F11" s="2"/>
      <c r="G11" s="2"/>
      <c r="H11" s="2"/>
    </row>
    <row r="12" spans="1:8">
      <c r="A12" s="3" t="s">
        <v>22</v>
      </c>
      <c r="B12" s="3" t="s">
        <v>23</v>
      </c>
      <c r="C12" s="3" t="s">
        <v>24</v>
      </c>
      <c r="D12" s="3" t="s">
        <v>25</v>
      </c>
      <c r="E12" s="2"/>
      <c r="F12" s="2"/>
      <c r="G12" s="2"/>
      <c r="H12" s="2"/>
    </row>
    <row r="13" spans="1:8">
      <c r="A13" s="3" t="s">
        <v>26</v>
      </c>
      <c r="B13" s="3" t="s">
        <v>27</v>
      </c>
      <c r="C13" s="3" t="s">
        <v>28</v>
      </c>
      <c r="D13" s="3" t="s">
        <v>29</v>
      </c>
      <c r="E13" s="2"/>
      <c r="F13" s="2"/>
      <c r="G13" s="2"/>
      <c r="H13" s="2"/>
    </row>
    <row r="14" spans="1:8">
      <c r="A14" s="3" t="s">
        <v>30</v>
      </c>
      <c r="B14" s="3" t="s">
        <v>31</v>
      </c>
      <c r="C14" s="3" t="s">
        <v>32</v>
      </c>
      <c r="D14" s="3" t="s">
        <v>9</v>
      </c>
      <c r="E14" s="2"/>
      <c r="F14" s="2"/>
      <c r="G14" s="2"/>
      <c r="H14" s="2"/>
    </row>
    <row r="15" spans="1:8">
      <c r="A15" s="3" t="s">
        <v>33</v>
      </c>
      <c r="B15" s="3" t="s">
        <v>34</v>
      </c>
      <c r="C15" s="3" t="s">
        <v>20</v>
      </c>
      <c r="D15" s="3" t="s">
        <v>35</v>
      </c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30" t="s">
        <v>36</v>
      </c>
      <c r="B17" s="30"/>
      <c r="C17" s="30"/>
      <c r="D17" s="30"/>
      <c r="E17" s="30"/>
      <c r="F17" s="30"/>
      <c r="G17" s="30"/>
      <c r="H17" s="30"/>
    </row>
    <row r="18" spans="1:8">
      <c r="A18" s="29" t="s">
        <v>37</v>
      </c>
      <c r="B18" s="29"/>
      <c r="C18" s="29"/>
      <c r="D18" s="29"/>
      <c r="E18" s="29"/>
      <c r="F18" s="29"/>
      <c r="G18" s="29"/>
      <c r="H18" s="29"/>
    </row>
    <row r="19" spans="1:8">
      <c r="A19" s="29"/>
      <c r="B19" s="29"/>
      <c r="C19" s="29"/>
      <c r="D19" s="29"/>
      <c r="E19" s="29"/>
      <c r="F19" s="29"/>
      <c r="G19" s="29"/>
      <c r="H19" s="29"/>
    </row>
    <row r="20" spans="1:8">
      <c r="A20" s="29"/>
      <c r="B20" s="29"/>
      <c r="C20" s="29"/>
      <c r="D20" s="29"/>
      <c r="E20" s="29"/>
      <c r="F20" s="29"/>
      <c r="G20" s="29"/>
      <c r="H20" s="29"/>
    </row>
    <row r="21" spans="1:8">
      <c r="A21" s="29"/>
      <c r="B21" s="29"/>
      <c r="C21" s="29"/>
      <c r="D21" s="29"/>
      <c r="E21" s="29"/>
      <c r="F21" s="29"/>
      <c r="G21" s="29"/>
      <c r="H21" s="29"/>
    </row>
    <row r="22" spans="1:8">
      <c r="A22" s="29"/>
      <c r="B22" s="29"/>
      <c r="C22" s="29"/>
      <c r="D22" s="29"/>
      <c r="E22" s="29"/>
      <c r="F22" s="29"/>
      <c r="G22" s="29"/>
      <c r="H22" s="29"/>
    </row>
    <row r="23" spans="1:8">
      <c r="A23" s="29"/>
      <c r="B23" s="29"/>
      <c r="C23" s="29"/>
      <c r="D23" s="29"/>
      <c r="E23" s="29"/>
      <c r="F23" s="29"/>
      <c r="G23" s="29"/>
      <c r="H23" s="29"/>
    </row>
  </sheetData>
  <mergeCells count="4">
    <mergeCell ref="A1:H1"/>
    <mergeCell ref="A3:H5"/>
    <mergeCell ref="A17:H17"/>
    <mergeCell ref="A18:H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showGridLines="0" workbookViewId="0">
      <pane ySplit="3" topLeftCell="A4" activePane="bottomLeft" state="frozen"/>
      <selection pane="bottomLeft" activeCell="E13" sqref="E13"/>
    </sheetView>
  </sheetViews>
  <sheetFormatPr defaultRowHeight="14.25"/>
  <cols>
    <col min="1" max="1" width="37.875" customWidth="1"/>
    <col min="2" max="2" width="30" customWidth="1"/>
    <col min="5" max="8" width="18" customWidth="1"/>
  </cols>
  <sheetData>
    <row r="1" spans="1:8" ht="30" customHeight="1">
      <c r="A1" s="28" t="s">
        <v>38</v>
      </c>
      <c r="B1" s="28"/>
      <c r="C1" s="28"/>
      <c r="D1" s="28"/>
      <c r="E1" s="28"/>
      <c r="F1" s="28"/>
      <c r="G1" s="28"/>
      <c r="H1" s="28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19" t="s">
        <v>39</v>
      </c>
      <c r="B3" s="19" t="s">
        <v>40</v>
      </c>
      <c r="C3" s="2"/>
      <c r="D3" s="2"/>
      <c r="E3" s="30" t="s">
        <v>41</v>
      </c>
      <c r="F3" s="30"/>
      <c r="G3" s="30"/>
      <c r="H3" s="30"/>
    </row>
    <row r="4" spans="1:8">
      <c r="A4" s="4" t="s">
        <v>42</v>
      </c>
      <c r="B4" s="5"/>
      <c r="C4" s="2"/>
      <c r="D4" s="2"/>
      <c r="E4" s="29" t="s">
        <v>43</v>
      </c>
      <c r="F4" s="29"/>
      <c r="G4" s="29"/>
      <c r="H4" s="29"/>
    </row>
    <row r="5" spans="1:8">
      <c r="A5" s="4" t="s">
        <v>44</v>
      </c>
      <c r="B5" s="5"/>
      <c r="C5" s="2"/>
      <c r="D5" s="2"/>
      <c r="E5" s="29"/>
      <c r="F5" s="29"/>
      <c r="G5" s="29"/>
      <c r="H5" s="29"/>
    </row>
    <row r="6" spans="1:8">
      <c r="A6" s="4" t="s">
        <v>45</v>
      </c>
      <c r="B6" s="6"/>
      <c r="C6" s="2"/>
      <c r="D6" s="2"/>
      <c r="E6" s="29"/>
      <c r="F6" s="29"/>
      <c r="G6" s="29"/>
      <c r="H6" s="29"/>
    </row>
    <row r="7" spans="1:8">
      <c r="A7" s="4" t="s">
        <v>46</v>
      </c>
      <c r="B7" s="7"/>
      <c r="C7" s="2"/>
      <c r="D7" s="2"/>
      <c r="E7" s="29"/>
      <c r="F7" s="29"/>
      <c r="G7" s="29"/>
      <c r="H7" s="29"/>
    </row>
    <row r="8" spans="1:8">
      <c r="A8" s="4" t="s">
        <v>47</v>
      </c>
      <c r="B8" s="7"/>
      <c r="C8" s="2"/>
      <c r="D8" s="2"/>
      <c r="E8" s="29"/>
      <c r="F8" s="29"/>
      <c r="G8" s="29"/>
      <c r="H8" s="29"/>
    </row>
    <row r="9" spans="1:8">
      <c r="A9" s="4" t="s">
        <v>48</v>
      </c>
      <c r="B9" s="7"/>
      <c r="C9" s="2"/>
      <c r="D9" s="2"/>
      <c r="E9" s="29"/>
      <c r="F9" s="29"/>
      <c r="G9" s="29"/>
      <c r="H9" s="29"/>
    </row>
    <row r="10" spans="1:8">
      <c r="A10" s="4" t="s">
        <v>49</v>
      </c>
      <c r="B10" s="7"/>
      <c r="C10" s="2"/>
      <c r="D10" s="2"/>
      <c r="E10" s="29"/>
      <c r="F10" s="29"/>
      <c r="G10" s="29"/>
      <c r="H10" s="29"/>
    </row>
    <row r="11" spans="1:8">
      <c r="A11" s="4" t="s">
        <v>50</v>
      </c>
      <c r="B11" s="5"/>
      <c r="C11" s="2"/>
      <c r="D11" s="2"/>
      <c r="E11" s="2"/>
      <c r="F11" s="2"/>
      <c r="G11" s="2"/>
      <c r="H11" s="2"/>
    </row>
    <row r="12" spans="1:8">
      <c r="A12" s="4" t="s">
        <v>51</v>
      </c>
      <c r="B12" s="5"/>
      <c r="C12" s="2"/>
      <c r="D12" s="2"/>
      <c r="E12" s="2" t="s">
        <v>52</v>
      </c>
      <c r="F12" s="2"/>
      <c r="G12" s="2"/>
      <c r="H12" s="2"/>
    </row>
    <row r="13" spans="1:8">
      <c r="A13" s="4" t="s">
        <v>53</v>
      </c>
      <c r="B13" s="5"/>
      <c r="C13" s="2"/>
      <c r="D13" s="2"/>
      <c r="E13" s="2" t="s">
        <v>207</v>
      </c>
      <c r="F13" s="2"/>
      <c r="G13" s="2"/>
      <c r="H13" s="2"/>
    </row>
    <row r="14" spans="1:8">
      <c r="A14" s="4" t="s">
        <v>54</v>
      </c>
      <c r="B14" s="5"/>
      <c r="C14" s="2"/>
      <c r="D14" s="2"/>
      <c r="E14" s="2"/>
      <c r="F14" s="2"/>
      <c r="G14" s="2"/>
      <c r="H14" s="2"/>
    </row>
  </sheetData>
  <mergeCells count="3">
    <mergeCell ref="A1:H1"/>
    <mergeCell ref="E3:H3"/>
    <mergeCell ref="E4:H10"/>
  </mergeCells>
  <dataValidations count="4">
    <dataValidation type="whole" sqref="B4">
      <formula1>1</formula1>
      <formula2>100</formula2>
    </dataValidation>
    <dataValidation type="whole" sqref="B5">
      <formula1>1</formula1>
      <formula2>365</formula2>
    </dataValidation>
    <dataValidation type="decimal" sqref="B6">
      <formula1>0</formula1>
      <formula2>1</formula2>
    </dataValidation>
    <dataValidation type="list" sqref="B12">
      <formula1>"Лето,Весна,Осень,Зима"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Views>
    <sheetView showGridLines="0" zoomScale="70" zoomScaleNormal="70" workbookViewId="0">
      <pane ySplit="5" topLeftCell="A6" activePane="bottomLeft" state="frozen"/>
      <selection pane="bottomLeft" activeCell="F13" sqref="F13"/>
    </sheetView>
  </sheetViews>
  <sheetFormatPr defaultRowHeight="14.25"/>
  <cols>
    <col min="1" max="1" width="7" customWidth="1"/>
    <col min="2" max="2" width="18" customWidth="1"/>
    <col min="3" max="3" width="27" customWidth="1"/>
    <col min="4" max="5" width="14.875" customWidth="1"/>
    <col min="6" max="8" width="12" customWidth="1"/>
    <col min="9" max="10" width="11" customWidth="1"/>
    <col min="11" max="11" width="14.875" customWidth="1"/>
    <col min="12" max="12" width="12" customWidth="1"/>
    <col min="13" max="13" width="30" customWidth="1"/>
  </cols>
  <sheetData>
    <row r="1" spans="1:13" ht="30" customHeight="1">
      <c r="A1" s="28" t="s">
        <v>55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29" t="s">
        <v>56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</row>
    <row r="4" spans="1:1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s="20" customFormat="1" ht="25.5">
      <c r="A5" s="19" t="s">
        <v>57</v>
      </c>
      <c r="B5" s="19" t="s">
        <v>58</v>
      </c>
      <c r="C5" s="19" t="s">
        <v>59</v>
      </c>
      <c r="D5" s="19" t="s">
        <v>60</v>
      </c>
      <c r="E5" s="19" t="s">
        <v>61</v>
      </c>
      <c r="F5" s="19" t="s">
        <v>62</v>
      </c>
      <c r="G5" s="19" t="s">
        <v>63</v>
      </c>
      <c r="H5" s="19" t="s">
        <v>64</v>
      </c>
      <c r="I5" s="19" t="s">
        <v>65</v>
      </c>
      <c r="J5" s="19" t="s">
        <v>66</v>
      </c>
      <c r="K5" s="19" t="s">
        <v>67</v>
      </c>
      <c r="L5" s="19" t="s">
        <v>68</v>
      </c>
      <c r="M5" s="19" t="s">
        <v>69</v>
      </c>
    </row>
    <row r="6" spans="1:13">
      <c r="A6" s="5">
        <v>1</v>
      </c>
      <c r="B6" s="5" t="s">
        <v>70</v>
      </c>
      <c r="C6" s="5" t="s">
        <v>71</v>
      </c>
      <c r="D6" s="5" t="s">
        <v>72</v>
      </c>
      <c r="E6" s="7">
        <v>500</v>
      </c>
      <c r="F6" s="7" t="s">
        <v>73</v>
      </c>
      <c r="G6" s="7">
        <v>360</v>
      </c>
      <c r="H6" s="7">
        <v>12</v>
      </c>
      <c r="I6" s="7">
        <v>6</v>
      </c>
      <c r="J6" s="7">
        <v>62</v>
      </c>
      <c r="K6" s="7">
        <v>650</v>
      </c>
      <c r="L6" s="5" t="s">
        <v>74</v>
      </c>
      <c r="M6" s="5" t="s">
        <v>75</v>
      </c>
    </row>
    <row r="7" spans="1:13">
      <c r="A7" s="5"/>
      <c r="B7" s="5"/>
      <c r="C7" s="5"/>
      <c r="D7" s="5"/>
      <c r="E7" s="7"/>
      <c r="F7" s="7"/>
      <c r="G7" s="7"/>
      <c r="H7" s="7"/>
      <c r="I7" s="7"/>
      <c r="J7" s="7"/>
      <c r="K7" s="7"/>
      <c r="L7" s="5"/>
      <c r="M7" s="5"/>
    </row>
    <row r="8" spans="1:13">
      <c r="A8" s="5"/>
      <c r="B8" s="5"/>
      <c r="C8" s="5"/>
      <c r="D8" s="5"/>
      <c r="E8" s="7"/>
      <c r="F8" s="7"/>
      <c r="G8" s="7"/>
      <c r="H8" s="7"/>
      <c r="I8" s="7"/>
      <c r="J8" s="7"/>
      <c r="K8" s="7"/>
      <c r="L8" s="5"/>
      <c r="M8" s="5"/>
    </row>
    <row r="9" spans="1:13">
      <c r="A9" s="5"/>
      <c r="B9" s="5"/>
      <c r="C9" s="5"/>
      <c r="D9" s="5"/>
      <c r="E9" s="7"/>
      <c r="F9" s="7"/>
      <c r="G9" s="7"/>
      <c r="H9" s="7"/>
      <c r="I9" s="7"/>
      <c r="J9" s="7"/>
      <c r="K9" s="7"/>
      <c r="L9" s="5"/>
      <c r="M9" s="5"/>
    </row>
    <row r="10" spans="1:13">
      <c r="A10" s="5"/>
      <c r="B10" s="5"/>
      <c r="C10" s="5"/>
      <c r="D10" s="5"/>
      <c r="E10" s="7"/>
      <c r="F10" s="7"/>
      <c r="G10" s="7"/>
      <c r="H10" s="7"/>
      <c r="I10" s="7"/>
      <c r="J10" s="7"/>
      <c r="K10" s="7"/>
      <c r="L10" s="5"/>
      <c r="M10" s="5"/>
    </row>
    <row r="11" spans="1:13">
      <c r="A11" s="5"/>
      <c r="B11" s="5"/>
      <c r="C11" s="5"/>
      <c r="D11" s="5"/>
      <c r="E11" s="7"/>
      <c r="F11" s="7"/>
      <c r="G11" s="7"/>
      <c r="H11" s="7"/>
      <c r="I11" s="7"/>
      <c r="J11" s="7"/>
      <c r="K11" s="7"/>
      <c r="L11" s="5"/>
      <c r="M11" s="5"/>
    </row>
    <row r="12" spans="1:13">
      <c r="A12" s="5"/>
      <c r="B12" s="5"/>
      <c r="C12" s="5"/>
      <c r="D12" s="5"/>
      <c r="E12" s="7"/>
      <c r="F12" s="7"/>
      <c r="G12" s="7"/>
      <c r="H12" s="7"/>
      <c r="I12" s="7"/>
      <c r="J12" s="7"/>
      <c r="K12" s="7"/>
      <c r="L12" s="5"/>
      <c r="M12" s="5"/>
    </row>
    <row r="13" spans="1:13">
      <c r="A13" s="5"/>
      <c r="B13" s="5"/>
      <c r="C13" s="5"/>
      <c r="D13" s="5"/>
      <c r="E13" s="7"/>
      <c r="F13" s="7"/>
      <c r="G13" s="7"/>
      <c r="H13" s="7"/>
      <c r="I13" s="7"/>
      <c r="J13" s="7"/>
      <c r="K13" s="7"/>
      <c r="L13" s="5"/>
      <c r="M13" s="5"/>
    </row>
    <row r="14" spans="1:13">
      <c r="A14" s="5"/>
      <c r="B14" s="5"/>
      <c r="C14" s="5"/>
      <c r="D14" s="5"/>
      <c r="E14" s="7"/>
      <c r="F14" s="7"/>
      <c r="G14" s="7"/>
      <c r="H14" s="7"/>
      <c r="I14" s="7"/>
      <c r="J14" s="7"/>
      <c r="K14" s="7"/>
      <c r="L14" s="5"/>
      <c r="M14" s="5"/>
    </row>
    <row r="15" spans="1:13">
      <c r="A15" s="5"/>
      <c r="B15" s="5"/>
      <c r="C15" s="5"/>
      <c r="D15" s="5"/>
      <c r="E15" s="7"/>
      <c r="F15" s="7"/>
      <c r="G15" s="7"/>
      <c r="H15" s="7"/>
      <c r="I15" s="7"/>
      <c r="J15" s="7"/>
      <c r="K15" s="7"/>
      <c r="L15" s="5"/>
      <c r="M15" s="5"/>
    </row>
    <row r="16" spans="1:13">
      <c r="A16" s="5"/>
      <c r="B16" s="5"/>
      <c r="C16" s="5"/>
      <c r="D16" s="5"/>
      <c r="E16" s="7"/>
      <c r="F16" s="7"/>
      <c r="G16" s="7"/>
      <c r="H16" s="7"/>
      <c r="I16" s="7"/>
      <c r="J16" s="7"/>
      <c r="K16" s="7"/>
      <c r="L16" s="5"/>
      <c r="M16" s="5"/>
    </row>
    <row r="17" spans="1:13">
      <c r="A17" s="5"/>
      <c r="B17" s="5"/>
      <c r="C17" s="5"/>
      <c r="D17" s="5"/>
      <c r="E17" s="7"/>
      <c r="F17" s="7"/>
      <c r="G17" s="7"/>
      <c r="H17" s="7"/>
      <c r="I17" s="7"/>
      <c r="J17" s="7"/>
      <c r="K17" s="7"/>
      <c r="L17" s="5"/>
      <c r="M17" s="5"/>
    </row>
    <row r="18" spans="1:13">
      <c r="A18" s="5"/>
      <c r="B18" s="5"/>
      <c r="C18" s="5"/>
      <c r="D18" s="5"/>
      <c r="E18" s="7"/>
      <c r="F18" s="7"/>
      <c r="G18" s="7"/>
      <c r="H18" s="7"/>
      <c r="I18" s="7"/>
      <c r="J18" s="7"/>
      <c r="K18" s="7"/>
      <c r="L18" s="5"/>
      <c r="M18" s="5"/>
    </row>
    <row r="19" spans="1:13">
      <c r="A19" s="5"/>
      <c r="B19" s="5"/>
      <c r="C19" s="5"/>
      <c r="D19" s="5"/>
      <c r="E19" s="7"/>
      <c r="F19" s="7"/>
      <c r="G19" s="7"/>
      <c r="H19" s="7"/>
      <c r="I19" s="7"/>
      <c r="J19" s="7"/>
      <c r="K19" s="7"/>
      <c r="L19" s="5"/>
      <c r="M19" s="5"/>
    </row>
    <row r="20" spans="1:13">
      <c r="A20" s="5"/>
      <c r="B20" s="5"/>
      <c r="C20" s="5"/>
      <c r="D20" s="5"/>
      <c r="E20" s="7"/>
      <c r="F20" s="7"/>
      <c r="G20" s="7"/>
      <c r="H20" s="7"/>
      <c r="I20" s="7"/>
      <c r="J20" s="7"/>
      <c r="K20" s="7"/>
      <c r="L20" s="5"/>
      <c r="M20" s="5"/>
    </row>
    <row r="21" spans="1:13">
      <c r="A21" s="5"/>
      <c r="B21" s="5"/>
      <c r="C21" s="5"/>
      <c r="D21" s="5"/>
      <c r="E21" s="7"/>
      <c r="F21" s="7"/>
      <c r="G21" s="7"/>
      <c r="H21" s="7"/>
      <c r="I21" s="7"/>
      <c r="J21" s="7"/>
      <c r="K21" s="7"/>
      <c r="L21" s="5"/>
      <c r="M21" s="5"/>
    </row>
    <row r="22" spans="1:13">
      <c r="A22" s="5"/>
      <c r="B22" s="5"/>
      <c r="C22" s="5"/>
      <c r="D22" s="5"/>
      <c r="E22" s="7"/>
      <c r="F22" s="7"/>
      <c r="G22" s="7"/>
      <c r="H22" s="7"/>
      <c r="I22" s="7"/>
      <c r="J22" s="7"/>
      <c r="K22" s="7"/>
      <c r="L22" s="5"/>
      <c r="M22" s="5"/>
    </row>
    <row r="23" spans="1:13">
      <c r="A23" s="5"/>
      <c r="B23" s="5"/>
      <c r="C23" s="5"/>
      <c r="D23" s="5"/>
      <c r="E23" s="7"/>
      <c r="F23" s="7"/>
      <c r="G23" s="7"/>
      <c r="H23" s="7"/>
      <c r="I23" s="7"/>
      <c r="J23" s="7"/>
      <c r="K23" s="7"/>
      <c r="L23" s="5"/>
      <c r="M23" s="5"/>
    </row>
    <row r="24" spans="1:13">
      <c r="A24" s="5"/>
      <c r="B24" s="5"/>
      <c r="C24" s="5"/>
      <c r="D24" s="5"/>
      <c r="E24" s="7"/>
      <c r="F24" s="7"/>
      <c r="G24" s="7"/>
      <c r="H24" s="7"/>
      <c r="I24" s="7"/>
      <c r="J24" s="7"/>
      <c r="K24" s="7"/>
      <c r="L24" s="5"/>
      <c r="M24" s="5"/>
    </row>
    <row r="25" spans="1:13">
      <c r="A25" s="5"/>
      <c r="B25" s="5"/>
      <c r="C25" s="5"/>
      <c r="D25" s="5"/>
      <c r="E25" s="7"/>
      <c r="F25" s="7"/>
      <c r="G25" s="7"/>
      <c r="H25" s="7"/>
      <c r="I25" s="7"/>
      <c r="J25" s="7"/>
      <c r="K25" s="7"/>
      <c r="L25" s="5"/>
      <c r="M25" s="5"/>
    </row>
    <row r="26" spans="1:13">
      <c r="A26" s="5"/>
      <c r="B26" s="5"/>
      <c r="C26" s="5"/>
      <c r="D26" s="5"/>
      <c r="E26" s="7"/>
      <c r="F26" s="7"/>
      <c r="G26" s="7"/>
      <c r="H26" s="7"/>
      <c r="I26" s="7"/>
      <c r="J26" s="7"/>
      <c r="K26" s="7"/>
      <c r="L26" s="5"/>
      <c r="M26" s="5"/>
    </row>
    <row r="27" spans="1:13">
      <c r="A27" s="5"/>
      <c r="B27" s="5"/>
      <c r="C27" s="5"/>
      <c r="D27" s="5"/>
      <c r="E27" s="7"/>
      <c r="F27" s="7"/>
      <c r="G27" s="7"/>
      <c r="H27" s="7"/>
      <c r="I27" s="7"/>
      <c r="J27" s="7"/>
      <c r="K27" s="7"/>
      <c r="L27" s="5"/>
      <c r="M27" s="5"/>
    </row>
    <row r="28" spans="1:13">
      <c r="A28" s="5"/>
      <c r="B28" s="5"/>
      <c r="C28" s="5"/>
      <c r="D28" s="5"/>
      <c r="E28" s="7"/>
      <c r="F28" s="7"/>
      <c r="G28" s="7"/>
      <c r="H28" s="7"/>
      <c r="I28" s="7"/>
      <c r="J28" s="7"/>
      <c r="K28" s="7"/>
      <c r="L28" s="5"/>
      <c r="M28" s="5"/>
    </row>
    <row r="29" spans="1:13">
      <c r="A29" s="5"/>
      <c r="B29" s="5"/>
      <c r="C29" s="5"/>
      <c r="D29" s="5"/>
      <c r="E29" s="7"/>
      <c r="F29" s="7"/>
      <c r="G29" s="7"/>
      <c r="H29" s="7"/>
      <c r="I29" s="7"/>
      <c r="J29" s="7"/>
      <c r="K29" s="7"/>
      <c r="L29" s="5"/>
      <c r="M29" s="5"/>
    </row>
    <row r="30" spans="1:13">
      <c r="A30" s="5"/>
      <c r="B30" s="5"/>
      <c r="C30" s="5"/>
      <c r="D30" s="5"/>
      <c r="E30" s="7"/>
      <c r="F30" s="7"/>
      <c r="G30" s="7"/>
      <c r="H30" s="7"/>
      <c r="I30" s="7"/>
      <c r="J30" s="7"/>
      <c r="K30" s="7"/>
      <c r="L30" s="5"/>
      <c r="M30" s="5"/>
    </row>
    <row r="31" spans="1:13">
      <c r="A31" s="5"/>
      <c r="B31" s="5"/>
      <c r="C31" s="5"/>
      <c r="D31" s="5"/>
      <c r="E31" s="7"/>
      <c r="F31" s="7"/>
      <c r="G31" s="7"/>
      <c r="H31" s="7"/>
      <c r="I31" s="7"/>
      <c r="J31" s="7"/>
      <c r="K31" s="7"/>
      <c r="L31" s="5"/>
      <c r="M31" s="5"/>
    </row>
    <row r="32" spans="1:13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</row>
    <row r="35" spans="1:13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</row>
    <row r="36" spans="1:13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</row>
    <row r="37" spans="1:13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</row>
    <row r="38" spans="1:13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</row>
    <row r="39" spans="1:13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</row>
    <row r="40" spans="1:13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</row>
    <row r="41" spans="1:13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</row>
    <row r="42" spans="1:13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</row>
    <row r="43" spans="1:1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</row>
    <row r="44" spans="1:13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</row>
    <row r="45" spans="1:13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</row>
    <row r="46" spans="1:13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</row>
    <row r="47" spans="1:13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</row>
    <row r="48" spans="1:13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</row>
    <row r="49" spans="1:13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</row>
    <row r="50" spans="1:13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</row>
    <row r="51" spans="1:13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</row>
    <row r="52" spans="1:13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</row>
    <row r="53" spans="1:1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</row>
    <row r="54" spans="1:13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</row>
    <row r="55" spans="1:13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</row>
    <row r="56" spans="1:13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</row>
    <row r="57" spans="1:13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</row>
    <row r="58" spans="1:13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</row>
    <row r="59" spans="1:13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</row>
    <row r="60" spans="1:13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</row>
    <row r="61" spans="1:13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</row>
    <row r="62" spans="1:13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</row>
    <row r="63" spans="1:1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</row>
    <row r="64" spans="1:13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</row>
    <row r="65" spans="1:13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</row>
    <row r="66" spans="1:13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</row>
  </sheetData>
  <mergeCells count="2">
    <mergeCell ref="A1:M1"/>
    <mergeCell ref="A3:M3"/>
  </mergeCells>
  <dataValidations count="1">
    <dataValidation type="list" sqref="L6:L31">
      <formula1>"Да,Нет"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2"/>
  <sheetViews>
    <sheetView showGridLines="0" zoomScale="55" zoomScaleNormal="55" workbookViewId="0">
      <pane ySplit="5" topLeftCell="A6" activePane="bottomLeft" state="frozen"/>
      <selection pane="bottomLeft" activeCell="B101" sqref="B101:D123"/>
    </sheetView>
  </sheetViews>
  <sheetFormatPr defaultRowHeight="14.25"/>
  <cols>
    <col min="1" max="1" width="25" customWidth="1"/>
    <col min="2" max="2" width="17" customWidth="1"/>
    <col min="3" max="3" width="10" customWidth="1"/>
    <col min="4" max="4" width="28" customWidth="1"/>
    <col min="5" max="7" width="4" customWidth="1"/>
    <col min="8" max="8" width="12" customWidth="1"/>
    <col min="9" max="9" width="23" customWidth="1"/>
    <col min="10" max="10" width="12" customWidth="1"/>
    <col min="11" max="11" width="23" customWidth="1"/>
    <col min="12" max="12" width="14" customWidth="1"/>
    <col min="13" max="13" width="9" customWidth="1"/>
    <col min="14" max="14" width="24" customWidth="1"/>
    <col min="16" max="16" width="12" customWidth="1"/>
    <col min="17" max="17" width="23" customWidth="1"/>
  </cols>
  <sheetData>
    <row r="1" spans="1:17" ht="30" customHeight="1">
      <c r="A1" s="28" t="s">
        <v>91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"/>
      <c r="P1" s="2"/>
      <c r="Q1" s="2"/>
    </row>
    <row r="2" spans="1:1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29" t="s">
        <v>92</v>
      </c>
      <c r="B3" s="29"/>
      <c r="C3" s="29"/>
      <c r="D3" s="29"/>
      <c r="E3" s="29"/>
      <c r="F3" s="29"/>
      <c r="G3" s="29"/>
      <c r="H3" s="30" t="s">
        <v>93</v>
      </c>
      <c r="I3" s="30"/>
      <c r="J3" s="30"/>
      <c r="K3" s="30"/>
      <c r="L3" s="30"/>
      <c r="M3" s="30"/>
      <c r="N3" s="30"/>
      <c r="O3" s="2"/>
      <c r="P3" s="2"/>
      <c r="Q3" s="2"/>
    </row>
    <row r="4" spans="1:17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" t="s">
        <v>94</v>
      </c>
      <c r="Q4" s="1" t="s">
        <v>95</v>
      </c>
    </row>
    <row r="5" spans="1:17">
      <c r="A5" s="4" t="s">
        <v>94</v>
      </c>
      <c r="B5" s="5" t="s">
        <v>96</v>
      </c>
      <c r="C5" s="31" t="s">
        <v>97</v>
      </c>
      <c r="D5" s="31"/>
      <c r="E5" s="31"/>
      <c r="F5" s="31"/>
      <c r="G5" s="31"/>
      <c r="H5" s="19" t="s">
        <v>94</v>
      </c>
      <c r="I5" s="19" t="s">
        <v>95</v>
      </c>
      <c r="J5" s="19" t="s">
        <v>98</v>
      </c>
      <c r="K5" s="19" t="s">
        <v>59</v>
      </c>
      <c r="L5" s="19" t="s">
        <v>99</v>
      </c>
      <c r="M5" s="19" t="s">
        <v>100</v>
      </c>
      <c r="N5" s="19" t="s">
        <v>69</v>
      </c>
      <c r="O5" s="2"/>
      <c r="P5" s="2" t="str">
        <f>$B$5</f>
        <v>R001</v>
      </c>
      <c r="Q5" s="2"/>
    </row>
    <row r="6" spans="1:17">
      <c r="A6" s="29" t="s">
        <v>101</v>
      </c>
      <c r="B6" s="29"/>
      <c r="C6" s="29"/>
      <c r="D6" s="29"/>
      <c r="E6" s="29"/>
      <c r="F6" s="29"/>
      <c r="G6" s="29"/>
      <c r="H6" s="8" t="str">
        <f t="shared" ref="H6:H13" si="0">$B$5</f>
        <v>R001</v>
      </c>
      <c r="I6" s="8"/>
      <c r="J6" s="8"/>
      <c r="K6" s="8"/>
      <c r="L6" s="9"/>
      <c r="M6" s="8"/>
      <c r="N6" s="8"/>
      <c r="O6" s="2"/>
      <c r="P6" s="2" t="str">
        <f>$B$26</f>
        <v>R002</v>
      </c>
      <c r="Q6" s="2"/>
    </row>
    <row r="7" spans="1:17">
      <c r="A7" s="19" t="s">
        <v>59</v>
      </c>
      <c r="B7" s="19" t="s">
        <v>102</v>
      </c>
      <c r="C7" s="19" t="s">
        <v>100</v>
      </c>
      <c r="D7" s="19" t="s">
        <v>69</v>
      </c>
      <c r="E7" s="3"/>
      <c r="F7" s="3"/>
      <c r="G7" s="3"/>
      <c r="H7" s="8" t="str">
        <f t="shared" si="0"/>
        <v>R001</v>
      </c>
      <c r="I7" s="8"/>
      <c r="J7" s="8"/>
      <c r="K7" s="8"/>
      <c r="L7" s="9"/>
      <c r="M7" s="8"/>
      <c r="N7" s="8"/>
      <c r="O7" s="2"/>
      <c r="P7" s="2" t="str">
        <f>$B$38</f>
        <v>R003</v>
      </c>
      <c r="Q7" s="2"/>
    </row>
    <row r="8" spans="1:17">
      <c r="A8" s="5" t="s">
        <v>205</v>
      </c>
      <c r="B8" s="7"/>
      <c r="C8" s="5"/>
      <c r="D8" s="5"/>
      <c r="E8" s="3"/>
      <c r="F8" s="3"/>
      <c r="G8" s="3"/>
      <c r="H8" s="8" t="str">
        <f t="shared" si="0"/>
        <v>R001</v>
      </c>
      <c r="I8" s="8"/>
      <c r="J8" s="8"/>
      <c r="K8" s="8"/>
      <c r="L8" s="9"/>
      <c r="M8" s="8"/>
      <c r="N8" s="8"/>
      <c r="O8" s="2"/>
      <c r="P8" s="2" t="str">
        <f>$B$50</f>
        <v>R004</v>
      </c>
      <c r="Q8" s="2"/>
    </row>
    <row r="9" spans="1:17">
      <c r="A9" s="5" t="s">
        <v>206</v>
      </c>
      <c r="B9" s="7"/>
      <c r="C9" s="5"/>
      <c r="D9" s="5"/>
      <c r="E9" s="3"/>
      <c r="F9" s="3"/>
      <c r="G9" s="3"/>
      <c r="H9" s="8" t="str">
        <f t="shared" si="0"/>
        <v>R001</v>
      </c>
      <c r="I9" s="8"/>
      <c r="J9" s="8"/>
      <c r="K9" s="8"/>
      <c r="L9" s="9"/>
      <c r="M9" s="8"/>
      <c r="N9" s="8"/>
      <c r="O9" s="2"/>
      <c r="P9" s="2" t="str">
        <f>$B$62</f>
        <v>R005</v>
      </c>
      <c r="Q9" s="2"/>
    </row>
    <row r="10" spans="1:17">
      <c r="A10" s="5" t="s">
        <v>168</v>
      </c>
      <c r="B10" s="7"/>
      <c r="C10" s="5"/>
      <c r="D10" s="5"/>
      <c r="E10" s="3"/>
      <c r="F10" s="3"/>
      <c r="G10" s="3"/>
      <c r="H10" s="8" t="str">
        <f t="shared" si="0"/>
        <v>R001</v>
      </c>
      <c r="I10" s="8"/>
      <c r="J10" s="8"/>
      <c r="K10" s="8"/>
      <c r="L10" s="9"/>
      <c r="M10" s="8"/>
      <c r="N10" s="8"/>
      <c r="O10" s="2"/>
      <c r="P10" s="2" t="str">
        <f>$B$74</f>
        <v>R006</v>
      </c>
      <c r="Q10" s="2"/>
    </row>
    <row r="11" spans="1:17">
      <c r="A11" s="5" t="s">
        <v>170</v>
      </c>
      <c r="B11" s="7"/>
      <c r="C11" s="5"/>
      <c r="D11" s="5"/>
      <c r="E11" s="3"/>
      <c r="F11" s="3"/>
      <c r="G11" s="3"/>
      <c r="H11" s="8" t="str">
        <f t="shared" si="0"/>
        <v>R001</v>
      </c>
      <c r="I11" s="8"/>
      <c r="J11" s="8"/>
      <c r="K11" s="8"/>
      <c r="L11" s="9"/>
      <c r="M11" s="8"/>
      <c r="N11" s="8"/>
      <c r="O11" s="2"/>
      <c r="P11" s="2" t="str">
        <f>$B$86</f>
        <v>R007</v>
      </c>
      <c r="Q11" s="2"/>
    </row>
    <row r="12" spans="1:17">
      <c r="A12" s="5" t="s">
        <v>171</v>
      </c>
      <c r="B12" s="7"/>
      <c r="C12" s="5"/>
      <c r="D12" s="5"/>
      <c r="E12" s="3"/>
      <c r="F12" s="3"/>
      <c r="G12" s="3"/>
      <c r="H12" s="8" t="str">
        <f t="shared" si="0"/>
        <v>R001</v>
      </c>
      <c r="I12" s="8"/>
      <c r="J12" s="8"/>
      <c r="K12" s="8"/>
      <c r="L12" s="9"/>
      <c r="M12" s="8"/>
      <c r="N12" s="8"/>
      <c r="O12" s="2"/>
      <c r="P12" s="2" t="str">
        <f>$B$98</f>
        <v>R008</v>
      </c>
      <c r="Q12" s="2"/>
    </row>
    <row r="13" spans="1:17">
      <c r="A13" s="5" t="s">
        <v>172</v>
      </c>
      <c r="B13" s="7"/>
      <c r="C13" s="5"/>
      <c r="D13" s="5"/>
      <c r="E13" s="3"/>
      <c r="F13" s="3"/>
      <c r="G13" s="3"/>
      <c r="H13" s="8" t="str">
        <f t="shared" si="0"/>
        <v>R001</v>
      </c>
      <c r="I13" s="8"/>
      <c r="J13" s="8"/>
      <c r="K13" s="8"/>
      <c r="L13" s="9"/>
      <c r="M13" s="8"/>
      <c r="N13" s="8"/>
      <c r="O13" s="2"/>
      <c r="P13" s="2" t="str">
        <f>$B$125</f>
        <v>R009</v>
      </c>
      <c r="Q13" s="2"/>
    </row>
    <row r="14" spans="1:17">
      <c r="A14" s="5" t="s">
        <v>173</v>
      </c>
      <c r="B14" s="7"/>
      <c r="C14" s="5"/>
      <c r="D14" s="5"/>
      <c r="E14" s="3"/>
      <c r="F14" s="3"/>
      <c r="G14" s="3"/>
      <c r="H14" s="8" t="str">
        <f t="shared" ref="H14:H22" si="1">$B$5</f>
        <v>R001</v>
      </c>
      <c r="I14" s="8"/>
      <c r="J14" s="8"/>
      <c r="K14" s="8"/>
      <c r="L14" s="9"/>
      <c r="M14" s="8"/>
      <c r="N14" s="8"/>
      <c r="O14" s="2"/>
      <c r="P14" s="2" t="str">
        <f>$B$137</f>
        <v>R010</v>
      </c>
      <c r="Q14" s="2"/>
    </row>
    <row r="15" spans="1:17">
      <c r="A15" s="5" t="s">
        <v>89</v>
      </c>
      <c r="B15" s="7"/>
      <c r="C15" s="5"/>
      <c r="D15" s="5"/>
      <c r="E15" s="3"/>
      <c r="F15" s="3"/>
      <c r="G15" s="3"/>
      <c r="H15" s="8" t="str">
        <f t="shared" si="1"/>
        <v>R001</v>
      </c>
      <c r="I15" s="8"/>
      <c r="J15" s="8"/>
      <c r="K15" s="8"/>
      <c r="L15" s="9"/>
      <c r="M15" s="8"/>
      <c r="N15" s="8"/>
      <c r="O15" s="2"/>
      <c r="P15" s="2"/>
      <c r="Q15" s="2"/>
    </row>
    <row r="16" spans="1:17">
      <c r="A16" s="5" t="s">
        <v>174</v>
      </c>
      <c r="B16" s="7"/>
      <c r="C16" s="5"/>
      <c r="D16" s="5"/>
      <c r="E16" s="3"/>
      <c r="F16" s="3"/>
      <c r="G16" s="3"/>
      <c r="H16" s="8" t="str">
        <f t="shared" si="1"/>
        <v>R001</v>
      </c>
      <c r="I16" s="8"/>
      <c r="J16" s="8"/>
      <c r="K16" s="8"/>
      <c r="L16" s="9"/>
      <c r="M16" s="8"/>
      <c r="N16" s="8"/>
      <c r="O16" s="2"/>
      <c r="P16" s="2"/>
      <c r="Q16" s="2"/>
    </row>
    <row r="17" spans="1:17">
      <c r="A17" s="5" t="s">
        <v>175</v>
      </c>
      <c r="B17" s="7"/>
      <c r="C17" s="5"/>
      <c r="D17" s="5"/>
      <c r="E17" s="3"/>
      <c r="F17" s="3"/>
      <c r="G17" s="3"/>
      <c r="H17" s="8" t="str">
        <f t="shared" si="1"/>
        <v>R001</v>
      </c>
      <c r="I17" s="8"/>
      <c r="J17" s="8"/>
      <c r="K17" s="8"/>
      <c r="L17" s="9"/>
      <c r="M17" s="8"/>
      <c r="N17" s="8"/>
      <c r="O17" s="2"/>
      <c r="P17" s="2"/>
      <c r="Q17" s="2"/>
    </row>
    <row r="18" spans="1:17">
      <c r="A18" s="5" t="s">
        <v>176</v>
      </c>
      <c r="B18" s="7"/>
      <c r="C18" s="5"/>
      <c r="D18" s="5"/>
      <c r="E18" s="3"/>
      <c r="F18" s="3"/>
      <c r="G18" s="3"/>
      <c r="H18" s="8" t="str">
        <f t="shared" si="1"/>
        <v>R001</v>
      </c>
      <c r="I18" s="8"/>
      <c r="J18" s="8"/>
      <c r="K18" s="8"/>
      <c r="L18" s="9"/>
      <c r="M18" s="8"/>
      <c r="N18" s="8"/>
      <c r="O18" s="2"/>
      <c r="P18" s="2"/>
      <c r="Q18" s="2"/>
    </row>
    <row r="19" spans="1:17">
      <c r="A19" s="5" t="s">
        <v>177</v>
      </c>
      <c r="B19" s="7"/>
      <c r="C19" s="5"/>
      <c r="D19" s="5"/>
      <c r="E19" s="3"/>
      <c r="F19" s="3"/>
      <c r="G19" s="3"/>
      <c r="H19" s="8" t="str">
        <f t="shared" si="1"/>
        <v>R001</v>
      </c>
      <c r="I19" s="8"/>
      <c r="J19" s="8"/>
      <c r="K19" s="8"/>
      <c r="L19" s="9"/>
      <c r="M19" s="8"/>
      <c r="N19" s="8"/>
      <c r="O19" s="2"/>
      <c r="P19" s="2"/>
      <c r="Q19" s="2"/>
    </row>
    <row r="20" spans="1:17">
      <c r="A20" s="5" t="s">
        <v>178</v>
      </c>
      <c r="B20" s="7"/>
      <c r="C20" s="5"/>
      <c r="D20" s="5"/>
      <c r="E20" s="3"/>
      <c r="F20" s="3"/>
      <c r="G20" s="3"/>
      <c r="H20" s="8" t="str">
        <f t="shared" si="1"/>
        <v>R001</v>
      </c>
      <c r="I20" s="8"/>
      <c r="J20" s="8"/>
      <c r="K20" s="8"/>
      <c r="L20" s="9"/>
      <c r="M20" s="8"/>
      <c r="N20" s="8"/>
      <c r="O20" s="2"/>
      <c r="P20" s="2"/>
      <c r="Q20" s="2"/>
    </row>
    <row r="21" spans="1:17">
      <c r="A21" s="5" t="s">
        <v>179</v>
      </c>
      <c r="B21" s="7"/>
      <c r="C21" s="5"/>
      <c r="D21" s="5"/>
      <c r="E21" s="3"/>
      <c r="F21" s="3"/>
      <c r="G21" s="3"/>
      <c r="H21" s="8" t="str">
        <f t="shared" si="1"/>
        <v>R001</v>
      </c>
      <c r="I21" s="8"/>
      <c r="J21" s="8"/>
      <c r="K21" s="8"/>
      <c r="L21" s="9"/>
      <c r="M21" s="8"/>
      <c r="N21" s="8"/>
      <c r="O21" s="2"/>
      <c r="P21" s="2"/>
      <c r="Q21" s="2"/>
    </row>
    <row r="22" spans="1:17">
      <c r="A22" s="5" t="s">
        <v>181</v>
      </c>
      <c r="B22" s="7"/>
      <c r="C22" s="5"/>
      <c r="D22" s="5"/>
      <c r="E22" s="3"/>
      <c r="F22" s="3"/>
      <c r="G22" s="3"/>
      <c r="H22" s="8" t="str">
        <f t="shared" si="1"/>
        <v>R001</v>
      </c>
      <c r="I22" s="8"/>
      <c r="J22" s="8"/>
      <c r="K22" s="8"/>
      <c r="L22" s="9"/>
      <c r="M22" s="8"/>
      <c r="N22" s="8"/>
      <c r="O22" s="2"/>
      <c r="P22" s="2"/>
      <c r="Q22" s="2"/>
    </row>
    <row r="23" spans="1:17">
      <c r="A23" s="5" t="s">
        <v>182</v>
      </c>
      <c r="B23" s="7"/>
      <c r="C23" s="5"/>
      <c r="D23" s="5"/>
      <c r="E23" s="3"/>
      <c r="F23" s="3"/>
      <c r="G23" s="3"/>
      <c r="H23" s="8" t="str">
        <f t="shared" ref="H23:H28" si="2">$B$26</f>
        <v>R002</v>
      </c>
      <c r="I23" s="8"/>
      <c r="J23" s="8"/>
      <c r="K23" s="8"/>
      <c r="L23" s="9"/>
      <c r="M23" s="8"/>
      <c r="N23" s="8"/>
      <c r="O23" s="2"/>
      <c r="P23" s="2"/>
      <c r="Q23" s="2"/>
    </row>
    <row r="24" spans="1:17">
      <c r="A24" s="5" t="s">
        <v>82</v>
      </c>
      <c r="B24" s="7"/>
      <c r="C24" s="5"/>
      <c r="D24" s="5"/>
      <c r="E24" s="3"/>
      <c r="F24" s="3"/>
      <c r="G24" s="3"/>
      <c r="H24" s="8" t="str">
        <f t="shared" si="2"/>
        <v>R002</v>
      </c>
      <c r="I24" s="8"/>
      <c r="J24" s="8"/>
      <c r="K24" s="8"/>
      <c r="L24" s="9"/>
      <c r="M24" s="8"/>
      <c r="N24" s="8"/>
      <c r="O24" s="2"/>
      <c r="P24" s="2"/>
      <c r="Q24" s="2"/>
    </row>
    <row r="25" spans="1:17">
      <c r="A25" s="3"/>
      <c r="B25" s="3"/>
      <c r="C25" s="3"/>
      <c r="D25" s="3"/>
      <c r="E25" s="3"/>
      <c r="F25" s="3"/>
      <c r="G25" s="3"/>
      <c r="H25" s="8" t="str">
        <f t="shared" si="2"/>
        <v>R002</v>
      </c>
      <c r="I25" s="8"/>
      <c r="J25" s="8"/>
      <c r="K25" s="8"/>
      <c r="L25" s="9"/>
      <c r="M25" s="8"/>
      <c r="N25" s="8"/>
      <c r="O25" s="2"/>
      <c r="P25" s="2"/>
      <c r="Q25" s="2"/>
    </row>
    <row r="26" spans="1:17">
      <c r="A26" s="4" t="s">
        <v>94</v>
      </c>
      <c r="B26" s="5" t="s">
        <v>103</v>
      </c>
      <c r="C26" s="33" t="s">
        <v>104</v>
      </c>
      <c r="D26" s="31"/>
      <c r="E26" s="31"/>
      <c r="F26" s="31"/>
      <c r="G26" s="31"/>
      <c r="H26" s="8" t="str">
        <f t="shared" si="2"/>
        <v>R002</v>
      </c>
      <c r="I26" s="8"/>
      <c r="J26" s="8"/>
      <c r="K26" s="8"/>
      <c r="L26" s="9"/>
      <c r="M26" s="8"/>
      <c r="N26" s="8"/>
      <c r="O26" s="2"/>
      <c r="P26" s="2"/>
      <c r="Q26" s="2"/>
    </row>
    <row r="27" spans="1:17">
      <c r="A27" s="29" t="s">
        <v>105</v>
      </c>
      <c r="B27" s="29"/>
      <c r="C27" s="29"/>
      <c r="D27" s="29"/>
      <c r="E27" s="29"/>
      <c r="F27" s="29"/>
      <c r="G27" s="29"/>
      <c r="H27" s="8" t="str">
        <f t="shared" si="2"/>
        <v>R002</v>
      </c>
      <c r="I27" s="8"/>
      <c r="J27" s="8"/>
      <c r="K27" s="8"/>
      <c r="L27" s="9"/>
      <c r="M27" s="8"/>
      <c r="N27" s="8"/>
      <c r="O27" s="2"/>
      <c r="P27" s="2"/>
      <c r="Q27" s="2"/>
    </row>
    <row r="28" spans="1:17">
      <c r="A28" s="19" t="s">
        <v>59</v>
      </c>
      <c r="B28" s="19" t="s">
        <v>102</v>
      </c>
      <c r="C28" s="19" t="s">
        <v>100</v>
      </c>
      <c r="D28" s="19" t="s">
        <v>69</v>
      </c>
      <c r="E28" s="3"/>
      <c r="F28" s="3"/>
      <c r="G28" s="3"/>
      <c r="H28" s="8" t="str">
        <f t="shared" si="2"/>
        <v>R002</v>
      </c>
      <c r="I28" s="8"/>
      <c r="J28" s="8"/>
      <c r="K28" s="8"/>
      <c r="L28" s="9"/>
      <c r="M28" s="8"/>
      <c r="N28" s="8"/>
      <c r="O28" s="2"/>
      <c r="P28" s="2"/>
      <c r="Q28" s="2"/>
    </row>
    <row r="29" spans="1:17">
      <c r="A29" s="5" t="s">
        <v>183</v>
      </c>
      <c r="B29" s="7"/>
      <c r="C29" s="5"/>
      <c r="D29" s="5"/>
      <c r="E29" s="3"/>
      <c r="F29" s="3"/>
      <c r="G29" s="3"/>
      <c r="H29" s="8" t="str">
        <f>$B$38</f>
        <v>R003</v>
      </c>
      <c r="I29" s="8"/>
      <c r="J29" s="8"/>
      <c r="K29" s="8"/>
      <c r="L29" s="9"/>
      <c r="M29" s="8"/>
      <c r="N29" s="8"/>
      <c r="O29" s="2"/>
      <c r="P29" s="2"/>
      <c r="Q29" s="2"/>
    </row>
    <row r="30" spans="1:17">
      <c r="A30" s="5" t="s">
        <v>184</v>
      </c>
      <c r="B30" s="7"/>
      <c r="C30" s="5"/>
      <c r="D30" s="5"/>
      <c r="E30" s="3"/>
      <c r="F30" s="3"/>
      <c r="G30" s="3"/>
      <c r="H30" s="8" t="str">
        <f>$B$38</f>
        <v>R003</v>
      </c>
      <c r="I30" s="8"/>
      <c r="J30" s="8"/>
      <c r="K30" s="8"/>
      <c r="L30" s="9"/>
      <c r="M30" s="8"/>
      <c r="N30" s="8"/>
      <c r="O30" s="2"/>
      <c r="P30" s="2"/>
      <c r="Q30" s="2"/>
    </row>
    <row r="31" spans="1:17">
      <c r="A31" s="5" t="s">
        <v>80</v>
      </c>
      <c r="B31" s="7"/>
      <c r="C31" s="5"/>
      <c r="D31" s="5"/>
      <c r="E31" s="3"/>
      <c r="F31" s="3"/>
      <c r="G31" s="3"/>
      <c r="H31" s="8" t="str">
        <f t="shared" ref="H31:H38" si="3">$B$38</f>
        <v>R003</v>
      </c>
      <c r="I31" s="8"/>
      <c r="J31" s="8"/>
      <c r="K31" s="8"/>
      <c r="L31" s="9"/>
      <c r="M31" s="8"/>
      <c r="N31" s="8"/>
      <c r="O31" s="2"/>
      <c r="P31" s="2"/>
      <c r="Q31" s="2"/>
    </row>
    <row r="32" spans="1:17">
      <c r="A32" s="5" t="s">
        <v>185</v>
      </c>
      <c r="B32" s="7"/>
      <c r="C32" s="5"/>
      <c r="D32" s="5"/>
      <c r="E32" s="3"/>
      <c r="F32" s="3"/>
      <c r="G32" s="3"/>
      <c r="H32" s="8" t="str">
        <f t="shared" si="3"/>
        <v>R003</v>
      </c>
      <c r="I32" s="8"/>
      <c r="J32" s="8"/>
      <c r="K32" s="8"/>
      <c r="L32" s="9"/>
      <c r="M32" s="8"/>
      <c r="N32" s="8"/>
      <c r="O32" s="2"/>
      <c r="P32" s="2"/>
      <c r="Q32" s="2"/>
    </row>
    <row r="33" spans="1:17">
      <c r="A33" s="5" t="s">
        <v>186</v>
      </c>
      <c r="B33" s="7"/>
      <c r="C33" s="5"/>
      <c r="D33" s="5"/>
      <c r="E33" s="3"/>
      <c r="F33" s="3"/>
      <c r="G33" s="3"/>
      <c r="H33" s="8" t="str">
        <f t="shared" si="3"/>
        <v>R003</v>
      </c>
      <c r="I33" s="8"/>
      <c r="J33" s="8"/>
      <c r="K33" s="8"/>
      <c r="L33" s="9"/>
      <c r="M33" s="8"/>
      <c r="N33" s="8"/>
      <c r="O33" s="2"/>
      <c r="P33" s="2"/>
      <c r="Q33" s="2"/>
    </row>
    <row r="34" spans="1:17">
      <c r="A34" s="5" t="s">
        <v>187</v>
      </c>
      <c r="B34" s="7"/>
      <c r="C34" s="5"/>
      <c r="D34" s="5"/>
      <c r="E34" s="3"/>
      <c r="F34" s="3"/>
      <c r="G34" s="3"/>
      <c r="H34" s="8" t="str">
        <f t="shared" si="3"/>
        <v>R003</v>
      </c>
      <c r="I34" s="8"/>
      <c r="J34" s="8"/>
      <c r="K34" s="8"/>
      <c r="L34" s="9"/>
      <c r="M34" s="8"/>
      <c r="N34" s="8"/>
      <c r="O34" s="2"/>
      <c r="P34" s="2"/>
      <c r="Q34" s="2"/>
    </row>
    <row r="35" spans="1:17">
      <c r="A35" s="5"/>
      <c r="B35" s="7"/>
      <c r="C35" s="5"/>
      <c r="D35" s="5"/>
      <c r="E35" s="3"/>
      <c r="F35" s="3"/>
      <c r="G35" s="3"/>
      <c r="H35" s="8" t="str">
        <f t="shared" si="3"/>
        <v>R003</v>
      </c>
      <c r="I35" s="8"/>
      <c r="J35" s="8"/>
      <c r="K35" s="8"/>
      <c r="L35" s="9"/>
      <c r="M35" s="8"/>
      <c r="N35" s="8"/>
      <c r="O35" s="2"/>
      <c r="P35" s="2"/>
      <c r="Q35" s="2"/>
    </row>
    <row r="36" spans="1:17">
      <c r="A36" s="5"/>
      <c r="B36" s="7"/>
      <c r="C36" s="5"/>
      <c r="D36" s="5"/>
      <c r="E36" s="3"/>
      <c r="F36" s="3"/>
      <c r="G36" s="3"/>
      <c r="H36" s="8" t="str">
        <f t="shared" si="3"/>
        <v>R003</v>
      </c>
      <c r="I36" s="8"/>
      <c r="J36" s="8"/>
      <c r="K36" s="8"/>
      <c r="L36" s="9"/>
      <c r="M36" s="8"/>
      <c r="N36" s="8"/>
      <c r="O36" s="2"/>
      <c r="P36" s="2"/>
      <c r="Q36" s="2"/>
    </row>
    <row r="37" spans="1:17">
      <c r="A37" s="3"/>
      <c r="B37" s="3"/>
      <c r="C37" s="3"/>
      <c r="D37" s="3"/>
      <c r="E37" s="3"/>
      <c r="F37" s="3"/>
      <c r="G37" s="3"/>
      <c r="H37" s="8" t="str">
        <f t="shared" si="3"/>
        <v>R003</v>
      </c>
      <c r="I37" s="8"/>
      <c r="J37" s="8"/>
      <c r="K37" s="8"/>
      <c r="L37" s="9"/>
      <c r="M37" s="8"/>
      <c r="N37" s="8"/>
      <c r="O37" s="2"/>
      <c r="P37" s="2"/>
      <c r="Q37" s="2"/>
    </row>
    <row r="38" spans="1:17">
      <c r="A38" s="4" t="s">
        <v>94</v>
      </c>
      <c r="B38" s="5" t="s">
        <v>106</v>
      </c>
      <c r="C38" s="31" t="s">
        <v>107</v>
      </c>
      <c r="D38" s="31"/>
      <c r="E38" s="31"/>
      <c r="F38" s="31"/>
      <c r="G38" s="31"/>
      <c r="H38" s="8" t="str">
        <f t="shared" si="3"/>
        <v>R003</v>
      </c>
      <c r="I38" s="8"/>
      <c r="J38" s="8"/>
      <c r="K38" s="8"/>
      <c r="L38" s="9"/>
      <c r="M38" s="8"/>
      <c r="N38" s="8"/>
      <c r="O38" s="2"/>
      <c r="P38" s="2"/>
      <c r="Q38" s="2"/>
    </row>
    <row r="39" spans="1:17">
      <c r="A39" s="29" t="s">
        <v>108</v>
      </c>
      <c r="B39" s="29"/>
      <c r="C39" s="29"/>
      <c r="D39" s="29"/>
      <c r="E39" s="29"/>
      <c r="F39" s="29"/>
      <c r="G39" s="29"/>
      <c r="H39" s="8" t="str">
        <f t="shared" ref="H39:H46" si="4">$B$62</f>
        <v>R005</v>
      </c>
      <c r="I39" s="8"/>
      <c r="J39" s="8"/>
      <c r="K39" s="8"/>
      <c r="L39" s="9"/>
      <c r="M39" s="8"/>
      <c r="N39" s="8"/>
      <c r="O39" s="2"/>
      <c r="P39" s="2"/>
      <c r="Q39" s="2"/>
    </row>
    <row r="40" spans="1:17">
      <c r="A40" s="19" t="s">
        <v>59</v>
      </c>
      <c r="B40" s="19" t="s">
        <v>102</v>
      </c>
      <c r="C40" s="19" t="s">
        <v>100</v>
      </c>
      <c r="D40" s="19" t="s">
        <v>69</v>
      </c>
      <c r="E40" s="3"/>
      <c r="F40" s="3"/>
      <c r="G40" s="3"/>
      <c r="H40" s="8" t="str">
        <f t="shared" si="4"/>
        <v>R005</v>
      </c>
      <c r="I40" s="8"/>
      <c r="J40" s="8"/>
      <c r="K40" s="8"/>
      <c r="L40" s="9"/>
      <c r="M40" s="8"/>
      <c r="N40" s="8"/>
      <c r="O40" s="2"/>
      <c r="P40" s="2"/>
      <c r="Q40" s="2"/>
    </row>
    <row r="41" spans="1:17">
      <c r="A41" s="5" t="s">
        <v>86</v>
      </c>
      <c r="B41" s="7"/>
      <c r="C41" s="5"/>
      <c r="D41" s="5"/>
      <c r="E41" s="3"/>
      <c r="F41" s="3"/>
      <c r="G41" s="3"/>
      <c r="H41" s="8" t="str">
        <f t="shared" si="4"/>
        <v>R005</v>
      </c>
      <c r="I41" s="8"/>
      <c r="J41" s="8"/>
      <c r="K41" s="8"/>
      <c r="L41" s="9"/>
      <c r="M41" s="8"/>
      <c r="N41" s="8"/>
      <c r="O41" s="2"/>
      <c r="P41" s="2"/>
      <c r="Q41" s="2"/>
    </row>
    <row r="42" spans="1:17">
      <c r="A42" s="5" t="s">
        <v>86</v>
      </c>
      <c r="B42" s="7"/>
      <c r="C42" s="5"/>
      <c r="D42" s="5"/>
      <c r="E42" s="3"/>
      <c r="F42" s="3"/>
      <c r="G42" s="3"/>
      <c r="H42" s="8" t="str">
        <f t="shared" si="4"/>
        <v>R005</v>
      </c>
      <c r="I42" s="8"/>
      <c r="J42" s="8"/>
      <c r="K42" s="8"/>
      <c r="L42" s="9"/>
      <c r="M42" s="8"/>
      <c r="N42" s="8"/>
      <c r="O42" s="2"/>
      <c r="P42" s="2"/>
      <c r="Q42" s="2"/>
    </row>
    <row r="43" spans="1:17">
      <c r="A43" s="5" t="s">
        <v>88</v>
      </c>
      <c r="B43" s="7"/>
      <c r="C43" s="5"/>
      <c r="D43" s="5"/>
      <c r="E43" s="3"/>
      <c r="F43" s="3"/>
      <c r="G43" s="3"/>
      <c r="H43" s="8" t="str">
        <f t="shared" si="4"/>
        <v>R005</v>
      </c>
      <c r="I43" s="8"/>
      <c r="J43" s="8"/>
      <c r="K43" s="8"/>
      <c r="L43" s="9"/>
      <c r="M43" s="8"/>
      <c r="N43" s="8"/>
      <c r="O43" s="2"/>
      <c r="P43" s="2"/>
      <c r="Q43" s="2"/>
    </row>
    <row r="44" spans="1:17">
      <c r="A44" s="5" t="s">
        <v>206</v>
      </c>
      <c r="B44" s="7"/>
      <c r="C44" s="5"/>
      <c r="D44" s="5"/>
      <c r="E44" s="3"/>
      <c r="F44" s="3"/>
      <c r="G44" s="3"/>
      <c r="H44" s="8" t="str">
        <f t="shared" si="4"/>
        <v>R005</v>
      </c>
      <c r="I44" s="8"/>
      <c r="J44" s="8"/>
      <c r="K44" s="8"/>
      <c r="L44" s="9"/>
      <c r="M44" s="8"/>
      <c r="N44" s="8"/>
      <c r="O44" s="2"/>
      <c r="P44" s="2"/>
      <c r="Q44" s="2"/>
    </row>
    <row r="45" spans="1:17">
      <c r="A45" s="5"/>
      <c r="B45" s="7"/>
      <c r="C45" s="5"/>
      <c r="D45" s="5"/>
      <c r="E45" s="3"/>
      <c r="F45" s="3"/>
      <c r="G45" s="3"/>
      <c r="H45" s="8" t="str">
        <f t="shared" si="4"/>
        <v>R005</v>
      </c>
      <c r="I45" s="8"/>
      <c r="J45" s="8"/>
      <c r="K45" s="8"/>
      <c r="L45" s="9"/>
      <c r="M45" s="8"/>
      <c r="N45" s="8"/>
      <c r="O45" s="2"/>
      <c r="P45" s="2"/>
      <c r="Q45" s="2"/>
    </row>
    <row r="46" spans="1:17">
      <c r="A46" s="5"/>
      <c r="B46" s="7"/>
      <c r="C46" s="5"/>
      <c r="D46" s="5"/>
      <c r="E46" s="3"/>
      <c r="F46" s="3"/>
      <c r="G46" s="3"/>
      <c r="H46" s="8" t="str">
        <f t="shared" si="4"/>
        <v>R005</v>
      </c>
      <c r="I46" s="8"/>
      <c r="J46" s="8"/>
      <c r="K46" s="8"/>
      <c r="L46" s="9"/>
      <c r="M46" s="8"/>
      <c r="N46" s="8"/>
      <c r="O46" s="2"/>
      <c r="P46" s="2"/>
      <c r="Q46" s="2"/>
    </row>
    <row r="47" spans="1:17">
      <c r="A47" s="5"/>
      <c r="B47" s="7"/>
      <c r="C47" s="5"/>
      <c r="D47" s="5"/>
      <c r="E47" s="3"/>
      <c r="F47" s="3"/>
      <c r="G47" s="3"/>
      <c r="H47" s="8" t="str">
        <f t="shared" ref="H47:H54" si="5">$B$74</f>
        <v>R006</v>
      </c>
      <c r="I47" s="8"/>
      <c r="J47" s="8"/>
      <c r="K47" s="8"/>
      <c r="L47" s="9"/>
      <c r="M47" s="8"/>
      <c r="N47" s="8"/>
      <c r="O47" s="2"/>
      <c r="P47" s="2"/>
      <c r="Q47" s="2"/>
    </row>
    <row r="48" spans="1:17">
      <c r="A48" s="5"/>
      <c r="B48" s="7"/>
      <c r="C48" s="5"/>
      <c r="D48" s="5"/>
      <c r="E48" s="3"/>
      <c r="F48" s="3"/>
      <c r="G48" s="3"/>
      <c r="H48" s="8" t="str">
        <f t="shared" si="5"/>
        <v>R006</v>
      </c>
      <c r="I48" s="8"/>
      <c r="J48" s="8"/>
      <c r="K48" s="8"/>
      <c r="L48" s="9"/>
      <c r="M48" s="8"/>
      <c r="N48" s="8"/>
      <c r="O48" s="2"/>
      <c r="P48" s="2"/>
      <c r="Q48" s="2"/>
    </row>
    <row r="49" spans="1:17">
      <c r="A49" s="3"/>
      <c r="B49" s="3"/>
      <c r="C49" s="3"/>
      <c r="D49" s="3"/>
      <c r="E49" s="3"/>
      <c r="F49" s="3"/>
      <c r="G49" s="3"/>
      <c r="H49" s="8" t="str">
        <f t="shared" si="5"/>
        <v>R006</v>
      </c>
      <c r="I49" s="8"/>
      <c r="J49" s="8"/>
      <c r="K49" s="8"/>
      <c r="L49" s="9"/>
      <c r="M49" s="8"/>
      <c r="N49" s="8"/>
      <c r="O49" s="2"/>
      <c r="P49" s="2"/>
      <c r="Q49" s="2"/>
    </row>
    <row r="50" spans="1:17">
      <c r="A50" s="4" t="s">
        <v>94</v>
      </c>
      <c r="B50" s="5" t="s">
        <v>109</v>
      </c>
      <c r="C50" s="31" t="s">
        <v>110</v>
      </c>
      <c r="D50" s="31"/>
      <c r="E50" s="31"/>
      <c r="F50" s="31"/>
      <c r="G50" s="31"/>
      <c r="H50" s="8" t="str">
        <f t="shared" si="5"/>
        <v>R006</v>
      </c>
      <c r="I50" s="8"/>
      <c r="J50" s="8"/>
      <c r="K50" s="8"/>
      <c r="L50" s="9"/>
      <c r="M50" s="8"/>
      <c r="N50" s="8"/>
      <c r="O50" s="2"/>
      <c r="P50" s="2"/>
      <c r="Q50" s="2"/>
    </row>
    <row r="51" spans="1:17">
      <c r="A51" s="29" t="s">
        <v>111</v>
      </c>
      <c r="B51" s="29"/>
      <c r="C51" s="29"/>
      <c r="D51" s="29"/>
      <c r="E51" s="29"/>
      <c r="F51" s="29"/>
      <c r="G51" s="29"/>
      <c r="H51" s="8" t="str">
        <f t="shared" si="5"/>
        <v>R006</v>
      </c>
      <c r="I51" s="8"/>
      <c r="J51" s="8"/>
      <c r="K51" s="8"/>
      <c r="L51" s="9"/>
      <c r="M51" s="8"/>
      <c r="N51" s="8"/>
      <c r="O51" s="2"/>
      <c r="P51" s="2"/>
      <c r="Q51" s="2"/>
    </row>
    <row r="52" spans="1:17">
      <c r="A52" s="19" t="s">
        <v>59</v>
      </c>
      <c r="B52" s="19" t="s">
        <v>102</v>
      </c>
      <c r="C52" s="19" t="s">
        <v>100</v>
      </c>
      <c r="D52" s="19" t="s">
        <v>69</v>
      </c>
      <c r="E52" s="3"/>
      <c r="F52" s="3"/>
      <c r="G52" s="3"/>
      <c r="H52" s="8" t="str">
        <f t="shared" si="5"/>
        <v>R006</v>
      </c>
      <c r="I52" s="8"/>
      <c r="J52" s="8"/>
      <c r="K52" s="8"/>
      <c r="L52" s="9"/>
      <c r="M52" s="8"/>
      <c r="N52" s="8"/>
      <c r="O52" s="2"/>
      <c r="P52" s="2"/>
      <c r="Q52" s="2"/>
    </row>
    <row r="53" spans="1:17">
      <c r="A53" s="5" t="s">
        <v>188</v>
      </c>
      <c r="B53" s="7"/>
      <c r="C53" s="5"/>
      <c r="D53" s="5"/>
      <c r="E53" s="3"/>
      <c r="F53" s="3"/>
      <c r="G53" s="3"/>
      <c r="H53" s="8" t="str">
        <f t="shared" si="5"/>
        <v>R006</v>
      </c>
      <c r="I53" s="8"/>
      <c r="J53" s="8"/>
      <c r="K53" s="8"/>
      <c r="L53" s="9"/>
      <c r="M53" s="8"/>
      <c r="N53" s="8"/>
      <c r="O53" s="2"/>
      <c r="P53" s="2"/>
      <c r="Q53" s="2"/>
    </row>
    <row r="54" spans="1:17">
      <c r="A54" s="5" t="s">
        <v>190</v>
      </c>
      <c r="B54" s="7"/>
      <c r="C54" s="5"/>
      <c r="D54" s="5"/>
      <c r="E54" s="3"/>
      <c r="F54" s="3"/>
      <c r="G54" s="3"/>
      <c r="H54" s="8" t="str">
        <f t="shared" si="5"/>
        <v>R006</v>
      </c>
      <c r="I54" s="8"/>
      <c r="J54" s="8"/>
      <c r="K54" s="8"/>
      <c r="L54" s="9"/>
      <c r="M54" s="8"/>
      <c r="N54" s="8"/>
      <c r="O54" s="2"/>
      <c r="P54" s="2"/>
      <c r="Q54" s="2"/>
    </row>
    <row r="55" spans="1:17">
      <c r="A55" s="5"/>
      <c r="B55" s="7"/>
      <c r="C55" s="5"/>
      <c r="D55" s="5"/>
      <c r="E55" s="3"/>
      <c r="F55" s="3"/>
      <c r="G55" s="3"/>
      <c r="H55" s="8" t="str">
        <f t="shared" ref="H55:H62" si="6">$B$86</f>
        <v>R007</v>
      </c>
      <c r="I55" s="8"/>
      <c r="J55" s="8"/>
      <c r="K55" s="8"/>
      <c r="L55" s="9"/>
      <c r="M55" s="8"/>
      <c r="N55" s="8"/>
      <c r="O55" s="2"/>
      <c r="P55" s="2"/>
      <c r="Q55" s="2"/>
    </row>
    <row r="56" spans="1:17">
      <c r="A56" s="5"/>
      <c r="B56" s="7"/>
      <c r="C56" s="5"/>
      <c r="D56" s="5"/>
      <c r="E56" s="3"/>
      <c r="F56" s="3"/>
      <c r="G56" s="3"/>
      <c r="H56" s="8" t="str">
        <f t="shared" si="6"/>
        <v>R007</v>
      </c>
      <c r="I56" s="8"/>
      <c r="J56" s="8"/>
      <c r="K56" s="8"/>
      <c r="L56" s="9"/>
      <c r="M56" s="8"/>
      <c r="N56" s="8"/>
      <c r="O56" s="2"/>
      <c r="P56" s="2"/>
      <c r="Q56" s="2"/>
    </row>
    <row r="57" spans="1:17">
      <c r="A57" s="5"/>
      <c r="B57" s="7"/>
      <c r="C57" s="5"/>
      <c r="D57" s="5"/>
      <c r="E57" s="3"/>
      <c r="F57" s="3"/>
      <c r="G57" s="3"/>
      <c r="H57" s="8" t="str">
        <f t="shared" si="6"/>
        <v>R007</v>
      </c>
      <c r="I57" s="8"/>
      <c r="J57" s="8"/>
      <c r="K57" s="8"/>
      <c r="L57" s="9"/>
      <c r="M57" s="8"/>
      <c r="N57" s="8"/>
      <c r="O57" s="2"/>
      <c r="P57" s="2"/>
      <c r="Q57" s="2"/>
    </row>
    <row r="58" spans="1:17">
      <c r="A58" s="5"/>
      <c r="B58" s="7"/>
      <c r="C58" s="5"/>
      <c r="D58" s="5"/>
      <c r="E58" s="3"/>
      <c r="F58" s="3"/>
      <c r="G58" s="3"/>
      <c r="H58" s="8" t="str">
        <f t="shared" si="6"/>
        <v>R007</v>
      </c>
      <c r="I58" s="8"/>
      <c r="J58" s="8"/>
      <c r="K58" s="8"/>
      <c r="L58" s="9"/>
      <c r="M58" s="8"/>
      <c r="N58" s="8"/>
      <c r="O58" s="2"/>
      <c r="P58" s="2"/>
      <c r="Q58" s="2"/>
    </row>
    <row r="59" spans="1:17">
      <c r="A59" s="5"/>
      <c r="B59" s="7"/>
      <c r="C59" s="5"/>
      <c r="D59" s="5"/>
      <c r="E59" s="3"/>
      <c r="F59" s="3"/>
      <c r="G59" s="3"/>
      <c r="H59" s="8" t="str">
        <f t="shared" si="6"/>
        <v>R007</v>
      </c>
      <c r="I59" s="8"/>
      <c r="J59" s="8"/>
      <c r="K59" s="8"/>
      <c r="L59" s="9"/>
      <c r="M59" s="8"/>
      <c r="N59" s="8"/>
      <c r="O59" s="2"/>
      <c r="P59" s="2"/>
      <c r="Q59" s="2"/>
    </row>
    <row r="60" spans="1:17">
      <c r="A60" s="5"/>
      <c r="B60" s="7"/>
      <c r="C60" s="5"/>
      <c r="D60" s="5"/>
      <c r="E60" s="3"/>
      <c r="F60" s="3"/>
      <c r="G60" s="3"/>
      <c r="H60" s="8" t="str">
        <f t="shared" si="6"/>
        <v>R007</v>
      </c>
      <c r="I60" s="8"/>
      <c r="J60" s="8"/>
      <c r="K60" s="8"/>
      <c r="L60" s="9"/>
      <c r="M60" s="8"/>
      <c r="N60" s="8"/>
      <c r="O60" s="2"/>
      <c r="P60" s="2"/>
      <c r="Q60" s="2"/>
    </row>
    <row r="61" spans="1:17">
      <c r="A61" s="3"/>
      <c r="B61" s="3"/>
      <c r="C61" s="3"/>
      <c r="D61" s="3"/>
      <c r="E61" s="3"/>
      <c r="F61" s="3"/>
      <c r="G61" s="3"/>
      <c r="H61" s="8" t="str">
        <f t="shared" si="6"/>
        <v>R007</v>
      </c>
      <c r="I61" s="8"/>
      <c r="J61" s="8"/>
      <c r="K61" s="8"/>
      <c r="L61" s="9"/>
      <c r="M61" s="8"/>
      <c r="N61" s="8"/>
      <c r="O61" s="2"/>
      <c r="P61" s="2"/>
      <c r="Q61" s="2"/>
    </row>
    <row r="62" spans="1:17">
      <c r="A62" s="4" t="s">
        <v>94</v>
      </c>
      <c r="B62" s="5" t="s">
        <v>112</v>
      </c>
      <c r="C62" s="31" t="s">
        <v>113</v>
      </c>
      <c r="D62" s="31"/>
      <c r="E62" s="31"/>
      <c r="F62" s="31"/>
      <c r="G62" s="31"/>
      <c r="H62" s="8" t="str">
        <f t="shared" si="6"/>
        <v>R007</v>
      </c>
      <c r="I62" s="8"/>
      <c r="J62" s="8"/>
      <c r="K62" s="8"/>
      <c r="L62" s="9"/>
      <c r="M62" s="8"/>
      <c r="N62" s="8"/>
      <c r="O62" s="2"/>
      <c r="P62" s="2"/>
      <c r="Q62" s="2"/>
    </row>
    <row r="63" spans="1:17">
      <c r="A63" s="29" t="s">
        <v>114</v>
      </c>
      <c r="B63" s="29"/>
      <c r="C63" s="29"/>
      <c r="D63" s="29"/>
      <c r="E63" s="29"/>
      <c r="F63" s="29"/>
      <c r="G63" s="29"/>
      <c r="H63" s="2" t="str">
        <f t="shared" ref="H63:H78" si="7">$B$98</f>
        <v>R008</v>
      </c>
      <c r="I63" s="2"/>
      <c r="J63" s="2"/>
      <c r="K63" s="2"/>
      <c r="L63" s="2"/>
      <c r="M63" s="2"/>
      <c r="N63" s="2"/>
      <c r="O63" s="2"/>
      <c r="P63" s="2"/>
      <c r="Q63" s="2"/>
    </row>
    <row r="64" spans="1:17">
      <c r="A64" s="1" t="s">
        <v>59</v>
      </c>
      <c r="B64" s="19" t="s">
        <v>102</v>
      </c>
      <c r="C64" s="1" t="s">
        <v>100</v>
      </c>
      <c r="D64" s="1" t="s">
        <v>69</v>
      </c>
      <c r="E64" s="2"/>
      <c r="F64" s="2"/>
      <c r="G64" s="2"/>
      <c r="H64" s="2" t="str">
        <f t="shared" si="7"/>
        <v>R008</v>
      </c>
      <c r="I64" s="2"/>
      <c r="J64" s="2"/>
      <c r="K64" s="2"/>
      <c r="L64" s="2"/>
      <c r="M64" s="2"/>
      <c r="N64" s="2"/>
      <c r="O64" s="2"/>
      <c r="P64" s="2"/>
      <c r="Q64" s="2"/>
    </row>
    <row r="65" spans="1:17">
      <c r="A65" s="5" t="s">
        <v>76</v>
      </c>
      <c r="B65" s="7"/>
      <c r="C65" s="5"/>
      <c r="D65" s="5"/>
      <c r="E65" s="2"/>
      <c r="F65" s="2"/>
      <c r="G65" s="2"/>
      <c r="H65" s="2" t="str">
        <f t="shared" si="7"/>
        <v>R008</v>
      </c>
      <c r="I65" s="2"/>
      <c r="J65" s="2"/>
      <c r="K65" s="2"/>
      <c r="L65" s="2"/>
      <c r="M65" s="2"/>
      <c r="N65" s="2"/>
      <c r="O65" s="2"/>
      <c r="P65" s="2"/>
      <c r="Q65" s="2"/>
    </row>
    <row r="66" spans="1:17">
      <c r="A66" s="5" t="s">
        <v>168</v>
      </c>
      <c r="B66" s="7"/>
      <c r="C66" s="5"/>
      <c r="D66" s="5"/>
      <c r="E66" s="2"/>
      <c r="F66" s="2"/>
      <c r="G66" s="2"/>
      <c r="H66" s="2" t="str">
        <f t="shared" si="7"/>
        <v>R008</v>
      </c>
      <c r="I66" s="2"/>
      <c r="J66" s="2"/>
      <c r="K66" s="2"/>
      <c r="L66" s="2"/>
      <c r="M66" s="2"/>
      <c r="N66" s="2"/>
      <c r="O66" s="2"/>
      <c r="P66" s="2"/>
      <c r="Q66" s="2"/>
    </row>
    <row r="67" spans="1:17">
      <c r="A67" s="5" t="s">
        <v>200</v>
      </c>
      <c r="B67" s="7"/>
      <c r="C67" s="5"/>
      <c r="D67" s="5"/>
      <c r="E67" s="2"/>
      <c r="F67" s="2"/>
      <c r="G67" s="2"/>
      <c r="H67" s="2" t="str">
        <f t="shared" si="7"/>
        <v>R008</v>
      </c>
      <c r="I67" s="2"/>
      <c r="J67" s="2"/>
      <c r="K67" s="2"/>
      <c r="L67" s="2"/>
      <c r="M67" s="2"/>
      <c r="N67" s="2"/>
      <c r="O67" s="2"/>
      <c r="P67" s="2"/>
      <c r="Q67" s="2"/>
    </row>
    <row r="68" spans="1:17">
      <c r="A68" s="5" t="s">
        <v>172</v>
      </c>
      <c r="B68" s="7"/>
      <c r="C68" s="5"/>
      <c r="D68" s="5"/>
      <c r="E68" s="2"/>
      <c r="F68" s="2"/>
      <c r="G68" s="2"/>
      <c r="H68" s="2" t="str">
        <f t="shared" si="7"/>
        <v>R008</v>
      </c>
      <c r="I68" s="2"/>
      <c r="J68" s="2"/>
      <c r="K68" s="2"/>
      <c r="L68" s="2"/>
      <c r="M68" s="2"/>
      <c r="N68" s="2"/>
      <c r="O68" s="2"/>
      <c r="P68" s="2"/>
      <c r="Q68" s="2"/>
    </row>
    <row r="69" spans="1:17">
      <c r="A69" s="5" t="s">
        <v>171</v>
      </c>
      <c r="B69" s="7"/>
      <c r="C69" s="5"/>
      <c r="D69" s="5"/>
      <c r="E69" s="2"/>
      <c r="F69" s="2"/>
      <c r="G69" s="2"/>
      <c r="H69" s="2" t="str">
        <f t="shared" si="7"/>
        <v>R008</v>
      </c>
      <c r="I69" s="2"/>
      <c r="J69" s="2"/>
      <c r="K69" s="2"/>
      <c r="L69" s="2"/>
      <c r="M69" s="2"/>
      <c r="N69" s="2"/>
      <c r="O69" s="2"/>
      <c r="P69" s="2"/>
      <c r="Q69" s="2"/>
    </row>
    <row r="70" spans="1:17">
      <c r="A70" s="5" t="s">
        <v>80</v>
      </c>
      <c r="B70" s="7"/>
      <c r="C70" s="5"/>
      <c r="D70" s="5"/>
      <c r="E70" s="2"/>
      <c r="F70" s="2"/>
      <c r="G70" s="2"/>
      <c r="H70" s="2" t="str">
        <f t="shared" si="7"/>
        <v>R008</v>
      </c>
      <c r="I70" s="2"/>
      <c r="J70" s="2"/>
      <c r="K70" s="2"/>
      <c r="L70" s="2"/>
      <c r="M70" s="2"/>
      <c r="N70" s="2"/>
      <c r="O70" s="2"/>
      <c r="P70" s="2"/>
      <c r="Q70" s="2"/>
    </row>
    <row r="71" spans="1:17">
      <c r="A71" s="5" t="s">
        <v>179</v>
      </c>
      <c r="B71" s="7"/>
      <c r="C71" s="5"/>
      <c r="D71" s="5"/>
      <c r="E71" s="2"/>
      <c r="F71" s="2"/>
      <c r="G71" s="2"/>
      <c r="H71" s="2" t="str">
        <f t="shared" si="7"/>
        <v>R008</v>
      </c>
      <c r="I71" s="2"/>
      <c r="J71" s="2"/>
      <c r="K71" s="2"/>
      <c r="L71" s="2"/>
      <c r="M71" s="2"/>
      <c r="N71" s="2"/>
      <c r="O71" s="2"/>
      <c r="P71" s="2"/>
      <c r="Q71" s="2"/>
    </row>
    <row r="72" spans="1:17">
      <c r="A72" s="5" t="s">
        <v>201</v>
      </c>
      <c r="B72" s="7"/>
      <c r="C72" s="5"/>
      <c r="D72" s="5"/>
      <c r="E72" s="2"/>
      <c r="F72" s="2"/>
      <c r="G72" s="2"/>
      <c r="H72" s="2" t="str">
        <f t="shared" si="7"/>
        <v>R008</v>
      </c>
      <c r="I72" s="2"/>
      <c r="J72" s="2"/>
      <c r="K72" s="2"/>
      <c r="L72" s="2"/>
      <c r="M72" s="2"/>
      <c r="N72" s="2"/>
      <c r="O72" s="2"/>
      <c r="P72" s="2"/>
      <c r="Q72" s="2"/>
    </row>
    <row r="73" spans="1:17">
      <c r="A73" s="2"/>
      <c r="B73" s="2"/>
      <c r="C73" s="2"/>
      <c r="D73" s="2"/>
      <c r="E73" s="2"/>
      <c r="F73" s="2"/>
      <c r="G73" s="2"/>
      <c r="H73" s="2" t="str">
        <f t="shared" si="7"/>
        <v>R008</v>
      </c>
      <c r="I73" s="2"/>
      <c r="J73" s="2"/>
      <c r="K73" s="2"/>
      <c r="L73" s="2"/>
      <c r="M73" s="2"/>
      <c r="N73" s="2"/>
      <c r="O73" s="2"/>
      <c r="P73" s="2"/>
      <c r="Q73" s="2"/>
    </row>
    <row r="74" spans="1:17">
      <c r="A74" s="4" t="s">
        <v>94</v>
      </c>
      <c r="B74" s="5" t="s">
        <v>115</v>
      </c>
      <c r="C74" s="32" t="s">
        <v>116</v>
      </c>
      <c r="D74" s="32"/>
      <c r="E74" s="32"/>
      <c r="F74" s="32"/>
      <c r="G74" s="32"/>
      <c r="H74" s="2" t="str">
        <f t="shared" si="7"/>
        <v>R008</v>
      </c>
      <c r="I74" s="2"/>
      <c r="J74" s="2"/>
      <c r="K74" s="2"/>
      <c r="L74" s="2"/>
      <c r="M74" s="2"/>
      <c r="N74" s="2"/>
      <c r="O74" s="2"/>
      <c r="P74" s="2"/>
      <c r="Q74" s="2"/>
    </row>
    <row r="75" spans="1:17">
      <c r="A75" s="29" t="s">
        <v>117</v>
      </c>
      <c r="B75" s="29"/>
      <c r="C75" s="29"/>
      <c r="D75" s="29"/>
      <c r="E75" s="29"/>
      <c r="F75" s="29"/>
      <c r="G75" s="29"/>
      <c r="H75" s="2" t="str">
        <f t="shared" si="7"/>
        <v>R008</v>
      </c>
      <c r="I75" s="2"/>
      <c r="J75" s="2"/>
      <c r="K75" s="2"/>
      <c r="L75" s="2"/>
      <c r="M75" s="2"/>
      <c r="N75" s="2"/>
      <c r="O75" s="2"/>
      <c r="P75" s="2"/>
      <c r="Q75" s="2"/>
    </row>
    <row r="76" spans="1:17">
      <c r="A76" s="1" t="s">
        <v>59</v>
      </c>
      <c r="B76" s="19" t="s">
        <v>102</v>
      </c>
      <c r="C76" s="1" t="s">
        <v>100</v>
      </c>
      <c r="D76" s="1" t="s">
        <v>69</v>
      </c>
      <c r="E76" s="22"/>
      <c r="F76" s="22"/>
      <c r="G76" s="22"/>
      <c r="H76" s="2" t="str">
        <f t="shared" si="7"/>
        <v>R008</v>
      </c>
      <c r="I76" s="2"/>
      <c r="J76" s="2"/>
      <c r="K76" s="2"/>
      <c r="L76" s="2"/>
      <c r="M76" s="2"/>
      <c r="N76" s="2"/>
      <c r="O76" s="2"/>
      <c r="P76" s="2"/>
      <c r="Q76" s="2"/>
    </row>
    <row r="77" spans="1:17">
      <c r="A77" s="5" t="s">
        <v>191</v>
      </c>
      <c r="B77" s="7"/>
      <c r="C77" s="5"/>
      <c r="D77" s="5"/>
      <c r="E77" s="22"/>
      <c r="F77" s="22"/>
      <c r="G77" s="22"/>
      <c r="H77" s="2" t="str">
        <f t="shared" si="7"/>
        <v>R008</v>
      </c>
      <c r="I77" s="2"/>
      <c r="J77" s="2"/>
      <c r="K77" s="2"/>
      <c r="L77" s="2"/>
      <c r="M77" s="2"/>
      <c r="N77" s="2"/>
      <c r="O77" s="2"/>
      <c r="P77" s="2"/>
      <c r="Q77" s="2"/>
    </row>
    <row r="78" spans="1:17">
      <c r="A78" s="5" t="s">
        <v>193</v>
      </c>
      <c r="B78" s="7"/>
      <c r="C78" s="5"/>
      <c r="D78" s="5"/>
      <c r="E78" s="22"/>
      <c r="F78" s="22"/>
      <c r="G78" s="22"/>
      <c r="H78" s="2" t="str">
        <f t="shared" si="7"/>
        <v>R008</v>
      </c>
      <c r="I78" s="2"/>
      <c r="J78" s="2"/>
      <c r="K78" s="2"/>
      <c r="L78" s="2"/>
      <c r="M78" s="2"/>
      <c r="N78" s="2"/>
      <c r="O78" s="2"/>
      <c r="P78" s="2"/>
      <c r="Q78" s="2"/>
    </row>
    <row r="79" spans="1:17">
      <c r="A79" s="5" t="s">
        <v>206</v>
      </c>
      <c r="B79" s="7"/>
      <c r="C79" s="5"/>
      <c r="D79" s="5"/>
      <c r="E79" s="22"/>
      <c r="F79" s="22"/>
      <c r="G79" s="22"/>
      <c r="H79" s="2" t="str">
        <f>$B$125</f>
        <v>R009</v>
      </c>
      <c r="I79" s="2"/>
      <c r="J79" s="2"/>
      <c r="K79" s="2"/>
      <c r="L79" s="2"/>
      <c r="M79" s="2"/>
      <c r="N79" s="2"/>
      <c r="O79" s="2"/>
      <c r="P79" s="2"/>
      <c r="Q79" s="2"/>
    </row>
    <row r="80" spans="1:17">
      <c r="A80" s="5" t="s">
        <v>89</v>
      </c>
      <c r="B80" s="7"/>
      <c r="C80" s="5"/>
      <c r="D80" s="5"/>
      <c r="E80" s="22"/>
      <c r="F80" s="22"/>
      <c r="G80" s="22"/>
      <c r="H80" s="2" t="str">
        <f>$B$125</f>
        <v>R009</v>
      </c>
      <c r="I80" s="2"/>
      <c r="J80" s="2"/>
      <c r="K80" s="2"/>
      <c r="L80" s="2"/>
      <c r="M80" s="2"/>
      <c r="N80" s="2"/>
      <c r="O80" s="2"/>
      <c r="P80" s="2"/>
      <c r="Q80" s="2"/>
    </row>
    <row r="81" spans="1:17">
      <c r="A81" s="5" t="s">
        <v>88</v>
      </c>
      <c r="B81" s="7"/>
      <c r="C81" s="5"/>
      <c r="D81" s="5"/>
      <c r="E81" s="22"/>
      <c r="F81" s="22"/>
      <c r="G81" s="22"/>
      <c r="H81" s="2" t="str">
        <f>$B$125</f>
        <v>R009</v>
      </c>
      <c r="I81" s="2"/>
      <c r="J81" s="2"/>
      <c r="K81" s="2"/>
      <c r="L81" s="2"/>
      <c r="M81" s="2"/>
      <c r="N81" s="2"/>
      <c r="O81" s="2"/>
      <c r="P81" s="2"/>
      <c r="Q81" s="2"/>
    </row>
    <row r="82" spans="1:17">
      <c r="A82" s="5" t="s">
        <v>202</v>
      </c>
      <c r="B82" s="7"/>
      <c r="C82" s="5"/>
      <c r="D82" s="5"/>
      <c r="E82" s="22"/>
      <c r="F82" s="22"/>
      <c r="G82" s="22"/>
      <c r="H82" s="2" t="str">
        <f>$B$125</f>
        <v>R009</v>
      </c>
      <c r="I82" s="2"/>
      <c r="J82" s="2"/>
      <c r="K82" s="2"/>
      <c r="L82" s="2"/>
      <c r="M82" s="2"/>
      <c r="N82" s="2"/>
      <c r="O82" s="2"/>
      <c r="P82" s="2"/>
      <c r="Q82" s="2"/>
    </row>
    <row r="83" spans="1:17">
      <c r="A83" s="5" t="s">
        <v>194</v>
      </c>
      <c r="B83" s="7"/>
      <c r="C83" s="5"/>
      <c r="D83" s="5"/>
      <c r="E83" s="22"/>
      <c r="F83" s="22"/>
      <c r="G83" s="22"/>
      <c r="H83" s="2" t="str">
        <f>$B$125</f>
        <v>R009</v>
      </c>
      <c r="I83" s="2"/>
      <c r="J83" s="2"/>
      <c r="K83" s="2"/>
      <c r="L83" s="2"/>
      <c r="M83" s="2"/>
      <c r="N83" s="2"/>
      <c r="O83" s="2"/>
      <c r="P83" s="2"/>
      <c r="Q83" s="2"/>
    </row>
    <row r="84" spans="1:17">
      <c r="A84" s="5"/>
      <c r="B84" s="7"/>
      <c r="C84" s="5"/>
      <c r="D84" s="5"/>
      <c r="E84" s="22"/>
      <c r="F84" s="22"/>
      <c r="G84" s="22"/>
      <c r="H84" s="2" t="str">
        <f>$B$137</f>
        <v>R010</v>
      </c>
      <c r="I84" s="2"/>
      <c r="J84" s="2"/>
      <c r="K84" s="2"/>
      <c r="L84" s="2"/>
      <c r="M84" s="2"/>
      <c r="N84" s="2"/>
      <c r="O84" s="2"/>
      <c r="P84" s="2"/>
      <c r="Q84" s="2"/>
    </row>
    <row r="85" spans="1:17">
      <c r="H85" t="str">
        <f>$B$137</f>
        <v>R010</v>
      </c>
    </row>
    <row r="86" spans="1:17">
      <c r="A86" s="4" t="s">
        <v>94</v>
      </c>
      <c r="B86" s="5" t="s">
        <v>118</v>
      </c>
      <c r="C86" s="32" t="s">
        <v>204</v>
      </c>
      <c r="D86" s="32"/>
      <c r="E86" s="32"/>
      <c r="F86" s="32"/>
      <c r="G86" s="32"/>
    </row>
    <row r="87" spans="1:17">
      <c r="A87" s="29" t="s">
        <v>117</v>
      </c>
      <c r="B87" s="29"/>
      <c r="C87" s="29"/>
      <c r="D87" s="29"/>
      <c r="E87" s="29"/>
      <c r="F87" s="29"/>
      <c r="G87" s="29"/>
    </row>
    <row r="88" spans="1:17">
      <c r="A88" s="1" t="s">
        <v>59</v>
      </c>
      <c r="B88" s="19" t="s">
        <v>102</v>
      </c>
      <c r="C88" s="1" t="s">
        <v>100</v>
      </c>
      <c r="D88" s="1" t="s">
        <v>69</v>
      </c>
      <c r="E88" s="22"/>
      <c r="F88" s="22"/>
      <c r="G88" s="22"/>
    </row>
    <row r="89" spans="1:17">
      <c r="A89" s="5" t="s">
        <v>191</v>
      </c>
      <c r="B89" s="7"/>
      <c r="C89" s="5"/>
      <c r="D89" s="5"/>
      <c r="E89" s="22"/>
      <c r="F89" s="22"/>
      <c r="G89" s="22"/>
    </row>
    <row r="90" spans="1:17">
      <c r="A90" s="5" t="s">
        <v>193</v>
      </c>
      <c r="B90" s="7"/>
      <c r="C90" s="5"/>
      <c r="D90" s="5"/>
      <c r="E90" s="22"/>
      <c r="F90" s="22"/>
      <c r="G90" s="22"/>
    </row>
    <row r="91" spans="1:17">
      <c r="A91" s="5" t="s">
        <v>206</v>
      </c>
      <c r="B91" s="7"/>
      <c r="C91" s="5"/>
      <c r="D91" s="5"/>
      <c r="E91" s="22"/>
      <c r="F91" s="22"/>
      <c r="G91" s="22"/>
    </row>
    <row r="92" spans="1:17">
      <c r="A92" s="5" t="s">
        <v>89</v>
      </c>
      <c r="B92" s="7"/>
      <c r="C92" s="5"/>
      <c r="D92" s="5"/>
      <c r="E92" s="22"/>
      <c r="F92" s="22"/>
      <c r="G92" s="22"/>
    </row>
    <row r="93" spans="1:17">
      <c r="A93" s="5" t="s">
        <v>88</v>
      </c>
      <c r="B93" s="7"/>
      <c r="C93" s="5"/>
      <c r="D93" s="5"/>
      <c r="E93" s="22"/>
      <c r="F93" s="22"/>
      <c r="G93" s="22"/>
    </row>
    <row r="94" spans="1:17">
      <c r="A94" s="5" t="s">
        <v>202</v>
      </c>
      <c r="B94" s="7"/>
      <c r="C94" s="5"/>
      <c r="D94" s="5"/>
      <c r="E94" s="22"/>
      <c r="F94" s="22"/>
      <c r="G94" s="22"/>
    </row>
    <row r="95" spans="1:17">
      <c r="A95" s="5" t="s">
        <v>194</v>
      </c>
      <c r="B95" s="7"/>
      <c r="C95" s="5"/>
      <c r="D95" s="5"/>
      <c r="E95" s="22"/>
      <c r="F95" s="22"/>
      <c r="G95" s="22"/>
    </row>
    <row r="96" spans="1:17">
      <c r="A96" s="5"/>
      <c r="B96" s="7"/>
      <c r="C96" s="5"/>
      <c r="D96" s="5"/>
      <c r="E96" s="22"/>
      <c r="F96" s="22"/>
      <c r="G96" s="22"/>
    </row>
    <row r="98" spans="1:7">
      <c r="A98" s="4" t="s">
        <v>94</v>
      </c>
      <c r="B98" s="5" t="s">
        <v>119</v>
      </c>
      <c r="C98" s="32" t="s">
        <v>120</v>
      </c>
      <c r="D98" s="32"/>
      <c r="E98" s="32"/>
      <c r="F98" s="32"/>
      <c r="G98" s="32"/>
    </row>
    <row r="99" spans="1:7">
      <c r="A99" s="29" t="s">
        <v>117</v>
      </c>
      <c r="B99" s="29"/>
      <c r="C99" s="29"/>
      <c r="D99" s="29"/>
      <c r="E99" s="29"/>
      <c r="F99" s="29"/>
      <c r="G99" s="29"/>
    </row>
    <row r="100" spans="1:7">
      <c r="A100" s="1" t="s">
        <v>59</v>
      </c>
      <c r="B100" s="19" t="s">
        <v>102</v>
      </c>
      <c r="C100" s="1" t="s">
        <v>100</v>
      </c>
      <c r="D100" s="1" t="s">
        <v>69</v>
      </c>
      <c r="E100" s="22"/>
      <c r="F100" s="22"/>
      <c r="G100" s="22"/>
    </row>
    <row r="101" spans="1:7">
      <c r="A101" s="5" t="s">
        <v>205</v>
      </c>
      <c r="B101" s="7"/>
      <c r="C101" s="5"/>
      <c r="D101" s="5"/>
      <c r="E101" s="22"/>
      <c r="F101" s="22"/>
      <c r="G101" s="22"/>
    </row>
    <row r="102" spans="1:7">
      <c r="A102" s="5" t="s">
        <v>206</v>
      </c>
      <c r="B102" s="7"/>
      <c r="C102" s="5"/>
      <c r="D102" s="5"/>
      <c r="E102" s="22"/>
      <c r="F102" s="22"/>
      <c r="G102" s="22"/>
    </row>
    <row r="103" spans="1:7">
      <c r="A103" s="5" t="s">
        <v>168</v>
      </c>
      <c r="B103" s="7"/>
      <c r="C103" s="5"/>
      <c r="D103" s="5"/>
      <c r="E103" s="22"/>
      <c r="F103" s="22"/>
      <c r="G103" s="22"/>
    </row>
    <row r="104" spans="1:7">
      <c r="A104" s="5" t="s">
        <v>79</v>
      </c>
      <c r="B104" s="7"/>
      <c r="C104" s="5"/>
      <c r="D104" s="5"/>
      <c r="E104" s="22"/>
      <c r="F104" s="22"/>
      <c r="G104" s="22"/>
    </row>
    <row r="105" spans="1:7">
      <c r="A105" s="5" t="s">
        <v>79</v>
      </c>
      <c r="B105" s="7"/>
      <c r="C105" s="5"/>
      <c r="D105" s="5"/>
      <c r="E105" s="22"/>
      <c r="F105" s="22"/>
      <c r="G105" s="22"/>
    </row>
    <row r="106" spans="1:7">
      <c r="A106" s="5" t="s">
        <v>170</v>
      </c>
      <c r="B106" s="7"/>
      <c r="C106" s="5"/>
      <c r="D106" s="5"/>
      <c r="E106" s="22"/>
      <c r="F106" s="22"/>
      <c r="G106" s="22"/>
    </row>
    <row r="107" spans="1:7">
      <c r="A107" s="5" t="s">
        <v>171</v>
      </c>
      <c r="B107" s="7"/>
      <c r="C107" s="5"/>
      <c r="D107" s="5"/>
      <c r="E107" s="22"/>
      <c r="F107" s="22"/>
      <c r="G107" s="22"/>
    </row>
    <row r="108" spans="1:7">
      <c r="A108" s="5" t="s">
        <v>172</v>
      </c>
      <c r="B108" s="7"/>
      <c r="C108" s="5"/>
      <c r="D108" s="5"/>
      <c r="E108" s="22"/>
      <c r="F108" s="22"/>
      <c r="G108" s="22"/>
    </row>
    <row r="109" spans="1:7">
      <c r="A109" s="5" t="s">
        <v>195</v>
      </c>
      <c r="B109" s="7"/>
      <c r="C109" s="5"/>
      <c r="D109" s="5"/>
    </row>
    <row r="110" spans="1:7">
      <c r="A110" s="5" t="s">
        <v>196</v>
      </c>
      <c r="B110" s="7"/>
      <c r="C110" s="5"/>
      <c r="D110" s="5"/>
    </row>
    <row r="111" spans="1:7">
      <c r="A111" s="5" t="s">
        <v>197</v>
      </c>
      <c r="B111" s="7"/>
      <c r="C111" s="5"/>
      <c r="D111" s="5"/>
    </row>
    <row r="112" spans="1:7">
      <c r="A112" s="5" t="s">
        <v>89</v>
      </c>
      <c r="B112" s="7"/>
      <c r="C112" s="5"/>
      <c r="D112" s="5"/>
    </row>
    <row r="113" spans="1:7">
      <c r="A113" s="5" t="s">
        <v>174</v>
      </c>
      <c r="B113" s="7"/>
      <c r="C113" s="5"/>
      <c r="D113" s="5"/>
    </row>
    <row r="114" spans="1:7">
      <c r="A114" s="5" t="s">
        <v>175</v>
      </c>
      <c r="B114" s="7"/>
      <c r="C114" s="5"/>
      <c r="D114" s="5"/>
    </row>
    <row r="115" spans="1:7">
      <c r="A115" s="5" t="s">
        <v>176</v>
      </c>
      <c r="B115" s="7"/>
      <c r="C115" s="5"/>
      <c r="D115" s="5"/>
    </row>
    <row r="116" spans="1:7">
      <c r="A116" s="5" t="s">
        <v>177</v>
      </c>
      <c r="B116" s="7"/>
      <c r="C116" s="5"/>
      <c r="D116" s="5"/>
    </row>
    <row r="117" spans="1:7">
      <c r="A117" s="5" t="s">
        <v>178</v>
      </c>
      <c r="B117" s="7"/>
      <c r="C117" s="5"/>
      <c r="D117" s="5"/>
    </row>
    <row r="118" spans="1:7">
      <c r="A118" s="5" t="s">
        <v>182</v>
      </c>
      <c r="B118" s="7"/>
      <c r="C118" s="5"/>
      <c r="D118" s="5"/>
    </row>
    <row r="119" spans="1:7">
      <c r="A119" s="5" t="s">
        <v>82</v>
      </c>
      <c r="B119" s="7"/>
      <c r="C119" s="5"/>
      <c r="D119" s="5"/>
    </row>
    <row r="120" spans="1:7">
      <c r="A120" s="5" t="s">
        <v>198</v>
      </c>
      <c r="B120" s="7"/>
      <c r="C120" s="5"/>
      <c r="D120" s="5"/>
    </row>
    <row r="121" spans="1:7">
      <c r="A121" s="5" t="s">
        <v>199</v>
      </c>
      <c r="B121" s="7"/>
      <c r="C121" s="5"/>
      <c r="D121" s="5"/>
    </row>
    <row r="122" spans="1:7">
      <c r="A122" s="5" t="s">
        <v>179</v>
      </c>
      <c r="B122" s="7"/>
      <c r="C122" s="5"/>
      <c r="D122" s="5"/>
    </row>
    <row r="123" spans="1:7">
      <c r="A123" s="5" t="s">
        <v>181</v>
      </c>
      <c r="B123" s="7"/>
      <c r="C123" s="5"/>
      <c r="D123" s="5"/>
    </row>
    <row r="125" spans="1:7">
      <c r="A125" s="4" t="s">
        <v>94</v>
      </c>
      <c r="B125" s="5" t="s">
        <v>121</v>
      </c>
      <c r="C125" s="33" t="s">
        <v>122</v>
      </c>
      <c r="D125" s="31"/>
      <c r="E125" s="31"/>
      <c r="F125" s="31"/>
      <c r="G125" s="31"/>
    </row>
    <row r="126" spans="1:7">
      <c r="A126" s="29" t="s">
        <v>105</v>
      </c>
      <c r="B126" s="29"/>
      <c r="C126" s="29"/>
      <c r="D126" s="29"/>
      <c r="E126" s="29"/>
      <c r="F126" s="29"/>
      <c r="G126" s="29"/>
    </row>
    <row r="127" spans="1:7">
      <c r="A127" s="19" t="s">
        <v>59</v>
      </c>
      <c r="B127" s="19" t="s">
        <v>102</v>
      </c>
      <c r="C127" s="19" t="s">
        <v>100</v>
      </c>
      <c r="D127" s="19" t="s">
        <v>69</v>
      </c>
      <c r="E127" s="3"/>
      <c r="F127" s="3"/>
      <c r="G127" s="3"/>
    </row>
    <row r="128" spans="1:7">
      <c r="A128" s="5"/>
      <c r="B128" s="7"/>
      <c r="C128" s="5"/>
      <c r="D128" s="5"/>
      <c r="E128" s="3"/>
      <c r="F128" s="3"/>
      <c r="G128" s="3"/>
    </row>
    <row r="129" spans="1:7">
      <c r="A129" s="5"/>
      <c r="B129" s="7"/>
      <c r="C129" s="5"/>
      <c r="D129" s="5"/>
      <c r="E129" s="3"/>
      <c r="F129" s="3"/>
      <c r="G129" s="3"/>
    </row>
    <row r="130" spans="1:7">
      <c r="A130" s="5"/>
      <c r="B130" s="7"/>
      <c r="C130" s="5"/>
      <c r="D130" s="5"/>
      <c r="E130" s="3"/>
      <c r="F130" s="3"/>
      <c r="G130" s="3"/>
    </row>
    <row r="131" spans="1:7">
      <c r="A131" s="5"/>
      <c r="B131" s="7"/>
      <c r="C131" s="5"/>
      <c r="D131" s="5"/>
      <c r="E131" s="3"/>
      <c r="F131" s="3"/>
      <c r="G131" s="3"/>
    </row>
    <row r="132" spans="1:7">
      <c r="A132" s="5"/>
      <c r="B132" s="7"/>
      <c r="C132" s="5"/>
      <c r="D132" s="5"/>
      <c r="E132" s="3"/>
      <c r="F132" s="3"/>
      <c r="G132" s="3"/>
    </row>
    <row r="133" spans="1:7">
      <c r="A133" s="5"/>
      <c r="B133" s="7"/>
      <c r="C133" s="5"/>
      <c r="D133" s="5"/>
      <c r="E133" s="3"/>
      <c r="F133" s="3"/>
      <c r="G133" s="3"/>
    </row>
    <row r="134" spans="1:7">
      <c r="A134" s="5"/>
      <c r="B134" s="7"/>
      <c r="C134" s="5"/>
      <c r="D134" s="5"/>
      <c r="E134" s="3"/>
      <c r="F134" s="3"/>
      <c r="G134" s="3"/>
    </row>
    <row r="135" spans="1:7">
      <c r="A135" s="5"/>
      <c r="B135" s="7"/>
      <c r="C135" s="5"/>
      <c r="D135" s="5"/>
      <c r="E135" s="3"/>
      <c r="F135" s="3"/>
      <c r="G135" s="3"/>
    </row>
    <row r="137" spans="1:7">
      <c r="A137" s="4" t="s">
        <v>94</v>
      </c>
      <c r="B137" s="5" t="s">
        <v>123</v>
      </c>
      <c r="C137" s="31" t="s">
        <v>124</v>
      </c>
      <c r="D137" s="31"/>
      <c r="E137" s="31"/>
      <c r="F137" s="31"/>
      <c r="G137" s="31"/>
    </row>
    <row r="138" spans="1:7">
      <c r="A138" s="29" t="s">
        <v>111</v>
      </c>
      <c r="B138" s="29"/>
      <c r="C138" s="29"/>
      <c r="D138" s="29"/>
      <c r="E138" s="29"/>
      <c r="F138" s="29"/>
      <c r="G138" s="29"/>
    </row>
    <row r="139" spans="1:7">
      <c r="A139" s="19" t="s">
        <v>59</v>
      </c>
      <c r="B139" s="19" t="s">
        <v>102</v>
      </c>
      <c r="C139" s="19" t="s">
        <v>100</v>
      </c>
      <c r="D139" s="19" t="s">
        <v>69</v>
      </c>
      <c r="E139" s="3"/>
      <c r="F139" s="3"/>
      <c r="G139" s="3"/>
    </row>
    <row r="140" spans="1:7">
      <c r="A140" s="5"/>
      <c r="B140" s="7"/>
      <c r="C140" s="5"/>
      <c r="D140" s="5"/>
      <c r="E140" s="3"/>
      <c r="F140" s="3"/>
      <c r="G140" s="3"/>
    </row>
    <row r="141" spans="1:7">
      <c r="A141" s="5"/>
      <c r="B141" s="7"/>
      <c r="C141" s="5"/>
      <c r="D141" s="5"/>
      <c r="E141" s="3"/>
      <c r="F141" s="3"/>
      <c r="G141" s="3"/>
    </row>
    <row r="142" spans="1:7">
      <c r="A142" s="5"/>
      <c r="B142" s="7"/>
      <c r="C142" s="5"/>
      <c r="D142" s="5"/>
      <c r="E142" s="3"/>
      <c r="F142" s="3"/>
      <c r="G142" s="3"/>
    </row>
  </sheetData>
  <mergeCells count="23">
    <mergeCell ref="C62:G62"/>
    <mergeCell ref="A63:G63"/>
    <mergeCell ref="C74:G74"/>
    <mergeCell ref="A75:G75"/>
    <mergeCell ref="H3:N3"/>
    <mergeCell ref="A27:G27"/>
    <mergeCell ref="C38:G38"/>
    <mergeCell ref="A39:G39"/>
    <mergeCell ref="C50:G50"/>
    <mergeCell ref="A51:G51"/>
    <mergeCell ref="A1:N1"/>
    <mergeCell ref="A3:G3"/>
    <mergeCell ref="C5:G5"/>
    <mergeCell ref="A6:G6"/>
    <mergeCell ref="C26:G26"/>
    <mergeCell ref="A126:G126"/>
    <mergeCell ref="C137:G137"/>
    <mergeCell ref="A138:G138"/>
    <mergeCell ref="C86:G86"/>
    <mergeCell ref="A87:G87"/>
    <mergeCell ref="C98:G98"/>
    <mergeCell ref="A99:G99"/>
    <mergeCell ref="C125:G125"/>
  </mergeCells>
  <dataValidations count="1">
    <dataValidation type="list" sqref="C8:C24 C77:C84 C65:C72 C53:C60 C41:C48 C29:C36 C89:C96 C101:C123 C128:C135 C140:C142">
      <formula1>"г,мл,шт."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5"/>
  <sheetViews>
    <sheetView showGridLines="0" zoomScale="55" zoomScaleNormal="55" workbookViewId="0">
      <pane ySplit="5" topLeftCell="A6" activePane="bottomLeft" state="frozen"/>
      <selection pane="bottomLeft" activeCell="B6" sqref="B6:F89"/>
    </sheetView>
  </sheetViews>
  <sheetFormatPr defaultRowHeight="14.25"/>
  <cols>
    <col min="1" max="1" width="7.875" customWidth="1"/>
    <col min="2" max="2" width="14" customWidth="1"/>
    <col min="3" max="3" width="26" customWidth="1"/>
    <col min="4" max="4" width="12" customWidth="1"/>
    <col min="5" max="5" width="10" customWidth="1"/>
    <col min="6" max="6" width="36" customWidth="1"/>
  </cols>
  <sheetData>
    <row r="1" spans="1:6" ht="30" customHeight="1">
      <c r="A1" s="28" t="s">
        <v>125</v>
      </c>
      <c r="B1" s="28"/>
      <c r="C1" s="28"/>
      <c r="D1" s="28"/>
      <c r="E1" s="28"/>
      <c r="F1" s="28"/>
    </row>
    <row r="2" spans="1:6">
      <c r="A2" s="2"/>
      <c r="B2" s="2"/>
      <c r="C2" s="2"/>
      <c r="D2" s="2"/>
      <c r="E2" s="2"/>
      <c r="F2" s="2"/>
    </row>
    <row r="3" spans="1:6">
      <c r="A3" s="29" t="s">
        <v>126</v>
      </c>
      <c r="B3" s="29"/>
      <c r="C3" s="29"/>
      <c r="D3" s="29"/>
      <c r="E3" s="29"/>
      <c r="F3" s="29"/>
    </row>
    <row r="4" spans="1:6">
      <c r="A4" s="2"/>
      <c r="B4" s="2"/>
      <c r="C4" s="2"/>
      <c r="D4" s="2"/>
      <c r="E4" s="2"/>
      <c r="F4" s="2"/>
    </row>
    <row r="5" spans="1:6" s="20" customFormat="1">
      <c r="A5" s="19" t="s">
        <v>127</v>
      </c>
      <c r="B5" s="19" t="s">
        <v>128</v>
      </c>
      <c r="C5" s="19" t="s">
        <v>129</v>
      </c>
      <c r="D5" s="19" t="s">
        <v>94</v>
      </c>
      <c r="E5" s="19" t="s">
        <v>130</v>
      </c>
      <c r="F5" s="19" t="s">
        <v>131</v>
      </c>
    </row>
    <row r="6" spans="1:6">
      <c r="A6" s="5">
        <v>1</v>
      </c>
      <c r="B6" s="5"/>
      <c r="C6" s="5"/>
      <c r="D6" s="11"/>
      <c r="E6" s="11"/>
      <c r="F6" s="5"/>
    </row>
    <row r="7" spans="1:6">
      <c r="A7" s="5">
        <v>1</v>
      </c>
      <c r="B7" s="5"/>
      <c r="C7" s="5"/>
      <c r="D7" s="11"/>
      <c r="E7" s="11"/>
      <c r="F7" s="5"/>
    </row>
    <row r="8" spans="1:6">
      <c r="A8" s="5">
        <v>1</v>
      </c>
      <c r="B8" s="5"/>
      <c r="C8" s="5"/>
      <c r="D8" s="11"/>
      <c r="E8" s="11"/>
      <c r="F8" s="5"/>
    </row>
    <row r="9" spans="1:6">
      <c r="A9" s="5">
        <v>1</v>
      </c>
      <c r="B9" s="5"/>
      <c r="C9" s="5"/>
      <c r="D9" s="11"/>
      <c r="E9" s="11"/>
      <c r="F9" s="5"/>
    </row>
    <row r="10" spans="1:6">
      <c r="A10" s="5">
        <v>1</v>
      </c>
      <c r="B10" s="5"/>
      <c r="C10" s="5"/>
      <c r="D10" s="11"/>
      <c r="E10" s="11"/>
      <c r="F10" s="5"/>
    </row>
    <row r="11" spans="1:6">
      <c r="A11" s="5">
        <v>1</v>
      </c>
      <c r="B11" s="5"/>
      <c r="C11" s="5"/>
      <c r="D11" s="11"/>
      <c r="E11" s="11"/>
      <c r="F11" s="5"/>
    </row>
    <row r="12" spans="1:6">
      <c r="A12" s="5">
        <v>2</v>
      </c>
      <c r="B12" s="5"/>
      <c r="C12" s="5"/>
      <c r="D12" s="11"/>
      <c r="E12" s="11"/>
      <c r="F12" s="5"/>
    </row>
    <row r="13" spans="1:6">
      <c r="A13" s="5">
        <v>2</v>
      </c>
      <c r="B13" s="5"/>
      <c r="C13" s="5"/>
      <c r="D13" s="11"/>
      <c r="E13" s="11"/>
      <c r="F13" s="5"/>
    </row>
    <row r="14" spans="1:6">
      <c r="A14" s="5">
        <v>2</v>
      </c>
      <c r="B14" s="5"/>
      <c r="C14" s="5"/>
      <c r="D14" s="11"/>
      <c r="E14" s="11"/>
      <c r="F14" s="5"/>
    </row>
    <row r="15" spans="1:6">
      <c r="A15" s="5">
        <v>2</v>
      </c>
      <c r="B15" s="5"/>
      <c r="C15" s="5"/>
      <c r="D15" s="11"/>
      <c r="E15" s="11"/>
      <c r="F15" s="5"/>
    </row>
    <row r="16" spans="1:6">
      <c r="A16" s="5">
        <v>2</v>
      </c>
      <c r="B16" s="5"/>
      <c r="C16" s="5"/>
      <c r="D16" s="11"/>
      <c r="E16" s="11"/>
      <c r="F16" s="5"/>
    </row>
    <row r="17" spans="1:6">
      <c r="A17" s="5">
        <v>2</v>
      </c>
      <c r="B17" s="5"/>
      <c r="C17" s="5"/>
      <c r="D17" s="11"/>
      <c r="E17" s="11"/>
      <c r="F17" s="5"/>
    </row>
    <row r="18" spans="1:6">
      <c r="A18" s="5"/>
      <c r="B18" s="5"/>
      <c r="C18" s="5"/>
      <c r="D18" s="11"/>
      <c r="E18" s="11"/>
      <c r="F18" s="5"/>
    </row>
    <row r="19" spans="1:6">
      <c r="A19" s="5"/>
      <c r="B19" s="5"/>
      <c r="C19" s="5"/>
      <c r="D19" s="11"/>
      <c r="E19" s="11"/>
      <c r="F19" s="5"/>
    </row>
    <row r="20" spans="1:6">
      <c r="A20" s="5"/>
      <c r="B20" s="5"/>
      <c r="C20" s="5"/>
      <c r="D20" s="11"/>
      <c r="E20" s="11"/>
      <c r="F20" s="5"/>
    </row>
    <row r="21" spans="1:6">
      <c r="A21" s="5"/>
      <c r="B21" s="5"/>
      <c r="C21" s="5"/>
      <c r="D21" s="11"/>
      <c r="E21" s="11"/>
      <c r="F21" s="5"/>
    </row>
    <row r="22" spans="1:6">
      <c r="A22" s="5"/>
      <c r="B22" s="5"/>
      <c r="C22" s="5"/>
      <c r="D22" s="11"/>
      <c r="E22" s="11"/>
      <c r="F22" s="5"/>
    </row>
    <row r="23" spans="1:6">
      <c r="A23" s="5"/>
      <c r="B23" s="5"/>
      <c r="C23" s="5"/>
      <c r="D23" s="11"/>
      <c r="E23" s="11"/>
      <c r="F23" s="5"/>
    </row>
    <row r="24" spans="1:6">
      <c r="A24" s="5"/>
      <c r="B24" s="5"/>
      <c r="C24" s="5"/>
      <c r="D24" s="11"/>
      <c r="E24" s="11"/>
      <c r="F24" s="5"/>
    </row>
    <row r="25" spans="1:6">
      <c r="A25" s="5"/>
      <c r="B25" s="5"/>
      <c r="C25" s="5"/>
      <c r="D25" s="11"/>
      <c r="E25" s="11"/>
      <c r="F25" s="5"/>
    </row>
    <row r="26" spans="1:6">
      <c r="A26" s="5"/>
      <c r="B26" s="5"/>
      <c r="C26" s="5"/>
      <c r="D26" s="11"/>
      <c r="E26" s="11"/>
      <c r="F26" s="5"/>
    </row>
    <row r="27" spans="1:6">
      <c r="A27" s="5"/>
      <c r="B27" s="5"/>
      <c r="C27" s="5"/>
      <c r="D27" s="11"/>
      <c r="E27" s="11"/>
      <c r="F27" s="5"/>
    </row>
    <row r="28" spans="1:6">
      <c r="A28" s="5"/>
      <c r="B28" s="5"/>
      <c r="C28" s="5"/>
      <c r="D28" s="11"/>
      <c r="E28" s="11"/>
      <c r="F28" s="5"/>
    </row>
    <row r="29" spans="1:6">
      <c r="A29" s="5"/>
      <c r="B29" s="5"/>
      <c r="C29" s="5"/>
      <c r="D29" s="11"/>
      <c r="E29" s="11"/>
      <c r="F29" s="5"/>
    </row>
    <row r="30" spans="1:6">
      <c r="A30" s="5"/>
      <c r="B30" s="5"/>
      <c r="C30" s="5"/>
      <c r="D30" s="11"/>
      <c r="E30" s="11"/>
      <c r="F30" s="5"/>
    </row>
    <row r="31" spans="1:6">
      <c r="A31" s="5"/>
      <c r="B31" s="5"/>
      <c r="C31" s="5"/>
      <c r="D31" s="11"/>
      <c r="E31" s="11"/>
      <c r="F31" s="5"/>
    </row>
    <row r="32" spans="1:6">
      <c r="A32" s="5"/>
      <c r="B32" s="5"/>
      <c r="C32" s="5"/>
      <c r="D32" s="11"/>
      <c r="E32" s="11"/>
      <c r="F32" s="5"/>
    </row>
    <row r="33" spans="1:6">
      <c r="A33" s="5"/>
      <c r="B33" s="5"/>
      <c r="C33" s="5"/>
      <c r="D33" s="11"/>
      <c r="E33" s="11"/>
      <c r="F33" s="5"/>
    </row>
    <row r="34" spans="1:6">
      <c r="A34" s="5"/>
      <c r="B34" s="5"/>
      <c r="C34" s="5"/>
      <c r="D34" s="11"/>
      <c r="E34" s="11"/>
      <c r="F34" s="5"/>
    </row>
    <row r="35" spans="1:6">
      <c r="A35" s="5"/>
      <c r="B35" s="5"/>
      <c r="C35" s="5"/>
      <c r="D35" s="11"/>
      <c r="E35" s="11"/>
      <c r="F35" s="5"/>
    </row>
    <row r="36" spans="1:6">
      <c r="A36" s="5"/>
      <c r="B36" s="5"/>
      <c r="C36" s="5"/>
      <c r="D36" s="11"/>
      <c r="E36" s="11"/>
      <c r="F36" s="5"/>
    </row>
    <row r="37" spans="1:6">
      <c r="A37" s="5"/>
      <c r="B37" s="5"/>
      <c r="C37" s="5"/>
      <c r="D37" s="11"/>
      <c r="E37" s="11"/>
      <c r="F37" s="5"/>
    </row>
    <row r="38" spans="1:6">
      <c r="A38" s="5"/>
      <c r="B38" s="5"/>
      <c r="C38" s="5"/>
      <c r="D38" s="11"/>
      <c r="E38" s="11"/>
      <c r="F38" s="5"/>
    </row>
    <row r="39" spans="1:6">
      <c r="A39" s="5"/>
      <c r="B39" s="5"/>
      <c r="C39" s="5"/>
      <c r="D39" s="11"/>
      <c r="E39" s="11"/>
      <c r="F39" s="5"/>
    </row>
    <row r="40" spans="1:6">
      <c r="A40" s="5"/>
      <c r="B40" s="5"/>
      <c r="C40" s="5"/>
      <c r="D40" s="11"/>
      <c r="E40" s="11"/>
      <c r="F40" s="5"/>
    </row>
    <row r="41" spans="1:6">
      <c r="A41" s="5"/>
      <c r="B41" s="5"/>
      <c r="C41" s="5"/>
      <c r="D41" s="11"/>
      <c r="E41" s="11"/>
      <c r="F41" s="5"/>
    </row>
    <row r="42" spans="1:6">
      <c r="A42" s="5"/>
      <c r="B42" s="5"/>
      <c r="C42" s="5"/>
      <c r="D42" s="11"/>
      <c r="E42" s="11"/>
      <c r="F42" s="5"/>
    </row>
    <row r="43" spans="1:6">
      <c r="A43" s="5"/>
      <c r="B43" s="5"/>
      <c r="C43" s="5"/>
      <c r="D43" s="11"/>
      <c r="E43" s="11"/>
      <c r="F43" s="5"/>
    </row>
    <row r="44" spans="1:6">
      <c r="A44" s="5"/>
      <c r="B44" s="5"/>
      <c r="C44" s="5"/>
      <c r="D44" s="11"/>
      <c r="E44" s="11"/>
      <c r="F44" s="5"/>
    </row>
    <row r="45" spans="1:6">
      <c r="A45" s="5"/>
      <c r="B45" s="5"/>
      <c r="C45" s="5"/>
      <c r="D45" s="11"/>
      <c r="E45" s="11"/>
      <c r="F45" s="5"/>
    </row>
    <row r="46" spans="1:6">
      <c r="A46" s="5"/>
      <c r="B46" s="5"/>
      <c r="C46" s="5"/>
      <c r="D46" s="11"/>
      <c r="E46" s="11"/>
      <c r="F46" s="5"/>
    </row>
    <row r="47" spans="1:6">
      <c r="A47" s="5"/>
      <c r="B47" s="5"/>
      <c r="C47" s="5"/>
      <c r="D47" s="11"/>
      <c r="E47" s="11"/>
      <c r="F47" s="5"/>
    </row>
    <row r="48" spans="1:6">
      <c r="A48" s="5"/>
      <c r="B48" s="5"/>
      <c r="C48" s="5"/>
      <c r="D48" s="11"/>
      <c r="E48" s="11"/>
      <c r="F48" s="5"/>
    </row>
    <row r="49" spans="1:6">
      <c r="A49" s="5"/>
      <c r="B49" s="5"/>
      <c r="C49" s="5"/>
      <c r="D49" s="11"/>
      <c r="E49" s="11"/>
      <c r="F49" s="5"/>
    </row>
    <row r="50" spans="1:6">
      <c r="A50" s="5"/>
      <c r="B50" s="5"/>
      <c r="C50" s="5"/>
      <c r="D50" s="11"/>
      <c r="E50" s="11"/>
      <c r="F50" s="5"/>
    </row>
    <row r="51" spans="1:6">
      <c r="A51" s="5"/>
      <c r="B51" s="5"/>
      <c r="C51" s="5"/>
      <c r="D51" s="11"/>
      <c r="E51" s="11"/>
      <c r="F51" s="5"/>
    </row>
    <row r="52" spans="1:6">
      <c r="A52" s="5"/>
      <c r="B52" s="5"/>
      <c r="C52" s="5"/>
      <c r="D52" s="11"/>
      <c r="E52" s="11"/>
      <c r="F52" s="5"/>
    </row>
    <row r="53" spans="1:6">
      <c r="A53" s="5"/>
      <c r="B53" s="5"/>
      <c r="C53" s="5"/>
      <c r="D53" s="11"/>
      <c r="E53" s="11"/>
      <c r="F53" s="5"/>
    </row>
    <row r="54" spans="1:6">
      <c r="A54" s="5"/>
      <c r="B54" s="5"/>
      <c r="C54" s="5"/>
      <c r="D54" s="11"/>
      <c r="E54" s="11"/>
      <c r="F54" s="5"/>
    </row>
    <row r="55" spans="1:6">
      <c r="A55" s="5"/>
      <c r="B55" s="5"/>
      <c r="C55" s="5"/>
      <c r="D55" s="11"/>
      <c r="E55" s="11"/>
      <c r="F55" s="5"/>
    </row>
    <row r="56" spans="1:6">
      <c r="A56" s="5"/>
      <c r="B56" s="5"/>
      <c r="C56" s="5"/>
      <c r="D56" s="11"/>
      <c r="E56" s="11"/>
      <c r="F56" s="5"/>
    </row>
    <row r="57" spans="1:6">
      <c r="A57" s="5"/>
      <c r="B57" s="5"/>
      <c r="C57" s="5"/>
      <c r="D57" s="11"/>
      <c r="E57" s="11"/>
      <c r="F57" s="5"/>
    </row>
    <row r="58" spans="1:6">
      <c r="A58" s="5"/>
      <c r="B58" s="5"/>
      <c r="C58" s="5"/>
      <c r="D58" s="11"/>
      <c r="E58" s="11"/>
      <c r="F58" s="5"/>
    </row>
    <row r="59" spans="1:6">
      <c r="A59" s="5"/>
      <c r="B59" s="5"/>
      <c r="C59" s="5"/>
      <c r="D59" s="11"/>
      <c r="E59" s="11"/>
      <c r="F59" s="5"/>
    </row>
    <row r="60" spans="1:6">
      <c r="A60" s="5"/>
      <c r="B60" s="5"/>
      <c r="C60" s="5"/>
      <c r="D60" s="11"/>
      <c r="E60" s="11"/>
      <c r="F60" s="5"/>
    </row>
    <row r="61" spans="1:6">
      <c r="A61" s="5"/>
      <c r="B61" s="5"/>
      <c r="C61" s="5"/>
      <c r="D61" s="11"/>
      <c r="E61" s="11"/>
      <c r="F61" s="5"/>
    </row>
    <row r="62" spans="1:6">
      <c r="A62" s="5"/>
      <c r="B62" s="5"/>
      <c r="C62" s="5"/>
      <c r="D62" s="11"/>
      <c r="E62" s="11"/>
      <c r="F62" s="5"/>
    </row>
    <row r="63" spans="1:6">
      <c r="A63" s="5"/>
      <c r="B63" s="5"/>
      <c r="C63" s="5"/>
      <c r="D63" s="11"/>
      <c r="E63" s="11"/>
      <c r="F63" s="5"/>
    </row>
    <row r="64" spans="1:6">
      <c r="A64" s="5"/>
      <c r="B64" s="5"/>
      <c r="C64" s="5"/>
      <c r="D64" s="11"/>
      <c r="E64" s="11"/>
      <c r="F64" s="5"/>
    </row>
    <row r="65" spans="1:6">
      <c r="A65" s="5"/>
      <c r="B65" s="5"/>
      <c r="C65" s="5"/>
      <c r="D65" s="11"/>
      <c r="E65" s="11"/>
      <c r="F65" s="5"/>
    </row>
    <row r="66" spans="1:6">
      <c r="A66" s="5"/>
      <c r="B66" s="5"/>
      <c r="C66" s="5"/>
      <c r="D66" s="11"/>
      <c r="E66" s="11"/>
      <c r="F66" s="5"/>
    </row>
    <row r="67" spans="1:6">
      <c r="A67" s="5"/>
      <c r="B67" s="5"/>
      <c r="C67" s="5"/>
      <c r="D67" s="11"/>
      <c r="E67" s="11"/>
      <c r="F67" s="5"/>
    </row>
    <row r="68" spans="1:6">
      <c r="A68" s="5"/>
      <c r="B68" s="5"/>
      <c r="C68" s="5"/>
      <c r="D68" s="11"/>
      <c r="E68" s="11"/>
      <c r="F68" s="5"/>
    </row>
    <row r="69" spans="1:6">
      <c r="A69" s="5"/>
      <c r="B69" s="5"/>
      <c r="C69" s="5"/>
      <c r="D69" s="11"/>
      <c r="E69" s="11"/>
      <c r="F69" s="5"/>
    </row>
    <row r="70" spans="1:6">
      <c r="A70" s="5"/>
      <c r="B70" s="5"/>
      <c r="C70" s="5"/>
      <c r="D70" s="11"/>
      <c r="E70" s="11"/>
      <c r="F70" s="5"/>
    </row>
    <row r="71" spans="1:6">
      <c r="A71" s="5"/>
      <c r="B71" s="5"/>
      <c r="C71" s="5"/>
      <c r="D71" s="11"/>
      <c r="E71" s="11"/>
      <c r="F71" s="5"/>
    </row>
    <row r="72" spans="1:6">
      <c r="A72" s="5"/>
      <c r="B72" s="5"/>
      <c r="C72" s="5"/>
      <c r="D72" s="11"/>
      <c r="E72" s="11"/>
      <c r="F72" s="5"/>
    </row>
    <row r="73" spans="1:6">
      <c r="A73" s="5"/>
      <c r="B73" s="5"/>
      <c r="C73" s="5"/>
      <c r="D73" s="11"/>
      <c r="E73" s="11"/>
      <c r="F73" s="5"/>
    </row>
    <row r="74" spans="1:6">
      <c r="A74" s="5"/>
      <c r="B74" s="5"/>
      <c r="C74" s="5"/>
      <c r="D74" s="11"/>
      <c r="E74" s="11"/>
      <c r="F74" s="5"/>
    </row>
    <row r="75" spans="1:6">
      <c r="A75" s="5"/>
      <c r="B75" s="5"/>
      <c r="C75" s="5"/>
      <c r="D75" s="11"/>
      <c r="E75" s="11"/>
      <c r="F75" s="5"/>
    </row>
    <row r="76" spans="1:6">
      <c r="A76" s="5"/>
      <c r="B76" s="5"/>
      <c r="C76" s="5"/>
      <c r="D76" s="11"/>
      <c r="E76" s="11"/>
      <c r="F76" s="5"/>
    </row>
    <row r="77" spans="1:6">
      <c r="A77" s="5"/>
      <c r="B77" s="5"/>
      <c r="C77" s="5"/>
      <c r="D77" s="11"/>
      <c r="E77" s="11"/>
      <c r="F77" s="5"/>
    </row>
    <row r="78" spans="1:6">
      <c r="A78" s="5"/>
      <c r="B78" s="5"/>
      <c r="C78" s="5"/>
      <c r="D78" s="11"/>
      <c r="E78" s="11"/>
      <c r="F78" s="5"/>
    </row>
    <row r="79" spans="1:6">
      <c r="A79" s="5"/>
      <c r="B79" s="5"/>
      <c r="C79" s="5"/>
      <c r="D79" s="11"/>
      <c r="E79" s="11"/>
      <c r="F79" s="5"/>
    </row>
    <row r="80" spans="1:6">
      <c r="A80" s="5"/>
      <c r="B80" s="5"/>
      <c r="C80" s="5"/>
      <c r="D80" s="11"/>
      <c r="E80" s="11"/>
      <c r="F80" s="5"/>
    </row>
    <row r="81" spans="1:6">
      <c r="A81" s="5"/>
      <c r="B81" s="5"/>
      <c r="C81" s="5"/>
      <c r="D81" s="11"/>
      <c r="E81" s="11"/>
      <c r="F81" s="5"/>
    </row>
    <row r="82" spans="1:6">
      <c r="A82" s="5"/>
      <c r="B82" s="5"/>
      <c r="C82" s="5"/>
      <c r="D82" s="11"/>
      <c r="E82" s="11"/>
      <c r="F82" s="5"/>
    </row>
    <row r="83" spans="1:6">
      <c r="A83" s="5"/>
      <c r="B83" s="5"/>
      <c r="C83" s="5"/>
      <c r="D83" s="11"/>
      <c r="E83" s="11"/>
      <c r="F83" s="5"/>
    </row>
    <row r="84" spans="1:6">
      <c r="A84" s="5"/>
      <c r="B84" s="5"/>
      <c r="C84" s="5"/>
      <c r="D84" s="11"/>
      <c r="E84" s="11"/>
      <c r="F84" s="5"/>
    </row>
    <row r="85" spans="1:6">
      <c r="A85" s="5"/>
      <c r="B85" s="5"/>
      <c r="C85" s="5"/>
      <c r="D85" s="11"/>
      <c r="E85" s="11"/>
      <c r="F85" s="5"/>
    </row>
    <row r="86" spans="1:6">
      <c r="A86" s="5"/>
      <c r="B86" s="5"/>
      <c r="C86" s="5"/>
      <c r="D86" s="11"/>
      <c r="E86" s="11"/>
      <c r="F86" s="5"/>
    </row>
    <row r="87" spans="1:6">
      <c r="A87" s="5"/>
      <c r="B87" s="5"/>
      <c r="C87" s="5"/>
      <c r="D87" s="11"/>
      <c r="E87" s="11"/>
      <c r="F87" s="5"/>
    </row>
    <row r="88" spans="1:6">
      <c r="A88" s="5"/>
      <c r="B88" s="5"/>
      <c r="C88" s="5"/>
      <c r="D88" s="11"/>
      <c r="E88" s="11"/>
      <c r="F88" s="5"/>
    </row>
    <row r="89" spans="1:6">
      <c r="A89" s="5"/>
      <c r="B89" s="5"/>
      <c r="C89" s="5"/>
      <c r="D89" s="11"/>
      <c r="E89" s="11"/>
      <c r="F89" s="5"/>
    </row>
    <row r="90" spans="1:6">
      <c r="A90" s="5"/>
      <c r="B90" s="5"/>
      <c r="C90" s="5"/>
      <c r="D90" s="11" t="str">
        <f>IFERROR(INDEX(Рецепты!$P$5:$P$14,MATCH($C90,Рецепты!$Q$5:$Q$14,0)),"")</f>
        <v/>
      </c>
      <c r="E90" s="11" t="str">
        <f>IF($C90="","",Ввод!$B$4)</f>
        <v/>
      </c>
      <c r="F90" s="5"/>
    </row>
    <row r="91" spans="1:6">
      <c r="A91" s="5"/>
      <c r="B91" s="5"/>
      <c r="C91" s="5"/>
      <c r="D91" s="11" t="str">
        <f>IFERROR(INDEX(Рецепты!$P$5:$P$14,MATCH($C91,Рецепты!$Q$5:$Q$14,0)),"")</f>
        <v/>
      </c>
      <c r="E91" s="11" t="str">
        <f>IF($C91="","",Ввод!$B$4)</f>
        <v/>
      </c>
      <c r="F91" s="5"/>
    </row>
    <row r="92" spans="1:6">
      <c r="A92" s="5"/>
      <c r="B92" s="5"/>
      <c r="C92" s="5"/>
      <c r="D92" s="11" t="str">
        <f>IFERROR(INDEX(Рецепты!$P$5:$P$14,MATCH($C92,Рецепты!$Q$5:$Q$14,0)),"")</f>
        <v/>
      </c>
      <c r="E92" s="11" t="str">
        <f>IF($C92="","",Ввод!$B$4)</f>
        <v/>
      </c>
      <c r="F92" s="5"/>
    </row>
    <row r="93" spans="1:6">
      <c r="A93" s="5"/>
      <c r="B93" s="5"/>
      <c r="C93" s="5"/>
      <c r="D93" s="11" t="str">
        <f>IFERROR(INDEX(Рецепты!$P$5:$P$14,MATCH($C93,Рецепты!$Q$5:$Q$14,0)),"")</f>
        <v/>
      </c>
      <c r="E93" s="11" t="str">
        <f>IF($C93="","",Ввод!$B$4)</f>
        <v/>
      </c>
      <c r="F93" s="5"/>
    </row>
    <row r="94" spans="1:6">
      <c r="A94" s="5"/>
      <c r="B94" s="5"/>
      <c r="C94" s="5"/>
      <c r="D94" s="11" t="str">
        <f>IFERROR(INDEX(Рецепты!$P$5:$P$14,MATCH($C94,Рецепты!$Q$5:$Q$14,0)),"")</f>
        <v/>
      </c>
      <c r="E94" s="11" t="str">
        <f>IF($C94="","",Ввод!$B$4)</f>
        <v/>
      </c>
      <c r="F94" s="5"/>
    </row>
    <row r="95" spans="1:6">
      <c r="A95" s="5"/>
      <c r="B95" s="5"/>
      <c r="C95" s="5"/>
      <c r="D95" s="11" t="str">
        <f>IFERROR(INDEX(Рецепты!$P$5:$P$14,MATCH($C95,Рецепты!$Q$5:$Q$14,0)),"")</f>
        <v/>
      </c>
      <c r="E95" s="11" t="str">
        <f>IF($C95="","",Ввод!$B$4)</f>
        <v/>
      </c>
      <c r="F95" s="5"/>
    </row>
  </sheetData>
  <mergeCells count="2">
    <mergeCell ref="A1:F1"/>
    <mergeCell ref="A3:F3"/>
  </mergeCells>
  <dataValidations count="3">
    <dataValidation type="whole" sqref="A6:A95">
      <formula1>1</formula1>
      <formula2>365</formula2>
    </dataValidation>
    <dataValidation type="list" sqref="B6:B95">
      <formula1>"Завтрак,Обед,Ужин"</formula1>
    </dataValidation>
    <dataValidation type="whole" sqref="E6:E95">
      <formula1>1</formula1>
      <formula2>100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>
          <x14:formula1>
            <xm:f>Рецепты!$Q$5:$Q$14</xm:f>
          </x14:formula1>
          <xm:sqref>C6:C95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25"/>
  <sheetViews>
    <sheetView showGridLines="0" zoomScale="40" zoomScaleNormal="40" workbookViewId="0">
      <pane ySplit="5" topLeftCell="A45" activePane="bottomLeft" state="frozen"/>
      <selection pane="bottomLeft" activeCell="E5" sqref="E5"/>
    </sheetView>
  </sheetViews>
  <sheetFormatPr defaultRowHeight="14.25"/>
  <cols>
    <col min="1" max="1" width="7.875" customWidth="1"/>
    <col min="2" max="2" width="14" customWidth="1"/>
    <col min="3" max="3" width="25" customWidth="1"/>
    <col min="4" max="4" width="12" customWidth="1"/>
    <col min="5" max="5" width="10" customWidth="1"/>
    <col min="6" max="6" width="25" customWidth="1"/>
    <col min="7" max="7" width="7.875" customWidth="1"/>
    <col min="8" max="8" width="14" customWidth="1"/>
    <col min="9" max="9" width="10" customWidth="1"/>
    <col min="10" max="10" width="12" customWidth="1"/>
    <col min="11" max="12" width="11" customWidth="1"/>
    <col min="13" max="14" width="10" customWidth="1"/>
    <col min="15" max="15" width="26" customWidth="1"/>
  </cols>
  <sheetData>
    <row r="1" spans="1:15" ht="30" customHeight="1">
      <c r="A1" s="28" t="s">
        <v>132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9" t="s">
        <v>133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s="20" customFormat="1">
      <c r="A5" s="19" t="s">
        <v>127</v>
      </c>
      <c r="B5" s="19" t="s">
        <v>128</v>
      </c>
      <c r="C5" s="19" t="s">
        <v>129</v>
      </c>
      <c r="D5" s="19" t="s">
        <v>94</v>
      </c>
      <c r="E5" s="19" t="s">
        <v>98</v>
      </c>
      <c r="F5" s="19" t="s">
        <v>59</v>
      </c>
      <c r="G5" s="19" t="s">
        <v>100</v>
      </c>
      <c r="H5" s="19" t="s">
        <v>99</v>
      </c>
      <c r="I5" s="19" t="s">
        <v>130</v>
      </c>
      <c r="J5" s="19" t="s">
        <v>134</v>
      </c>
      <c r="K5" s="19" t="s">
        <v>135</v>
      </c>
      <c r="L5" s="19" t="s">
        <v>136</v>
      </c>
      <c r="M5" s="19" t="s">
        <v>137</v>
      </c>
      <c r="N5" s="19" t="s">
        <v>138</v>
      </c>
      <c r="O5" s="19" t="s">
        <v>69</v>
      </c>
    </row>
    <row r="6" spans="1:15">
      <c r="A6" s="3" t="str">
        <f>IF($E6="","",Меню!$A$6)</f>
        <v/>
      </c>
      <c r="B6" s="3" t="str">
        <f>IF($E6="","",Меню!$B$6)</f>
        <v/>
      </c>
      <c r="C6" s="3" t="str">
        <f>IF($E6="","",Меню!$C$6)</f>
        <v/>
      </c>
      <c r="D6" s="3" t="str">
        <f>IF($E6="","",Меню!$D$6)</f>
        <v/>
      </c>
      <c r="E6" s="3" t="str">
        <f>IFERROR(IF(IFERROR(INDEX(Рецепты!$H$6:$H$85,MATCH(Меню!$D$6,Рецепты!$H$6:$H$85,0)+0)=Меню!$D$6,FALSE),INDEX(Рецепты!$J$6:$J$85,MATCH(Меню!$D$6,Рецепты!$H$6:$H$85,0)+0),""),"")</f>
        <v/>
      </c>
      <c r="F6" s="3" t="str">
        <f>IF($E6="","",INDEX(Рецепты!$K$6:$K$85,MATCH(Меню!$D$6,Рецепты!$H$6:$H$85,0)+0))</f>
        <v/>
      </c>
      <c r="G6" s="3" t="str">
        <f>IF($E6="","",INDEX(Рецепты!$M$6:$M$85,MATCH(Меню!$D$6,Рецепты!$H$6:$H$85,0)+0))</f>
        <v/>
      </c>
      <c r="H6" s="12">
        <f>IFERROR(IF(IFERROR(INDEX(Рецепты!$H$6:$H$85,MATCH(Меню!$D$6,Рецепты!$H$6:$H$85,0)+0)=Меню!$D$6,FALSE),INDEX(Рецепты!$L$6:$L$85,MATCH(Меню!$D$6,Рецепты!$H$6:$H$85,0)+0),0),0)</f>
        <v>0</v>
      </c>
      <c r="I6" s="12" t="str">
        <f>IF($F6="","",Меню!$E$6)</f>
        <v/>
      </c>
      <c r="J6" s="12">
        <f t="shared" ref="J6:J69" si="0">IFERROR($H6*$I6,0)</f>
        <v>0</v>
      </c>
      <c r="K6" s="12">
        <f>IFERROR($J6/100*INDEX(Продукты!$G$6:$G$66,MATCH($E6,Продукты!$A$6:$A$66,0)),0)</f>
        <v>0</v>
      </c>
      <c r="L6" s="12">
        <f>IFERROR($J6/100*INDEX(Продукты!$H$6:$H$66,MATCH($E6,Продукты!$A$6:$A$66,0)),0)</f>
        <v>0</v>
      </c>
      <c r="M6" s="12">
        <f>IFERROR($J6/100*INDEX(Продукты!$I$6:$I$66,MATCH($E6,Продукты!$A$6:$A$66,0)),0)</f>
        <v>0</v>
      </c>
      <c r="N6" s="12">
        <f>IFERROR($J6/100*INDEX(Продукты!$J$6:$J$66,MATCH($E6,Продукты!$A$6:$A$66,0)),0)</f>
        <v>0</v>
      </c>
      <c r="O6" s="3" t="str">
        <f>IFERROR(IF(IFERROR(INDEX(Рецепты!$H$6:$H$85,MATCH(Меню!$D$6,Рецепты!$H$6:$H$85,0)+0)=Меню!$D$6,FALSE),INDEX(Рецепты!$N$6:$N$85,MATCH(Меню!$D$6,Рецепты!$H$6:$H$85,0)+0),""),"")</f>
        <v/>
      </c>
    </row>
    <row r="7" spans="1:15">
      <c r="A7" s="3" t="str">
        <f>IF($E7="","",Меню!$A$6)</f>
        <v/>
      </c>
      <c r="B7" s="3" t="str">
        <f>IF($E7="","",Меню!$B$6)</f>
        <v/>
      </c>
      <c r="C7" s="3" t="str">
        <f>IF($E7="","",Меню!$C$6)</f>
        <v/>
      </c>
      <c r="D7" s="3" t="str">
        <f>IF($E7="","",Меню!$D$6)</f>
        <v/>
      </c>
      <c r="E7" s="3" t="str">
        <f>IFERROR(IF(IFERROR(INDEX(Рецепты!$H$6:$H$85,MATCH(Меню!$D$6,Рецепты!$H$6:$H$85,0)+1)=Меню!$D$6,FALSE),INDEX(Рецепты!$J$6:$J$85,MATCH(Меню!$D$6,Рецепты!$H$6:$H$85,0)+1),""),"")</f>
        <v/>
      </c>
      <c r="F7" s="3" t="str">
        <f>IF($E7="","",INDEX(Рецепты!$K$6:$K$85,MATCH(Меню!$D$6,Рецепты!$H$6:$H$85,0)+1))</f>
        <v/>
      </c>
      <c r="G7" s="3" t="str">
        <f>IF($E7="","",INDEX(Рецепты!$M$6:$M$85,MATCH(Меню!$D$6,Рецепты!$H$6:$H$85,0)+1))</f>
        <v/>
      </c>
      <c r="H7" s="12">
        <f>IFERROR(IF(IFERROR(INDEX(Рецепты!$H$6:$H$85,MATCH(Меню!$D$6,Рецепты!$H$6:$H$85,0)+1)=Меню!$D$6,FALSE),INDEX(Рецепты!$L$6:$L$85,MATCH(Меню!$D$6,Рецепты!$H$6:$H$85,0)+1),0),0)</f>
        <v>0</v>
      </c>
      <c r="I7" s="12" t="str">
        <f>IF($F7="","",Меню!$E$6)</f>
        <v/>
      </c>
      <c r="J7" s="12">
        <f t="shared" si="0"/>
        <v>0</v>
      </c>
      <c r="K7" s="12">
        <f>IFERROR($J7/100*INDEX(Продукты!$G$6:$G$66,MATCH($E7,Продукты!$A$6:$A$66,0)),0)</f>
        <v>0</v>
      </c>
      <c r="L7" s="12">
        <f>IFERROR($J7/100*INDEX(Продукты!$H$6:$H$66,MATCH($E7,Продукты!$A$6:$A$66,0)),0)</f>
        <v>0</v>
      </c>
      <c r="M7" s="12">
        <f>IFERROR($J7/100*INDEX(Продукты!$I$6:$I$66,MATCH($E7,Продукты!$A$6:$A$66,0)),0)</f>
        <v>0</v>
      </c>
      <c r="N7" s="12">
        <f>IFERROR($J7/100*INDEX(Продукты!$J$6:$J$66,MATCH($E7,Продукты!$A$6:$A$66,0)),0)</f>
        <v>0</v>
      </c>
      <c r="O7" s="3" t="str">
        <f>IFERROR(IF(IFERROR(INDEX(Рецепты!$H$6:$H$85,MATCH(Меню!$D$6,Рецепты!$H$6:$H$85,0)+1)=Меню!$D$6,FALSE),INDEX(Рецепты!$N$6:$N$85,MATCH(Меню!$D$6,Рецепты!$H$6:$H$85,0)+1),""),"")</f>
        <v/>
      </c>
    </row>
    <row r="8" spans="1:15">
      <c r="A8" s="3" t="str">
        <f>IF($E8="","",Меню!$A$6)</f>
        <v/>
      </c>
      <c r="B8" s="3" t="str">
        <f>IF($E8="","",Меню!$B$6)</f>
        <v/>
      </c>
      <c r="C8" s="3" t="str">
        <f>IF($E8="","",Меню!$C$6)</f>
        <v/>
      </c>
      <c r="D8" s="3" t="str">
        <f>IF($E8="","",Меню!$D$6)</f>
        <v/>
      </c>
      <c r="E8" s="3" t="str">
        <f>IFERROR(IF(IFERROR(INDEX(Рецепты!$H$6:$H$85,MATCH(Меню!$D$6,Рецепты!$H$6:$H$85,0)+2)=Меню!$D$6,FALSE),INDEX(Рецепты!$J$6:$J$85,MATCH(Меню!$D$6,Рецепты!$H$6:$H$85,0)+2),""),"")</f>
        <v/>
      </c>
      <c r="F8" s="3" t="str">
        <f>IF($E8="","",INDEX(Рецепты!$K$6:$K$85,MATCH(Меню!$D$6,Рецепты!$H$6:$H$85,0)+2))</f>
        <v/>
      </c>
      <c r="G8" s="3" t="str">
        <f>IF($E8="","",INDEX(Рецепты!$M$6:$M$85,MATCH(Меню!$D$6,Рецепты!$H$6:$H$85,0)+2))</f>
        <v/>
      </c>
      <c r="H8" s="12">
        <f>IFERROR(IF(IFERROR(INDEX(Рецепты!$H$6:$H$85,MATCH(Меню!$D$6,Рецепты!$H$6:$H$85,0)+2)=Меню!$D$6,FALSE),INDEX(Рецепты!$L$6:$L$85,MATCH(Меню!$D$6,Рецепты!$H$6:$H$85,0)+2),0),0)</f>
        <v>0</v>
      </c>
      <c r="I8" s="12" t="str">
        <f>IF($F8="","",Меню!$E$6)</f>
        <v/>
      </c>
      <c r="J8" s="12">
        <f t="shared" si="0"/>
        <v>0</v>
      </c>
      <c r="K8" s="12">
        <f>IFERROR($J8/100*INDEX(Продукты!$G$6:$G$66,MATCH($E8,Продукты!$A$6:$A$66,0)),0)</f>
        <v>0</v>
      </c>
      <c r="L8" s="12">
        <f>IFERROR($J8/100*INDEX(Продукты!$H$6:$H$66,MATCH($E8,Продукты!$A$6:$A$66,0)),0)</f>
        <v>0</v>
      </c>
      <c r="M8" s="12">
        <f>IFERROR($J8/100*INDEX(Продукты!$I$6:$I$66,MATCH($E8,Продукты!$A$6:$A$66,0)),0)</f>
        <v>0</v>
      </c>
      <c r="N8" s="12">
        <f>IFERROR($J8/100*INDEX(Продукты!$J$6:$J$66,MATCH($E8,Продукты!$A$6:$A$66,0)),0)</f>
        <v>0</v>
      </c>
      <c r="O8" s="3" t="str">
        <f>IFERROR(IF(IFERROR(INDEX(Рецепты!$H$6:$H$85,MATCH(Меню!$D$6,Рецепты!$H$6:$H$85,0)+2)=Меню!$D$6,FALSE),INDEX(Рецепты!$N$6:$N$85,MATCH(Меню!$D$6,Рецепты!$H$6:$H$85,0)+2),""),"")</f>
        <v/>
      </c>
    </row>
    <row r="9" spans="1:15">
      <c r="A9" s="3" t="str">
        <f>IF($E9="","",Меню!$A$6)</f>
        <v/>
      </c>
      <c r="B9" s="3" t="str">
        <f>IF($E9="","",Меню!$B$6)</f>
        <v/>
      </c>
      <c r="C9" s="3" t="str">
        <f>IF($E9="","",Меню!$C$6)</f>
        <v/>
      </c>
      <c r="D9" s="3" t="str">
        <f>IF($E9="","",Меню!$D$6)</f>
        <v/>
      </c>
      <c r="E9" s="3" t="str">
        <f>IFERROR(IF(IFERROR(INDEX(Рецепты!$H$6:$H$85,MATCH(Меню!$D$6,Рецепты!$H$6:$H$85,0)+3)=Меню!$D$6,FALSE),INDEX(Рецепты!$J$6:$J$85,MATCH(Меню!$D$6,Рецепты!$H$6:$H$85,0)+3),""),"")</f>
        <v/>
      </c>
      <c r="F9" s="3" t="str">
        <f>IF($E9="","",INDEX(Рецепты!$K$6:$K$85,MATCH(Меню!$D$6,Рецепты!$H$6:$H$85,0)+3))</f>
        <v/>
      </c>
      <c r="G9" s="3" t="str">
        <f>IF($E9="","",INDEX(Рецепты!$M$6:$M$85,MATCH(Меню!$D$6,Рецепты!$H$6:$H$85,0)+3))</f>
        <v/>
      </c>
      <c r="H9" s="12">
        <f>IFERROR(IF(IFERROR(INDEX(Рецепты!$H$6:$H$85,MATCH(Меню!$D$6,Рецепты!$H$6:$H$85,0)+3)=Меню!$D$6,FALSE),INDEX(Рецепты!$L$6:$L$85,MATCH(Меню!$D$6,Рецепты!$H$6:$H$85,0)+3),0),0)</f>
        <v>0</v>
      </c>
      <c r="I9" s="12" t="str">
        <f>IF($F9="","",Меню!$E$6)</f>
        <v/>
      </c>
      <c r="J9" s="12">
        <f t="shared" si="0"/>
        <v>0</v>
      </c>
      <c r="K9" s="12">
        <f>IFERROR($J9/100*INDEX(Продукты!$G$6:$G$66,MATCH($E9,Продукты!$A$6:$A$66,0)),0)</f>
        <v>0</v>
      </c>
      <c r="L9" s="12">
        <f>IFERROR($J9/100*INDEX(Продукты!$H$6:$H$66,MATCH($E9,Продукты!$A$6:$A$66,0)),0)</f>
        <v>0</v>
      </c>
      <c r="M9" s="12">
        <f>IFERROR($J9/100*INDEX(Продукты!$I$6:$I$66,MATCH($E9,Продукты!$A$6:$A$66,0)),0)</f>
        <v>0</v>
      </c>
      <c r="N9" s="12">
        <f>IFERROR($J9/100*INDEX(Продукты!$J$6:$J$66,MATCH($E9,Продукты!$A$6:$A$66,0)),0)</f>
        <v>0</v>
      </c>
      <c r="O9" s="3" t="str">
        <f>IFERROR(IF(IFERROR(INDEX(Рецепты!$H$6:$H$85,MATCH(Меню!$D$6,Рецепты!$H$6:$H$85,0)+3)=Меню!$D$6,FALSE),INDEX(Рецепты!$N$6:$N$85,MATCH(Меню!$D$6,Рецепты!$H$6:$H$85,0)+3),""),"")</f>
        <v/>
      </c>
    </row>
    <row r="10" spans="1:15">
      <c r="A10" s="3" t="str">
        <f>IF($E10="","",Меню!$A$6)</f>
        <v/>
      </c>
      <c r="B10" s="3" t="str">
        <f>IF($E10="","",Меню!$B$6)</f>
        <v/>
      </c>
      <c r="C10" s="3" t="str">
        <f>IF($E10="","",Меню!$C$6)</f>
        <v/>
      </c>
      <c r="D10" s="3" t="str">
        <f>IF($E10="","",Меню!$D$6)</f>
        <v/>
      </c>
      <c r="E10" s="3" t="str">
        <f>IFERROR(IF(IFERROR(INDEX(Рецепты!$H$6:$H$85,MATCH(Меню!$D$6,Рецепты!$H$6:$H$85,0)+4)=Меню!$D$6,FALSE),INDEX(Рецепты!$J$6:$J$85,MATCH(Меню!$D$6,Рецепты!$H$6:$H$85,0)+4),""),"")</f>
        <v/>
      </c>
      <c r="F10" s="3" t="str">
        <f>IF($E10="","",INDEX(Рецепты!$K$6:$K$85,MATCH(Меню!$D$6,Рецепты!$H$6:$H$85,0)+4))</f>
        <v/>
      </c>
      <c r="G10" s="3" t="str">
        <f>IF($E10="","",INDEX(Рецепты!$M$6:$M$85,MATCH(Меню!$D$6,Рецепты!$H$6:$H$85,0)+4))</f>
        <v/>
      </c>
      <c r="H10" s="12">
        <f>IFERROR(IF(IFERROR(INDEX(Рецепты!$H$6:$H$85,MATCH(Меню!$D$6,Рецепты!$H$6:$H$85,0)+4)=Меню!$D$6,FALSE),INDEX(Рецепты!$L$6:$L$85,MATCH(Меню!$D$6,Рецепты!$H$6:$H$85,0)+4),0),0)</f>
        <v>0</v>
      </c>
      <c r="I10" s="12" t="str">
        <f>IF($F10="","",Меню!$E$6)</f>
        <v/>
      </c>
      <c r="J10" s="12">
        <f t="shared" si="0"/>
        <v>0</v>
      </c>
      <c r="K10" s="12">
        <f>IFERROR($J10/100*INDEX(Продукты!$G$6:$G$66,MATCH($E10,Продукты!$A$6:$A$66,0)),0)</f>
        <v>0</v>
      </c>
      <c r="L10" s="12">
        <f>IFERROR($J10/100*INDEX(Продукты!$H$6:$H$66,MATCH($E10,Продукты!$A$6:$A$66,0)),0)</f>
        <v>0</v>
      </c>
      <c r="M10" s="12">
        <f>IFERROR($J10/100*INDEX(Продукты!$I$6:$I$66,MATCH($E10,Продукты!$A$6:$A$66,0)),0)</f>
        <v>0</v>
      </c>
      <c r="N10" s="12">
        <f>IFERROR($J10/100*INDEX(Продукты!$J$6:$J$66,MATCH($E10,Продукты!$A$6:$A$66,0)),0)</f>
        <v>0</v>
      </c>
      <c r="O10" s="3" t="str">
        <f>IFERROR(IF(IFERROR(INDEX(Рецепты!$H$6:$H$85,MATCH(Меню!$D$6,Рецепты!$H$6:$H$85,0)+4)=Меню!$D$6,FALSE),INDEX(Рецепты!$N$6:$N$85,MATCH(Меню!$D$6,Рецепты!$H$6:$H$85,0)+4),""),"")</f>
        <v/>
      </c>
    </row>
    <row r="11" spans="1:15">
      <c r="A11" s="3" t="str">
        <f>IF($E11="","",Меню!$A$6)</f>
        <v/>
      </c>
      <c r="B11" s="3" t="str">
        <f>IF($E11="","",Меню!$B$6)</f>
        <v/>
      </c>
      <c r="C11" s="3" t="str">
        <f>IF($E11="","",Меню!$C$6)</f>
        <v/>
      </c>
      <c r="D11" s="3" t="str">
        <f>IF($E11="","",Меню!$D$6)</f>
        <v/>
      </c>
      <c r="E11" s="3" t="str">
        <f>IFERROR(IF(IFERROR(INDEX(Рецепты!$H$6:$H$85,MATCH(Меню!$D$6,Рецепты!$H$6:$H$85,0)+5)=Меню!$D$6,FALSE),INDEX(Рецепты!$J$6:$J$85,MATCH(Меню!$D$6,Рецепты!$H$6:$H$85,0)+5),""),"")</f>
        <v/>
      </c>
      <c r="F11" s="3" t="str">
        <f>IF($E11="","",INDEX(Рецепты!$K$6:$K$85,MATCH(Меню!$D$6,Рецепты!$H$6:$H$85,0)+5))</f>
        <v/>
      </c>
      <c r="G11" s="3" t="str">
        <f>IF($E11="","",INDEX(Рецепты!$M$6:$M$85,MATCH(Меню!$D$6,Рецепты!$H$6:$H$85,0)+5))</f>
        <v/>
      </c>
      <c r="H11" s="12">
        <f>IFERROR(IF(IFERROR(INDEX(Рецепты!$H$6:$H$85,MATCH(Меню!$D$6,Рецепты!$H$6:$H$85,0)+5)=Меню!$D$6,FALSE),INDEX(Рецепты!$L$6:$L$85,MATCH(Меню!$D$6,Рецепты!$H$6:$H$85,0)+5),0),0)</f>
        <v>0</v>
      </c>
      <c r="I11" s="12" t="str">
        <f>IF($F11="","",Меню!$E$6)</f>
        <v/>
      </c>
      <c r="J11" s="12">
        <f t="shared" si="0"/>
        <v>0</v>
      </c>
      <c r="K11" s="12">
        <f>IFERROR($J11/100*INDEX(Продукты!$G$6:$G$66,MATCH($E11,Продукты!$A$6:$A$66,0)),0)</f>
        <v>0</v>
      </c>
      <c r="L11" s="12">
        <f>IFERROR($J11/100*INDEX(Продукты!$H$6:$H$66,MATCH($E11,Продукты!$A$6:$A$66,0)),0)</f>
        <v>0</v>
      </c>
      <c r="M11" s="12">
        <f>IFERROR($J11/100*INDEX(Продукты!$I$6:$I$66,MATCH($E11,Продукты!$A$6:$A$66,0)),0)</f>
        <v>0</v>
      </c>
      <c r="N11" s="12">
        <f>IFERROR($J11/100*INDEX(Продукты!$J$6:$J$66,MATCH($E11,Продукты!$A$6:$A$66,0)),0)</f>
        <v>0</v>
      </c>
      <c r="O11" s="3" t="str">
        <f>IFERROR(IF(IFERROR(INDEX(Рецепты!$H$6:$H$85,MATCH(Меню!$D$6,Рецепты!$H$6:$H$85,0)+5)=Меню!$D$6,FALSE),INDEX(Рецепты!$N$6:$N$85,MATCH(Меню!$D$6,Рецепты!$H$6:$H$85,0)+5),""),"")</f>
        <v/>
      </c>
    </row>
    <row r="12" spans="1:15">
      <c r="A12" s="3" t="str">
        <f>IF($E12="","",Меню!$A$6)</f>
        <v/>
      </c>
      <c r="B12" s="3" t="str">
        <f>IF($E12="","",Меню!$B$6)</f>
        <v/>
      </c>
      <c r="C12" s="3" t="str">
        <f>IF($E12="","",Меню!$C$6)</f>
        <v/>
      </c>
      <c r="D12" s="3" t="str">
        <f>IF($E12="","",Меню!$D$6)</f>
        <v/>
      </c>
      <c r="E12" s="3" t="str">
        <f>IFERROR(IF(IFERROR(INDEX(Рецепты!$H$6:$H$85,MATCH(Меню!$D$6,Рецепты!$H$6:$H$85,0)+6)=Меню!$D$6,FALSE),INDEX(Рецепты!$J$6:$J$85,MATCH(Меню!$D$6,Рецепты!$H$6:$H$85,0)+6),""),"")</f>
        <v/>
      </c>
      <c r="F12" s="3" t="str">
        <f>IF($E12="","",INDEX(Рецепты!$K$6:$K$85,MATCH(Меню!$D$6,Рецепты!$H$6:$H$85,0)+6))</f>
        <v/>
      </c>
      <c r="G12" s="3" t="str">
        <f>IF($E12="","",INDEX(Рецепты!$M$6:$M$85,MATCH(Меню!$D$6,Рецепты!$H$6:$H$85,0)+6))</f>
        <v/>
      </c>
      <c r="H12" s="12">
        <f>IFERROR(IF(IFERROR(INDEX(Рецепты!$H$6:$H$85,MATCH(Меню!$D$6,Рецепты!$H$6:$H$85,0)+6)=Меню!$D$6,FALSE),INDEX(Рецепты!$L$6:$L$85,MATCH(Меню!$D$6,Рецепты!$H$6:$H$85,0)+6),0),0)</f>
        <v>0</v>
      </c>
      <c r="I12" s="12" t="str">
        <f>IF($F12="","",Меню!$E$6)</f>
        <v/>
      </c>
      <c r="J12" s="12">
        <f t="shared" si="0"/>
        <v>0</v>
      </c>
      <c r="K12" s="12">
        <f>IFERROR($J12/100*INDEX(Продукты!$G$6:$G$66,MATCH($E12,Продукты!$A$6:$A$66,0)),0)</f>
        <v>0</v>
      </c>
      <c r="L12" s="12">
        <f>IFERROR($J12/100*INDEX(Продукты!$H$6:$H$66,MATCH($E12,Продукты!$A$6:$A$66,0)),0)</f>
        <v>0</v>
      </c>
      <c r="M12" s="12">
        <f>IFERROR($J12/100*INDEX(Продукты!$I$6:$I$66,MATCH($E12,Продукты!$A$6:$A$66,0)),0)</f>
        <v>0</v>
      </c>
      <c r="N12" s="12">
        <f>IFERROR($J12/100*INDEX(Продукты!$J$6:$J$66,MATCH($E12,Продукты!$A$6:$A$66,0)),0)</f>
        <v>0</v>
      </c>
      <c r="O12" s="3" t="str">
        <f>IFERROR(IF(IFERROR(INDEX(Рецепты!$H$6:$H$85,MATCH(Меню!$D$6,Рецепты!$H$6:$H$85,0)+6)=Меню!$D$6,FALSE),INDEX(Рецепты!$N$6:$N$85,MATCH(Меню!$D$6,Рецепты!$H$6:$H$85,0)+6),""),"")</f>
        <v/>
      </c>
    </row>
    <row r="13" spans="1:15">
      <c r="A13" s="3" t="str">
        <f>IF($E13="","",Меню!$A$6)</f>
        <v/>
      </c>
      <c r="B13" s="3" t="str">
        <f>IF($E13="","",Меню!$B$6)</f>
        <v/>
      </c>
      <c r="C13" s="3" t="str">
        <f>IF($E13="","",Меню!$C$6)</f>
        <v/>
      </c>
      <c r="D13" s="3" t="str">
        <f>IF($E13="","",Меню!$D$6)</f>
        <v/>
      </c>
      <c r="E13" s="3" t="str">
        <f>IFERROR(IF(IFERROR(INDEX(Рецепты!$H$6:$H$85,MATCH(Меню!$D$6,Рецепты!$H$6:$H$85,0)+7)=Меню!$D$6,FALSE),INDEX(Рецепты!$J$6:$J$85,MATCH(Меню!$D$6,Рецепты!$H$6:$H$85,0)+7),""),"")</f>
        <v/>
      </c>
      <c r="F13" s="3" t="str">
        <f>IF($E13="","",INDEX(Рецепты!$K$6:$K$85,MATCH(Меню!$D$6,Рецепты!$H$6:$H$85,0)+7))</f>
        <v/>
      </c>
      <c r="G13" s="3" t="str">
        <f>IF($E13="","",INDEX(Рецепты!$M$6:$M$85,MATCH(Меню!$D$6,Рецепты!$H$6:$H$85,0)+7))</f>
        <v/>
      </c>
      <c r="H13" s="12">
        <f>IFERROR(IF(IFERROR(INDEX(Рецепты!$H$6:$H$85,MATCH(Меню!$D$6,Рецепты!$H$6:$H$85,0)+7)=Меню!$D$6,FALSE),INDEX(Рецепты!$L$6:$L$85,MATCH(Меню!$D$6,Рецепты!$H$6:$H$85,0)+7),0),0)</f>
        <v>0</v>
      </c>
      <c r="I13" s="12" t="str">
        <f>IF($F13="","",Меню!$E$6)</f>
        <v/>
      </c>
      <c r="J13" s="12">
        <f t="shared" si="0"/>
        <v>0</v>
      </c>
      <c r="K13" s="12">
        <f>IFERROR($J13/100*INDEX(Продукты!$G$6:$G$66,MATCH($E13,Продукты!$A$6:$A$66,0)),0)</f>
        <v>0</v>
      </c>
      <c r="L13" s="12">
        <f>IFERROR($J13/100*INDEX(Продукты!$H$6:$H$66,MATCH($E13,Продукты!$A$6:$A$66,0)),0)</f>
        <v>0</v>
      </c>
      <c r="M13" s="12">
        <f>IFERROR($J13/100*INDEX(Продукты!$I$6:$I$66,MATCH($E13,Продукты!$A$6:$A$66,0)),0)</f>
        <v>0</v>
      </c>
      <c r="N13" s="12">
        <f>IFERROR($J13/100*INDEX(Продукты!$J$6:$J$66,MATCH($E13,Продукты!$A$6:$A$66,0)),0)</f>
        <v>0</v>
      </c>
      <c r="O13" s="3" t="str">
        <f>IFERROR(IF(IFERROR(INDEX(Рецепты!$H$6:$H$85,MATCH(Меню!$D$6,Рецепты!$H$6:$H$85,0)+7)=Меню!$D$6,FALSE),INDEX(Рецепты!$N$6:$N$85,MATCH(Меню!$D$6,Рецепты!$H$6:$H$85,0)+7),""),"")</f>
        <v/>
      </c>
    </row>
    <row r="14" spans="1:15">
      <c r="A14" s="3" t="str">
        <f>IF($E14="","",Меню!$A$6)</f>
        <v/>
      </c>
      <c r="B14" s="3" t="str">
        <f>IF($E14="","",Меню!$B$6)</f>
        <v/>
      </c>
      <c r="C14" s="3" t="str">
        <f>IF($E14="","",Меню!$C$6)</f>
        <v/>
      </c>
      <c r="D14" s="3" t="str">
        <f>IF($E14="","",Меню!$D$6)</f>
        <v/>
      </c>
      <c r="E14" s="3" t="str">
        <f>IFERROR(IF(IFERROR(INDEX(Рецепты!$H$6:$H$85,MATCH(Меню!$D$6,Рецепты!$H$6:$H$85,0)+8)=Меню!$D$6,FALSE),INDEX(Рецепты!$J$6:$J$85,MATCH(Меню!$D$6,Рецепты!$H$6:$H$85,0)+8),""),"")</f>
        <v/>
      </c>
      <c r="F14" s="3" t="str">
        <f>IF($E14="","",INDEX(Рецепты!$K$6:$K$85,MATCH(Меню!$D$6,Рецепты!$H$6:$H$85,0)+8))</f>
        <v/>
      </c>
      <c r="G14" s="3" t="str">
        <f>IF($E14="","",INDEX(Рецепты!$M$6:$M$85,MATCH(Меню!$D$6,Рецепты!$H$6:$H$85,0)+8))</f>
        <v/>
      </c>
      <c r="H14" s="12">
        <f>IFERROR(IF(IFERROR(INDEX(Рецепты!$H$6:$H$85,MATCH(Меню!$D$6,Рецепты!$H$6:$H$85,0)+8)=Меню!$D$6,FALSE),INDEX(Рецепты!$L$6:$L$85,MATCH(Меню!$D$6,Рецепты!$H$6:$H$85,0)+8),0),0)</f>
        <v>0</v>
      </c>
      <c r="I14" s="12" t="str">
        <f>IF($F14="","",Меню!$E$6)</f>
        <v/>
      </c>
      <c r="J14" s="12">
        <f t="shared" si="0"/>
        <v>0</v>
      </c>
      <c r="K14" s="12">
        <f>IFERROR($J14/100*INDEX(Продукты!$G$6:$G$66,MATCH($E14,Продукты!$A$6:$A$66,0)),0)</f>
        <v>0</v>
      </c>
      <c r="L14" s="12">
        <f>IFERROR($J14/100*INDEX(Продукты!$H$6:$H$66,MATCH($E14,Продукты!$A$6:$A$66,0)),0)</f>
        <v>0</v>
      </c>
      <c r="M14" s="12">
        <f>IFERROR($J14/100*INDEX(Продукты!$I$6:$I$66,MATCH($E14,Продукты!$A$6:$A$66,0)),0)</f>
        <v>0</v>
      </c>
      <c r="N14" s="12">
        <f>IFERROR($J14/100*INDEX(Продукты!$J$6:$J$66,MATCH($E14,Продукты!$A$6:$A$66,0)),0)</f>
        <v>0</v>
      </c>
      <c r="O14" s="3" t="str">
        <f>IFERROR(IF(IFERROR(INDEX(Рецепты!$H$6:$H$85,MATCH(Меню!$D$6,Рецепты!$H$6:$H$85,0)+8)=Меню!$D$6,FALSE),INDEX(Рецепты!$N$6:$N$85,MATCH(Меню!$D$6,Рецепты!$H$6:$H$85,0)+8),""),"")</f>
        <v/>
      </c>
    </row>
    <row r="15" spans="1:15">
      <c r="A15" s="3" t="str">
        <f>IF($E15="","",Меню!$A$6)</f>
        <v/>
      </c>
      <c r="B15" s="3" t="str">
        <f>IF($E15="","",Меню!$B$6)</f>
        <v/>
      </c>
      <c r="C15" s="3" t="str">
        <f>IF($E15="","",Меню!$C$6)</f>
        <v/>
      </c>
      <c r="D15" s="3" t="str">
        <f>IF($E15="","",Меню!$D$6)</f>
        <v/>
      </c>
      <c r="E15" s="3" t="str">
        <f>IFERROR(IF(IFERROR(INDEX(Рецепты!$H$6:$H$85,MATCH(Меню!$D$6,Рецепты!$H$6:$H$85,0)+9)=Меню!$D$6,FALSE),INDEX(Рецепты!$J$6:$J$85,MATCH(Меню!$D$6,Рецепты!$H$6:$H$85,0)+9),""),"")</f>
        <v/>
      </c>
      <c r="F15" s="3" t="str">
        <f>IF($E15="","",INDEX(Рецепты!$K$6:$K$85,MATCH(Меню!$D$6,Рецепты!$H$6:$H$85,0)+9))</f>
        <v/>
      </c>
      <c r="G15" s="3" t="str">
        <f>IF($E15="","",INDEX(Рецепты!$M$6:$M$85,MATCH(Меню!$D$6,Рецепты!$H$6:$H$85,0)+9))</f>
        <v/>
      </c>
      <c r="H15" s="12">
        <f>IFERROR(IF(IFERROR(INDEX(Рецепты!$H$6:$H$85,MATCH(Меню!$D$6,Рецепты!$H$6:$H$85,0)+9)=Меню!$D$6,FALSE),INDEX(Рецепты!$L$6:$L$85,MATCH(Меню!$D$6,Рецепты!$H$6:$H$85,0)+9),0),0)</f>
        <v>0</v>
      </c>
      <c r="I15" s="12" t="str">
        <f>IF($F15="","",Меню!$E$6)</f>
        <v/>
      </c>
      <c r="J15" s="12">
        <f t="shared" si="0"/>
        <v>0</v>
      </c>
      <c r="K15" s="12">
        <f>IFERROR($J15/100*INDEX(Продукты!$G$6:$G$66,MATCH($E15,Продукты!$A$6:$A$66,0)),0)</f>
        <v>0</v>
      </c>
      <c r="L15" s="12">
        <f>IFERROR($J15/100*INDEX(Продукты!$H$6:$H$66,MATCH($E15,Продукты!$A$6:$A$66,0)),0)</f>
        <v>0</v>
      </c>
      <c r="M15" s="12">
        <f>IFERROR($J15/100*INDEX(Продукты!$I$6:$I$66,MATCH($E15,Продукты!$A$6:$A$66,0)),0)</f>
        <v>0</v>
      </c>
      <c r="N15" s="12">
        <f>IFERROR($J15/100*INDEX(Продукты!$J$6:$J$66,MATCH($E15,Продукты!$A$6:$A$66,0)),0)</f>
        <v>0</v>
      </c>
      <c r="O15" s="3" t="str">
        <f>IFERROR(IF(IFERROR(INDEX(Рецепты!$H$6:$H$85,MATCH(Меню!$D$6,Рецепты!$H$6:$H$85,0)+9)=Меню!$D$6,FALSE),INDEX(Рецепты!$N$6:$N$85,MATCH(Меню!$D$6,Рецепты!$H$6:$H$85,0)+9),""),"")</f>
        <v/>
      </c>
    </row>
    <row r="16" spans="1:15">
      <c r="A16" s="3" t="str">
        <f>IF($E16="","",Меню!$A$6)</f>
        <v/>
      </c>
      <c r="B16" s="3" t="str">
        <f>IF($E16="","",Меню!$B$6)</f>
        <v/>
      </c>
      <c r="C16" s="3" t="str">
        <f>IF($E16="","",Меню!$C$6)</f>
        <v/>
      </c>
      <c r="D16" s="3" t="str">
        <f>IF($E16="","",Меню!$D$6)</f>
        <v/>
      </c>
      <c r="E16" s="3" t="str">
        <f>IFERROR(IF(IFERROR(INDEX(Рецепты!$H$6:$H$85,MATCH(Меню!$D$6,Рецепты!$H$6:$H$85,0)+10)=Меню!$D$6,FALSE),INDEX(Рецепты!$J$6:$J$85,MATCH(Меню!$D$6,Рецепты!$H$6:$H$85,0)+10),""),"")</f>
        <v/>
      </c>
      <c r="F16" s="3" t="str">
        <f>IF($E16="","",INDEX(Рецепты!$K$6:$K$85,MATCH(Меню!$D$6,Рецепты!$H$6:$H$85,0)+10))</f>
        <v/>
      </c>
      <c r="G16" s="3" t="str">
        <f>IF($E16="","",INDEX(Рецепты!$M$6:$M$85,MATCH(Меню!$D$6,Рецепты!$H$6:$H$85,0)+10))</f>
        <v/>
      </c>
      <c r="H16" s="12">
        <f>IFERROR(IF(IFERROR(INDEX(Рецепты!$H$6:$H$85,MATCH(Меню!$D$6,Рецепты!$H$6:$H$85,0)+10)=Меню!$D$6,FALSE),INDEX(Рецепты!$L$6:$L$85,MATCH(Меню!$D$6,Рецепты!$H$6:$H$85,0)+10),0),0)</f>
        <v>0</v>
      </c>
      <c r="I16" s="12" t="str">
        <f>IF($F16="","",Меню!$E$6)</f>
        <v/>
      </c>
      <c r="J16" s="12">
        <f t="shared" si="0"/>
        <v>0</v>
      </c>
      <c r="K16" s="12">
        <f>IFERROR($J16/100*INDEX(Продукты!$G$6:$G$66,MATCH($E16,Продукты!$A$6:$A$66,0)),0)</f>
        <v>0</v>
      </c>
      <c r="L16" s="12">
        <f>IFERROR($J16/100*INDEX(Продукты!$H$6:$H$66,MATCH($E16,Продукты!$A$6:$A$66,0)),0)</f>
        <v>0</v>
      </c>
      <c r="M16" s="12">
        <f>IFERROR($J16/100*INDEX(Продукты!$I$6:$I$66,MATCH($E16,Продукты!$A$6:$A$66,0)),0)</f>
        <v>0</v>
      </c>
      <c r="N16" s="12">
        <f>IFERROR($J16/100*INDEX(Продукты!$J$6:$J$66,MATCH($E16,Продукты!$A$6:$A$66,0)),0)</f>
        <v>0</v>
      </c>
      <c r="O16" s="3" t="str">
        <f>IFERROR(IF(IFERROR(INDEX(Рецепты!$H$6:$H$85,MATCH(Меню!$D$6,Рецепты!$H$6:$H$85,0)+10)=Меню!$D$6,FALSE),INDEX(Рецепты!$N$6:$N$85,MATCH(Меню!$D$6,Рецепты!$H$6:$H$85,0)+10),""),"")</f>
        <v/>
      </c>
    </row>
    <row r="17" spans="1:15">
      <c r="A17" s="3" t="str">
        <f>IF($E17="","",Меню!$A$6)</f>
        <v/>
      </c>
      <c r="B17" s="3" t="str">
        <f>IF($E17="","",Меню!$B$6)</f>
        <v/>
      </c>
      <c r="C17" s="3" t="str">
        <f>IF($E17="","",Меню!$C$6)</f>
        <v/>
      </c>
      <c r="D17" s="3" t="str">
        <f>IF($E17="","",Меню!$D$6)</f>
        <v/>
      </c>
      <c r="E17" s="3" t="str">
        <f>IFERROR(IF(IFERROR(INDEX(Рецепты!$H$6:$H$85,MATCH(Меню!$D$6,Рецепты!$H$6:$H$85,0)+11)=Меню!$D$6,FALSE),INDEX(Рецепты!$J$6:$J$85,MATCH(Меню!$D$6,Рецепты!$H$6:$H$85,0)+11),""),"")</f>
        <v/>
      </c>
      <c r="F17" s="3" t="str">
        <f>IF($E17="","",INDEX(Рецепты!$K$6:$K$85,MATCH(Меню!$D$6,Рецепты!$H$6:$H$85,0)+11))</f>
        <v/>
      </c>
      <c r="G17" s="3" t="str">
        <f>IF($E17="","",INDEX(Рецепты!$M$6:$M$85,MATCH(Меню!$D$6,Рецепты!$H$6:$H$85,0)+11))</f>
        <v/>
      </c>
      <c r="H17" s="12">
        <f>IFERROR(IF(IFERROR(INDEX(Рецепты!$H$6:$H$85,MATCH(Меню!$D$6,Рецепты!$H$6:$H$85,0)+11)=Меню!$D$6,FALSE),INDEX(Рецепты!$L$6:$L$85,MATCH(Меню!$D$6,Рецепты!$H$6:$H$85,0)+11),0),0)</f>
        <v>0</v>
      </c>
      <c r="I17" s="12" t="str">
        <f>IF($F17="","",Меню!$E$6)</f>
        <v/>
      </c>
      <c r="J17" s="12">
        <f t="shared" si="0"/>
        <v>0</v>
      </c>
      <c r="K17" s="12">
        <f>IFERROR($J17/100*INDEX(Продукты!$G$6:$G$66,MATCH($E17,Продукты!$A$6:$A$66,0)),0)</f>
        <v>0</v>
      </c>
      <c r="L17" s="12">
        <f>IFERROR($J17/100*INDEX(Продукты!$H$6:$H$66,MATCH($E17,Продукты!$A$6:$A$66,0)),0)</f>
        <v>0</v>
      </c>
      <c r="M17" s="12">
        <f>IFERROR($J17/100*INDEX(Продукты!$I$6:$I$66,MATCH($E17,Продукты!$A$6:$A$66,0)),0)</f>
        <v>0</v>
      </c>
      <c r="N17" s="12">
        <f>IFERROR($J17/100*INDEX(Продукты!$J$6:$J$66,MATCH($E17,Продукты!$A$6:$A$66,0)),0)</f>
        <v>0</v>
      </c>
      <c r="O17" s="3" t="str">
        <f>IFERROR(IF(IFERROR(INDEX(Рецепты!$H$6:$H$85,MATCH(Меню!$D$6,Рецепты!$H$6:$H$85,0)+11)=Меню!$D$6,FALSE),INDEX(Рецепты!$N$6:$N$85,MATCH(Меню!$D$6,Рецепты!$H$6:$H$85,0)+11),""),"")</f>
        <v/>
      </c>
    </row>
    <row r="18" spans="1:15">
      <c r="A18" s="3" t="str">
        <f>IF($E18="","",Меню!$A$6)</f>
        <v/>
      </c>
      <c r="B18" s="3" t="str">
        <f>IF($E18="","",Меню!$B$6)</f>
        <v/>
      </c>
      <c r="C18" s="3" t="str">
        <f>IF($E18="","",Меню!$C$6)</f>
        <v/>
      </c>
      <c r="D18" s="3" t="str">
        <f>IF($E18="","",Меню!$D$6)</f>
        <v/>
      </c>
      <c r="E18" s="3" t="str">
        <f>IFERROR(IF(IFERROR(INDEX(Рецепты!$H$6:$H$85,MATCH(Меню!$D$6,Рецепты!$H$6:$H$85,0)+12)=Меню!$D$6,FALSE),INDEX(Рецепты!$J$6:$J$85,MATCH(Меню!$D$6,Рецепты!$H$6:$H$85,0)+12),""),"")</f>
        <v/>
      </c>
      <c r="F18" s="3" t="str">
        <f>IF($E18="","",INDEX(Рецепты!$K$6:$K$85,MATCH(Меню!$D$6,Рецепты!$H$6:$H$85,0)+12))</f>
        <v/>
      </c>
      <c r="G18" s="3" t="str">
        <f>IF($E18="","",INDEX(Рецепты!$M$6:$M$85,MATCH(Меню!$D$6,Рецепты!$H$6:$H$85,0)+12))</f>
        <v/>
      </c>
      <c r="H18" s="12">
        <f>IFERROR(IF(IFERROR(INDEX(Рецепты!$H$6:$H$85,MATCH(Меню!$D$6,Рецепты!$H$6:$H$85,0)+12)=Меню!$D$6,FALSE),INDEX(Рецепты!$L$6:$L$85,MATCH(Меню!$D$6,Рецепты!$H$6:$H$85,0)+12),0),0)</f>
        <v>0</v>
      </c>
      <c r="I18" s="12" t="str">
        <f>IF($F18="","",Меню!$E$6)</f>
        <v/>
      </c>
      <c r="J18" s="12">
        <f t="shared" si="0"/>
        <v>0</v>
      </c>
      <c r="K18" s="12">
        <f>IFERROR($J18/100*INDEX(Продукты!$G$6:$G$66,MATCH($E18,Продукты!$A$6:$A$66,0)),0)</f>
        <v>0</v>
      </c>
      <c r="L18" s="12">
        <f>IFERROR($J18/100*INDEX(Продукты!$H$6:$H$66,MATCH($E18,Продукты!$A$6:$A$66,0)),0)</f>
        <v>0</v>
      </c>
      <c r="M18" s="12">
        <f>IFERROR($J18/100*INDEX(Продукты!$I$6:$I$66,MATCH($E18,Продукты!$A$6:$A$66,0)),0)</f>
        <v>0</v>
      </c>
      <c r="N18" s="12">
        <f>IFERROR($J18/100*INDEX(Продукты!$J$6:$J$66,MATCH($E18,Продукты!$A$6:$A$66,0)),0)</f>
        <v>0</v>
      </c>
      <c r="O18" s="3" t="str">
        <f>IFERROR(IF(IFERROR(INDEX(Рецепты!$H$6:$H$85,MATCH(Меню!$D$6,Рецепты!$H$6:$H$85,0)+12)=Меню!$D$6,FALSE),INDEX(Рецепты!$N$6:$N$85,MATCH(Меню!$D$6,Рецепты!$H$6:$H$85,0)+12),""),"")</f>
        <v/>
      </c>
    </row>
    <row r="19" spans="1:15">
      <c r="A19" s="3" t="str">
        <f>IF($E19="","",Меню!$A$6)</f>
        <v/>
      </c>
      <c r="B19" s="3" t="str">
        <f>IF($E19="","",Меню!$B$6)</f>
        <v/>
      </c>
      <c r="C19" s="3" t="str">
        <f>IF($E19="","",Меню!$C$6)</f>
        <v/>
      </c>
      <c r="D19" s="3" t="str">
        <f>IF($E19="","",Меню!$D$6)</f>
        <v/>
      </c>
      <c r="E19" s="3" t="str">
        <f>IFERROR(IF(IFERROR(INDEX(Рецепты!$H$6:$H$85,MATCH(Меню!$D$6,Рецепты!$H$6:$H$85,0)+13)=Меню!$D$6,FALSE),INDEX(Рецепты!$J$6:$J$85,MATCH(Меню!$D$6,Рецепты!$H$6:$H$85,0)+13),""),"")</f>
        <v/>
      </c>
      <c r="F19" s="3" t="str">
        <f>IF($E19="","",INDEX(Рецепты!$K$6:$K$85,MATCH(Меню!$D$6,Рецепты!$H$6:$H$85,0)+13))</f>
        <v/>
      </c>
      <c r="G19" s="3" t="str">
        <f>IF($E19="","",INDEX(Рецепты!$M$6:$M$85,MATCH(Меню!$D$6,Рецепты!$H$6:$H$85,0)+13))</f>
        <v/>
      </c>
      <c r="H19" s="12">
        <f>IFERROR(IF(IFERROR(INDEX(Рецепты!$H$6:$H$85,MATCH(Меню!$D$6,Рецепты!$H$6:$H$85,0)+13)=Меню!$D$6,FALSE),INDEX(Рецепты!$L$6:$L$85,MATCH(Меню!$D$6,Рецепты!$H$6:$H$85,0)+13),0),0)</f>
        <v>0</v>
      </c>
      <c r="I19" s="12" t="str">
        <f>IF($F19="","",Меню!$E$6)</f>
        <v/>
      </c>
      <c r="J19" s="12">
        <f t="shared" si="0"/>
        <v>0</v>
      </c>
      <c r="K19" s="12">
        <f>IFERROR($J19/100*INDEX(Продукты!$G$6:$G$66,MATCH($E19,Продукты!$A$6:$A$66,0)),0)</f>
        <v>0</v>
      </c>
      <c r="L19" s="12">
        <f>IFERROR($J19/100*INDEX(Продукты!$H$6:$H$66,MATCH($E19,Продукты!$A$6:$A$66,0)),0)</f>
        <v>0</v>
      </c>
      <c r="M19" s="12">
        <f>IFERROR($J19/100*INDEX(Продукты!$I$6:$I$66,MATCH($E19,Продукты!$A$6:$A$66,0)),0)</f>
        <v>0</v>
      </c>
      <c r="N19" s="12">
        <f>IFERROR($J19/100*INDEX(Продукты!$J$6:$J$66,MATCH($E19,Продукты!$A$6:$A$66,0)),0)</f>
        <v>0</v>
      </c>
      <c r="O19" s="3" t="str">
        <f>IFERROR(IF(IFERROR(INDEX(Рецепты!$H$6:$H$85,MATCH(Меню!$D$6,Рецепты!$H$6:$H$85,0)+13)=Меню!$D$6,FALSE),INDEX(Рецепты!$N$6:$N$85,MATCH(Меню!$D$6,Рецепты!$H$6:$H$85,0)+13),""),"")</f>
        <v/>
      </c>
    </row>
    <row r="20" spans="1:15">
      <c r="A20" s="3" t="str">
        <f>IF($E20="","",Меню!$A$6)</f>
        <v/>
      </c>
      <c r="B20" s="3" t="str">
        <f>IF($E20="","",Меню!$B$6)</f>
        <v/>
      </c>
      <c r="C20" s="3" t="str">
        <f>IF($E20="","",Меню!$C$6)</f>
        <v/>
      </c>
      <c r="D20" s="3" t="str">
        <f>IF($E20="","",Меню!$D$6)</f>
        <v/>
      </c>
      <c r="E20" s="3" t="str">
        <f>IFERROR(IF(IFERROR(INDEX(Рецепты!$H$6:$H$85,MATCH(Меню!$D$6,Рецепты!$H$6:$H$85,0)+14)=Меню!$D$6,FALSE),INDEX(Рецепты!$J$6:$J$85,MATCH(Меню!$D$6,Рецепты!$H$6:$H$85,0)+14),""),"")</f>
        <v/>
      </c>
      <c r="F20" s="3" t="str">
        <f>IF($E20="","",INDEX(Рецепты!$K$6:$K$85,MATCH(Меню!$D$6,Рецепты!$H$6:$H$85,0)+14))</f>
        <v/>
      </c>
      <c r="G20" s="3" t="str">
        <f>IF($E20="","",INDEX(Рецепты!$M$6:$M$85,MATCH(Меню!$D$6,Рецепты!$H$6:$H$85,0)+14))</f>
        <v/>
      </c>
      <c r="H20" s="12">
        <f>IFERROR(IF(IFERROR(INDEX(Рецепты!$H$6:$H$85,MATCH(Меню!$D$6,Рецепты!$H$6:$H$85,0)+14)=Меню!$D$6,FALSE),INDEX(Рецепты!$L$6:$L$85,MATCH(Меню!$D$6,Рецепты!$H$6:$H$85,0)+14),0),0)</f>
        <v>0</v>
      </c>
      <c r="I20" s="12" t="str">
        <f>IF($F20="","",Меню!$E$6)</f>
        <v/>
      </c>
      <c r="J20" s="12">
        <f t="shared" si="0"/>
        <v>0</v>
      </c>
      <c r="K20" s="12">
        <f>IFERROR($J20/100*INDEX(Продукты!$G$6:$G$66,MATCH($E20,Продукты!$A$6:$A$66,0)),0)</f>
        <v>0</v>
      </c>
      <c r="L20" s="12">
        <f>IFERROR($J20/100*INDEX(Продукты!$H$6:$H$66,MATCH($E20,Продукты!$A$6:$A$66,0)),0)</f>
        <v>0</v>
      </c>
      <c r="M20" s="12">
        <f>IFERROR($J20/100*INDEX(Продукты!$I$6:$I$66,MATCH($E20,Продукты!$A$6:$A$66,0)),0)</f>
        <v>0</v>
      </c>
      <c r="N20" s="12">
        <f>IFERROR($J20/100*INDEX(Продукты!$J$6:$J$66,MATCH($E20,Продукты!$A$6:$A$66,0)),0)</f>
        <v>0</v>
      </c>
      <c r="O20" s="3" t="str">
        <f>IFERROR(IF(IFERROR(INDEX(Рецепты!$H$6:$H$85,MATCH(Меню!$D$6,Рецепты!$H$6:$H$85,0)+14)=Меню!$D$6,FALSE),INDEX(Рецепты!$N$6:$N$85,MATCH(Меню!$D$6,Рецепты!$H$6:$H$85,0)+14),""),"")</f>
        <v/>
      </c>
    </row>
    <row r="21" spans="1:15">
      <c r="A21" s="3" t="str">
        <f>IF($E21="","",Меню!$A$6)</f>
        <v/>
      </c>
      <c r="B21" s="3" t="str">
        <f>IF($E21="","",Меню!$B$6)</f>
        <v/>
      </c>
      <c r="C21" s="3" t="str">
        <f>IF($E21="","",Меню!$C$6)</f>
        <v/>
      </c>
      <c r="D21" s="3" t="str">
        <f>IF($E21="","",Меню!$D$6)</f>
        <v/>
      </c>
      <c r="E21" s="3" t="str">
        <f>IFERROR(IF(IFERROR(INDEX(Рецепты!$H$6:$H$85,MATCH(Меню!$D$6,Рецепты!$H$6:$H$85,0)+15)=Меню!$D$6,FALSE),INDEX(Рецепты!$J$6:$J$85,MATCH(Меню!$D$6,Рецепты!$H$6:$H$85,0)+15),""),"")</f>
        <v/>
      </c>
      <c r="F21" s="3" t="str">
        <f>IF($E21="","",INDEX(Рецепты!$K$6:$K$85,MATCH(Меню!$D$6,Рецепты!$H$6:$H$85,0)+15))</f>
        <v/>
      </c>
      <c r="G21" s="3" t="str">
        <f>IF($E21="","",INDEX(Рецепты!$M$6:$M$85,MATCH(Меню!$D$6,Рецепты!$H$6:$H$85,0)+15))</f>
        <v/>
      </c>
      <c r="H21" s="12">
        <f>IFERROR(IF(IFERROR(INDEX(Рецепты!$H$6:$H$85,MATCH(Меню!$D$6,Рецепты!$H$6:$H$85,0)+15)=Меню!$D$6,FALSE),INDEX(Рецепты!$L$6:$L$85,MATCH(Меню!$D$6,Рецепты!$H$6:$H$85,0)+15),0),0)</f>
        <v>0</v>
      </c>
      <c r="I21" s="12" t="str">
        <f>IF($F21="","",Меню!$E$6)</f>
        <v/>
      </c>
      <c r="J21" s="12">
        <f t="shared" si="0"/>
        <v>0</v>
      </c>
      <c r="K21" s="12">
        <f>IFERROR($J21/100*INDEX(Продукты!$G$6:$G$66,MATCH($E21,Продукты!$A$6:$A$66,0)),0)</f>
        <v>0</v>
      </c>
      <c r="L21" s="12">
        <f>IFERROR($J21/100*INDEX(Продукты!$H$6:$H$66,MATCH($E21,Продукты!$A$6:$A$66,0)),0)</f>
        <v>0</v>
      </c>
      <c r="M21" s="12">
        <f>IFERROR($J21/100*INDEX(Продукты!$I$6:$I$66,MATCH($E21,Продукты!$A$6:$A$66,0)),0)</f>
        <v>0</v>
      </c>
      <c r="N21" s="12">
        <f>IFERROR($J21/100*INDEX(Продукты!$J$6:$J$66,MATCH($E21,Продукты!$A$6:$A$66,0)),0)</f>
        <v>0</v>
      </c>
      <c r="O21" s="3" t="str">
        <f>IFERROR(IF(IFERROR(INDEX(Рецепты!$H$6:$H$85,MATCH(Меню!$D$6,Рецепты!$H$6:$H$85,0)+15)=Меню!$D$6,FALSE),INDEX(Рецепты!$N$6:$N$85,MATCH(Меню!$D$6,Рецепты!$H$6:$H$85,0)+15),""),"")</f>
        <v/>
      </c>
    </row>
    <row r="22" spans="1:15">
      <c r="A22" s="3" t="str">
        <f>IF($E22="","",Меню!$A$6)</f>
        <v/>
      </c>
      <c r="B22" s="3" t="str">
        <f>IF($E22="","",Меню!$B$6)</f>
        <v/>
      </c>
      <c r="C22" s="3" t="str">
        <f>IF($E22="","",Меню!$C$6)</f>
        <v/>
      </c>
      <c r="D22" s="3" t="str">
        <f>IF($E22="","",Меню!$D$6)</f>
        <v/>
      </c>
      <c r="E22" s="3" t="str">
        <f>IFERROR(IF(IFERROR(INDEX(Рецепты!$H$6:$H$85,MATCH(Меню!$D$6,Рецепты!$H$6:$H$85,0)+16)=Меню!$D$6,FALSE),INDEX(Рецепты!$J$6:$J$85,MATCH(Меню!$D$6,Рецепты!$H$6:$H$85,0)+16),""),"")</f>
        <v/>
      </c>
      <c r="F22" s="3" t="str">
        <f>IF($E22="","",INDEX(Рецепты!$K$6:$K$85,MATCH(Меню!$D$6,Рецепты!$H$6:$H$85,0)+16))</f>
        <v/>
      </c>
      <c r="G22" s="3" t="str">
        <f>IF($E22="","",INDEX(Рецепты!$M$6:$M$85,MATCH(Меню!$D$6,Рецепты!$H$6:$H$85,0)+16))</f>
        <v/>
      </c>
      <c r="H22" s="12">
        <f>IFERROR(IF(IFERROR(INDEX(Рецепты!$H$6:$H$85,MATCH(Меню!$D$6,Рецепты!$H$6:$H$85,0)+16)=Меню!$D$6,FALSE),INDEX(Рецепты!$L$6:$L$85,MATCH(Меню!$D$6,Рецепты!$H$6:$H$85,0)+16),0),0)</f>
        <v>0</v>
      </c>
      <c r="I22" s="12" t="str">
        <f>IF($F22="","",Меню!$E$6)</f>
        <v/>
      </c>
      <c r="J22" s="12">
        <f t="shared" si="0"/>
        <v>0</v>
      </c>
      <c r="K22" s="12">
        <f>IFERROR($J22/100*INDEX(Продукты!$G$6:$G$66,MATCH($E22,Продукты!$A$6:$A$66,0)),0)</f>
        <v>0</v>
      </c>
      <c r="L22" s="12">
        <f>IFERROR($J22/100*INDEX(Продукты!$H$6:$H$66,MATCH($E22,Продукты!$A$6:$A$66,0)),0)</f>
        <v>0</v>
      </c>
      <c r="M22" s="12">
        <f>IFERROR($J22/100*INDEX(Продукты!$I$6:$I$66,MATCH($E22,Продукты!$A$6:$A$66,0)),0)</f>
        <v>0</v>
      </c>
      <c r="N22" s="12">
        <f>IFERROR($J22/100*INDEX(Продукты!$J$6:$J$66,MATCH($E22,Продукты!$A$6:$A$66,0)),0)</f>
        <v>0</v>
      </c>
      <c r="O22" s="3" t="str">
        <f>IFERROR(IF(IFERROR(INDEX(Рецепты!$H$6:$H$85,MATCH(Меню!$D$6,Рецепты!$H$6:$H$85,0)+16)=Меню!$D$6,FALSE),INDEX(Рецепты!$N$6:$N$85,MATCH(Меню!$D$6,Рецепты!$H$6:$H$85,0)+16),""),"")</f>
        <v/>
      </c>
    </row>
    <row r="23" spans="1:15">
      <c r="A23" s="3" t="str">
        <f>IF($E23="","",Меню!$A$6)</f>
        <v/>
      </c>
      <c r="B23" s="3" t="str">
        <f>IF($E23="","",Меню!$B$6)</f>
        <v/>
      </c>
      <c r="C23" s="3" t="str">
        <f>IF($E23="","",Меню!$C$6)</f>
        <v/>
      </c>
      <c r="D23" s="3" t="str">
        <f>IF($E23="","",Меню!$D$6)</f>
        <v/>
      </c>
      <c r="E23" s="3" t="str">
        <f>IFERROR(IF(IFERROR(INDEX(Рецепты!$H$6:$H$85,MATCH(Меню!$D$6,Рецепты!$H$6:$H$85,0)+17)=Меню!$D$6,FALSE),INDEX(Рецепты!$J$6:$J$85,MATCH(Меню!$D$6,Рецепты!$H$6:$H$85,0)+17),""),"")</f>
        <v/>
      </c>
      <c r="F23" s="3" t="str">
        <f>IF($E23="","",INDEX(Рецепты!$K$6:$K$85,MATCH(Меню!$D$6,Рецепты!$H$6:$H$85,0)+17))</f>
        <v/>
      </c>
      <c r="G23" s="3" t="str">
        <f>IF($E23="","",INDEX(Рецепты!$M$6:$M$85,MATCH(Меню!$D$6,Рецепты!$H$6:$H$85,0)+17))</f>
        <v/>
      </c>
      <c r="H23" s="12">
        <f>IFERROR(IF(IFERROR(INDEX(Рецепты!$H$6:$H$85,MATCH(Меню!$D$6,Рецепты!$H$6:$H$85,0)+17)=Меню!$D$6,FALSE),INDEX(Рецепты!$L$6:$L$85,MATCH(Меню!$D$6,Рецепты!$H$6:$H$85,0)+17),0),0)</f>
        <v>0</v>
      </c>
      <c r="I23" s="12" t="str">
        <f>IF($F23="","",Меню!$E$6)</f>
        <v/>
      </c>
      <c r="J23" s="12">
        <f t="shared" si="0"/>
        <v>0</v>
      </c>
      <c r="K23" s="12">
        <f>IFERROR($J23/100*INDEX(Продукты!$G$6:$G$66,MATCH($E23,Продукты!$A$6:$A$66,0)),0)</f>
        <v>0</v>
      </c>
      <c r="L23" s="12">
        <f>IFERROR($J23/100*INDEX(Продукты!$H$6:$H$66,MATCH($E23,Продукты!$A$6:$A$66,0)),0)</f>
        <v>0</v>
      </c>
      <c r="M23" s="12">
        <f>IFERROR($J23/100*INDEX(Продукты!$I$6:$I$66,MATCH($E23,Продукты!$A$6:$A$66,0)),0)</f>
        <v>0</v>
      </c>
      <c r="N23" s="12">
        <f>IFERROR($J23/100*INDEX(Продукты!$J$6:$J$66,MATCH($E23,Продукты!$A$6:$A$66,0)),0)</f>
        <v>0</v>
      </c>
      <c r="O23" s="3" t="str">
        <f>IFERROR(IF(IFERROR(INDEX(Рецепты!$H$6:$H$85,MATCH(Меню!$D$6,Рецепты!$H$6:$H$85,0)+17)=Меню!$D$6,FALSE),INDEX(Рецепты!$N$6:$N$85,MATCH(Меню!$D$6,Рецепты!$H$6:$H$85,0)+17),""),"")</f>
        <v/>
      </c>
    </row>
    <row r="24" spans="1:15">
      <c r="A24" s="3" t="str">
        <f>IF($E24="","",Меню!$A$6)</f>
        <v/>
      </c>
      <c r="B24" s="3" t="str">
        <f>IF($E24="","",Меню!$B$6)</f>
        <v/>
      </c>
      <c r="C24" s="3" t="str">
        <f>IF($E24="","",Меню!$C$6)</f>
        <v/>
      </c>
      <c r="D24" s="3" t="str">
        <f>IF($E24="","",Меню!$D$6)</f>
        <v/>
      </c>
      <c r="E24" s="3" t="str">
        <f>IFERROR(IF(IFERROR(INDEX(Рецепты!$H$6:$H$85,MATCH(Меню!$D$6,Рецепты!$H$6:$H$85,0)+18)=Меню!$D$6,FALSE),INDEX(Рецепты!$J$6:$J$85,MATCH(Меню!$D$6,Рецепты!$H$6:$H$85,0)+18),""),"")</f>
        <v/>
      </c>
      <c r="F24" s="3" t="str">
        <f>IF($E24="","",INDEX(Рецепты!$K$6:$K$85,MATCH(Меню!$D$6,Рецепты!$H$6:$H$85,0)+18))</f>
        <v/>
      </c>
      <c r="G24" s="3" t="str">
        <f>IF($E24="","",INDEX(Рецепты!$M$6:$M$85,MATCH(Меню!$D$6,Рецепты!$H$6:$H$85,0)+18))</f>
        <v/>
      </c>
      <c r="H24" s="12">
        <f>IFERROR(IF(IFERROR(INDEX(Рецепты!$H$6:$H$85,MATCH(Меню!$D$6,Рецепты!$H$6:$H$85,0)+18)=Меню!$D$6,FALSE),INDEX(Рецепты!$L$6:$L$85,MATCH(Меню!$D$6,Рецепты!$H$6:$H$85,0)+18),0),0)</f>
        <v>0</v>
      </c>
      <c r="I24" s="12" t="str">
        <f>IF($F24="","",Меню!$E$6)</f>
        <v/>
      </c>
      <c r="J24" s="12">
        <f t="shared" si="0"/>
        <v>0</v>
      </c>
      <c r="K24" s="12">
        <f>IFERROR($J24/100*INDEX(Продукты!$G$6:$G$66,MATCH($E24,Продукты!$A$6:$A$66,0)),0)</f>
        <v>0</v>
      </c>
      <c r="L24" s="12">
        <f>IFERROR($J24/100*INDEX(Продукты!$H$6:$H$66,MATCH($E24,Продукты!$A$6:$A$66,0)),0)</f>
        <v>0</v>
      </c>
      <c r="M24" s="12">
        <f>IFERROR($J24/100*INDEX(Продукты!$I$6:$I$66,MATCH($E24,Продукты!$A$6:$A$66,0)),0)</f>
        <v>0</v>
      </c>
      <c r="N24" s="12">
        <f>IFERROR($J24/100*INDEX(Продукты!$J$6:$J$66,MATCH($E24,Продукты!$A$6:$A$66,0)),0)</f>
        <v>0</v>
      </c>
      <c r="O24" s="3" t="str">
        <f>IFERROR(IF(IFERROR(INDEX(Рецепты!$H$6:$H$85,MATCH(Меню!$D$6,Рецепты!$H$6:$H$85,0)+18)=Меню!$D$6,FALSE),INDEX(Рецепты!$N$6:$N$85,MATCH(Меню!$D$6,Рецепты!$H$6:$H$85,0)+18),""),"")</f>
        <v/>
      </c>
    </row>
    <row r="25" spans="1:15">
      <c r="A25" s="3" t="str">
        <f>IF($E25="","",Меню!$A$6)</f>
        <v/>
      </c>
      <c r="B25" s="3" t="str">
        <f>IF($E25="","",Меню!$B$6)</f>
        <v/>
      </c>
      <c r="C25" s="3" t="str">
        <f>IF($E25="","",Меню!$C$6)</f>
        <v/>
      </c>
      <c r="D25" s="3" t="str">
        <f>IF($E25="","",Меню!$D$6)</f>
        <v/>
      </c>
      <c r="E25" s="3" t="str">
        <f>IFERROR(IF(IFERROR(INDEX(Рецепты!$H$6:$H$85,MATCH(Меню!$D$6,Рецепты!$H$6:$H$85,0)+19)=Меню!$D$6,FALSE),INDEX(Рецепты!$J$6:$J$85,MATCH(Меню!$D$6,Рецепты!$H$6:$H$85,0)+19),""),"")</f>
        <v/>
      </c>
      <c r="F25" s="3" t="str">
        <f>IF($E25="","",INDEX(Рецепты!$K$6:$K$85,MATCH(Меню!$D$6,Рецепты!$H$6:$H$85,0)+19))</f>
        <v/>
      </c>
      <c r="G25" s="3" t="str">
        <f>IF($E25="","",INDEX(Рецепты!$M$6:$M$85,MATCH(Меню!$D$6,Рецепты!$H$6:$H$85,0)+19))</f>
        <v/>
      </c>
      <c r="H25" s="12">
        <f>IFERROR(IF(IFERROR(INDEX(Рецепты!$H$6:$H$85,MATCH(Меню!$D$6,Рецепты!$H$6:$H$85,0)+19)=Меню!$D$6,FALSE),INDEX(Рецепты!$L$6:$L$85,MATCH(Меню!$D$6,Рецепты!$H$6:$H$85,0)+19),0),0)</f>
        <v>0</v>
      </c>
      <c r="I25" s="12" t="str">
        <f>IF($F25="","",Меню!$E$6)</f>
        <v/>
      </c>
      <c r="J25" s="12">
        <f t="shared" si="0"/>
        <v>0</v>
      </c>
      <c r="K25" s="12">
        <f>IFERROR($J25/100*INDEX(Продукты!$G$6:$G$66,MATCH($E25,Продукты!$A$6:$A$66,0)),0)</f>
        <v>0</v>
      </c>
      <c r="L25" s="12">
        <f>IFERROR($J25/100*INDEX(Продукты!$H$6:$H$66,MATCH($E25,Продукты!$A$6:$A$66,0)),0)</f>
        <v>0</v>
      </c>
      <c r="M25" s="12">
        <f>IFERROR($J25/100*INDEX(Продукты!$I$6:$I$66,MATCH($E25,Продукты!$A$6:$A$66,0)),0)</f>
        <v>0</v>
      </c>
      <c r="N25" s="12">
        <f>IFERROR($J25/100*INDEX(Продукты!$J$6:$J$66,MATCH($E25,Продукты!$A$6:$A$66,0)),0)</f>
        <v>0</v>
      </c>
      <c r="O25" s="3" t="str">
        <f>IFERROR(IF(IFERROR(INDEX(Рецепты!$H$6:$H$85,MATCH(Меню!$D$6,Рецепты!$H$6:$H$85,0)+19)=Меню!$D$6,FALSE),INDEX(Рецепты!$N$6:$N$85,MATCH(Меню!$D$6,Рецепты!$H$6:$H$85,0)+19),""),"")</f>
        <v/>
      </c>
    </row>
    <row r="26" spans="1:15">
      <c r="A26" s="3" t="str">
        <f>IF($E26="","",Меню!$A$6)</f>
        <v/>
      </c>
      <c r="B26" s="3" t="str">
        <f>IF($E26="","",Меню!$B$6)</f>
        <v/>
      </c>
      <c r="C26" s="3" t="str">
        <f>IF($E26="","",Меню!$C$6)</f>
        <v/>
      </c>
      <c r="D26" s="3" t="str">
        <f>IF($E26="","",Меню!$D$6)</f>
        <v/>
      </c>
      <c r="E26" s="3" t="str">
        <f>IFERROR(IF(IFERROR(INDEX(Рецепты!$H$6:$H$85,MATCH(Меню!$D$6,Рецепты!$H$6:$H$85,0)+20)=Меню!$D$6,FALSE),INDEX(Рецепты!$J$6:$J$85,MATCH(Меню!$D$6,Рецепты!$H$6:$H$85,0)+20),""),"")</f>
        <v/>
      </c>
      <c r="F26" s="3" t="str">
        <f>IF($E26="","",INDEX(Рецепты!$K$6:$K$85,MATCH(Меню!$D$6,Рецепты!$H$6:$H$85,0)+20))</f>
        <v/>
      </c>
      <c r="G26" s="3" t="str">
        <f>IF($E26="","",INDEX(Рецепты!$M$6:$M$85,MATCH(Меню!$D$6,Рецепты!$H$6:$H$85,0)+20))</f>
        <v/>
      </c>
      <c r="H26" s="12">
        <f>IFERROR(IF(IFERROR(INDEX(Рецепты!$H$6:$H$85,MATCH(Меню!$D$6,Рецепты!$H$6:$H$85,0)+20)=Меню!$D$6,FALSE),INDEX(Рецепты!$L$6:$L$85,MATCH(Меню!$D$6,Рецепты!$H$6:$H$85,0)+20),0),0)</f>
        <v>0</v>
      </c>
      <c r="I26" s="12" t="str">
        <f>IF($F26="","",Меню!$E$6)</f>
        <v/>
      </c>
      <c r="J26" s="12">
        <f t="shared" si="0"/>
        <v>0</v>
      </c>
      <c r="K26" s="12">
        <f>IFERROR($J26/100*INDEX(Продукты!$G$6:$G$66,MATCH($E26,Продукты!$A$6:$A$66,0)),0)</f>
        <v>0</v>
      </c>
      <c r="L26" s="12">
        <f>IFERROR($J26/100*INDEX(Продукты!$H$6:$H$66,MATCH($E26,Продукты!$A$6:$A$66,0)),0)</f>
        <v>0</v>
      </c>
      <c r="M26" s="12">
        <f>IFERROR($J26/100*INDEX(Продукты!$I$6:$I$66,MATCH($E26,Продукты!$A$6:$A$66,0)),0)</f>
        <v>0</v>
      </c>
      <c r="N26" s="12">
        <f>IFERROR($J26/100*INDEX(Продукты!$J$6:$J$66,MATCH($E26,Продукты!$A$6:$A$66,0)),0)</f>
        <v>0</v>
      </c>
      <c r="O26" s="3" t="str">
        <f>IFERROR(IF(IFERROR(INDEX(Рецепты!$H$6:$H$85,MATCH(Меню!$D$6,Рецепты!$H$6:$H$85,0)+20)=Меню!$D$6,FALSE),INDEX(Рецепты!$N$6:$N$85,MATCH(Меню!$D$6,Рецепты!$H$6:$H$85,0)+20),""),"")</f>
        <v/>
      </c>
    </row>
    <row r="27" spans="1:15">
      <c r="A27" s="3" t="str">
        <f>IF($E27="","",Меню!$A$6)</f>
        <v/>
      </c>
      <c r="B27" s="3" t="str">
        <f>IF($E27="","",Меню!$B$6)</f>
        <v/>
      </c>
      <c r="C27" s="3" t="str">
        <f>IF($E27="","",Меню!$C$6)</f>
        <v/>
      </c>
      <c r="D27" s="3" t="str">
        <f>IF($E27="","",Меню!$D$6)</f>
        <v/>
      </c>
      <c r="E27" s="3" t="str">
        <f>IFERROR(IF(IFERROR(INDEX(Рецепты!$H$6:$H$85,MATCH(Меню!$D$6,Рецепты!$H$6:$H$85,0)+21)=Меню!$D$6,FALSE),INDEX(Рецепты!$J$6:$J$85,MATCH(Меню!$D$6,Рецепты!$H$6:$H$85,0)+21),""),"")</f>
        <v/>
      </c>
      <c r="F27" s="3" t="str">
        <f>IF($E27="","",INDEX(Рецепты!$K$6:$K$85,MATCH(Меню!$D$6,Рецепты!$H$6:$H$85,0)+21))</f>
        <v/>
      </c>
      <c r="G27" s="3" t="str">
        <f>IF($E27="","",INDEX(Рецепты!$M$6:$M$85,MATCH(Меню!$D$6,Рецепты!$H$6:$H$85,0)+21))</f>
        <v/>
      </c>
      <c r="H27" s="12">
        <f>IFERROR(IF(IFERROR(INDEX(Рецепты!$H$6:$H$85,MATCH(Меню!$D$6,Рецепты!$H$6:$H$85,0)+21)=Меню!$D$6,FALSE),INDEX(Рецепты!$L$6:$L$85,MATCH(Меню!$D$6,Рецепты!$H$6:$H$85,0)+21),0),0)</f>
        <v>0</v>
      </c>
      <c r="I27" s="12" t="str">
        <f>IF($F27="","",Меню!$E$6)</f>
        <v/>
      </c>
      <c r="J27" s="12">
        <f t="shared" si="0"/>
        <v>0</v>
      </c>
      <c r="K27" s="12">
        <f>IFERROR($J27/100*INDEX(Продукты!$G$6:$G$66,MATCH($E27,Продукты!$A$6:$A$66,0)),0)</f>
        <v>0</v>
      </c>
      <c r="L27" s="12">
        <f>IFERROR($J27/100*INDEX(Продукты!$H$6:$H$66,MATCH($E27,Продукты!$A$6:$A$66,0)),0)</f>
        <v>0</v>
      </c>
      <c r="M27" s="12">
        <f>IFERROR($J27/100*INDEX(Продукты!$I$6:$I$66,MATCH($E27,Продукты!$A$6:$A$66,0)),0)</f>
        <v>0</v>
      </c>
      <c r="N27" s="12">
        <f>IFERROR($J27/100*INDEX(Продукты!$J$6:$J$66,MATCH($E27,Продукты!$A$6:$A$66,0)),0)</f>
        <v>0</v>
      </c>
      <c r="O27" s="3" t="str">
        <f>IFERROR(IF(IFERROR(INDEX(Рецепты!$H$6:$H$85,MATCH(Меню!$D$6,Рецепты!$H$6:$H$85,0)+21)=Меню!$D$6,FALSE),INDEX(Рецепты!$N$6:$N$85,MATCH(Меню!$D$6,Рецепты!$H$6:$H$85,0)+21),""),"")</f>
        <v/>
      </c>
    </row>
    <row r="28" spans="1:15">
      <c r="A28" s="3" t="str">
        <f>IF($E28="","",Меню!$A$6)</f>
        <v/>
      </c>
      <c r="B28" s="3" t="str">
        <f>IF($E28="","",Меню!$B$6)</f>
        <v/>
      </c>
      <c r="C28" s="3" t="str">
        <f>IF($E28="","",Меню!$C$6)</f>
        <v/>
      </c>
      <c r="D28" s="3" t="str">
        <f>IF($E28="","",Меню!$D$6)</f>
        <v/>
      </c>
      <c r="E28" s="3" t="str">
        <f>IFERROR(IF(IFERROR(INDEX(Рецепты!$H$6:$H$85,MATCH(Меню!$D$6,Рецепты!$H$6:$H$85,0)+22)=Меню!$D$6,FALSE),INDEX(Рецепты!$J$6:$J$85,MATCH(Меню!$D$6,Рецепты!$H$6:$H$85,0)+22),""),"")</f>
        <v/>
      </c>
      <c r="F28" s="3" t="str">
        <f>IF($E28="","",INDEX(Рецепты!$K$6:$K$85,MATCH(Меню!$D$6,Рецепты!$H$6:$H$85,0)+22))</f>
        <v/>
      </c>
      <c r="G28" s="3" t="str">
        <f>IF($E28="","",INDEX(Рецепты!$M$6:$M$85,MATCH(Меню!$D$6,Рецепты!$H$6:$H$85,0)+22))</f>
        <v/>
      </c>
      <c r="H28" s="12">
        <f>IFERROR(IF(IFERROR(INDEX(Рецепты!$H$6:$H$85,MATCH(Меню!$D$6,Рецепты!$H$6:$H$85,0)+22)=Меню!$D$6,FALSE),INDEX(Рецепты!$L$6:$L$85,MATCH(Меню!$D$6,Рецепты!$H$6:$H$85,0)+22),0),0)</f>
        <v>0</v>
      </c>
      <c r="I28" s="12" t="str">
        <f>IF($F28="","",Меню!$E$6)</f>
        <v/>
      </c>
      <c r="J28" s="12">
        <f t="shared" si="0"/>
        <v>0</v>
      </c>
      <c r="K28" s="12">
        <f>IFERROR($J28/100*INDEX(Продукты!$G$6:$G$66,MATCH($E28,Продукты!$A$6:$A$66,0)),0)</f>
        <v>0</v>
      </c>
      <c r="L28" s="12">
        <f>IFERROR($J28/100*INDEX(Продукты!$H$6:$H$66,MATCH($E28,Продукты!$A$6:$A$66,0)),0)</f>
        <v>0</v>
      </c>
      <c r="M28" s="12">
        <f>IFERROR($J28/100*INDEX(Продукты!$I$6:$I$66,MATCH($E28,Продукты!$A$6:$A$66,0)),0)</f>
        <v>0</v>
      </c>
      <c r="N28" s="12">
        <f>IFERROR($J28/100*INDEX(Продукты!$J$6:$J$66,MATCH($E28,Продукты!$A$6:$A$66,0)),0)</f>
        <v>0</v>
      </c>
      <c r="O28" s="3" t="str">
        <f>IFERROR(IF(IFERROR(INDEX(Рецепты!$H$6:$H$85,MATCH(Меню!$D$6,Рецепты!$H$6:$H$85,0)+22)=Меню!$D$6,FALSE),INDEX(Рецепты!$N$6:$N$85,MATCH(Меню!$D$6,Рецепты!$H$6:$H$85,0)+22),""),"")</f>
        <v/>
      </c>
    </row>
    <row r="29" spans="1:15">
      <c r="A29" s="3" t="str">
        <f>IF($E29="","",Меню!$A$6)</f>
        <v/>
      </c>
      <c r="B29" s="3" t="str">
        <f>IF($E29="","",Меню!$B$6)</f>
        <v/>
      </c>
      <c r="C29" s="3" t="str">
        <f>IF($E29="","",Меню!$C$6)</f>
        <v/>
      </c>
      <c r="D29" s="3" t="str">
        <f>IF($E29="","",Меню!$D$6)</f>
        <v/>
      </c>
      <c r="E29" s="3" t="str">
        <f>IFERROR(IF(IFERROR(INDEX(Рецепты!$H$6:$H$85,MATCH(Меню!$D$6,Рецепты!$H$6:$H$85,0)+23)=Меню!$D$6,FALSE),INDEX(Рецепты!$J$6:$J$85,MATCH(Меню!$D$6,Рецепты!$H$6:$H$85,0)+23),""),"")</f>
        <v/>
      </c>
      <c r="F29" s="3" t="str">
        <f>IF($E29="","",INDEX(Рецепты!$K$6:$K$85,MATCH(Меню!$D$6,Рецепты!$H$6:$H$85,0)+23))</f>
        <v/>
      </c>
      <c r="G29" s="3" t="str">
        <f>IF($E29="","",INDEX(Рецепты!$M$6:$M$85,MATCH(Меню!$D$6,Рецепты!$H$6:$H$85,0)+23))</f>
        <v/>
      </c>
      <c r="H29" s="12">
        <f>IFERROR(IF(IFERROR(INDEX(Рецепты!$H$6:$H$85,MATCH(Меню!$D$6,Рецепты!$H$6:$H$85,0)+23)=Меню!$D$6,FALSE),INDEX(Рецепты!$L$6:$L$85,MATCH(Меню!$D$6,Рецепты!$H$6:$H$85,0)+23),0),0)</f>
        <v>0</v>
      </c>
      <c r="I29" s="12" t="str">
        <f>IF($F29="","",Меню!$E$6)</f>
        <v/>
      </c>
      <c r="J29" s="12">
        <f t="shared" si="0"/>
        <v>0</v>
      </c>
      <c r="K29" s="12">
        <f>IFERROR($J29/100*INDEX(Продукты!$G$6:$G$66,MATCH($E29,Продукты!$A$6:$A$66,0)),0)</f>
        <v>0</v>
      </c>
      <c r="L29" s="12">
        <f>IFERROR($J29/100*INDEX(Продукты!$H$6:$H$66,MATCH($E29,Продукты!$A$6:$A$66,0)),0)</f>
        <v>0</v>
      </c>
      <c r="M29" s="12">
        <f>IFERROR($J29/100*INDEX(Продукты!$I$6:$I$66,MATCH($E29,Продукты!$A$6:$A$66,0)),0)</f>
        <v>0</v>
      </c>
      <c r="N29" s="12">
        <f>IFERROR($J29/100*INDEX(Продукты!$J$6:$J$66,MATCH($E29,Продукты!$A$6:$A$66,0)),0)</f>
        <v>0</v>
      </c>
      <c r="O29" s="3" t="str">
        <f>IFERROR(IF(IFERROR(INDEX(Рецепты!$H$6:$H$85,MATCH(Меню!$D$6,Рецепты!$H$6:$H$85,0)+23)=Меню!$D$6,FALSE),INDEX(Рецепты!$N$6:$N$85,MATCH(Меню!$D$6,Рецепты!$H$6:$H$85,0)+23),""),"")</f>
        <v/>
      </c>
    </row>
    <row r="30" spans="1:15">
      <c r="A30" s="3" t="str">
        <f>IF($E30="","",Меню!$A$6)</f>
        <v/>
      </c>
      <c r="B30" s="3" t="str">
        <f>IF($E30="","",Меню!$B$6)</f>
        <v/>
      </c>
      <c r="C30" s="3" t="str">
        <f>IF($E30="","",Меню!$C$6)</f>
        <v/>
      </c>
      <c r="D30" s="3" t="str">
        <f>IF($E30="","",Меню!$D$6)</f>
        <v/>
      </c>
      <c r="E30" s="3" t="str">
        <f>IFERROR(IF(IFERROR(INDEX(Рецепты!$H$6:$H$85,MATCH(Меню!$D$6,Рецепты!$H$6:$H$85,0)+24)=Меню!$D$6,FALSE),INDEX(Рецепты!$J$6:$J$85,MATCH(Меню!$D$6,Рецепты!$H$6:$H$85,0)+24),""),"")</f>
        <v/>
      </c>
      <c r="F30" s="3" t="str">
        <f>IF($E30="","",INDEX(Рецепты!$K$6:$K$85,MATCH(Меню!$D$6,Рецепты!$H$6:$H$85,0)+24))</f>
        <v/>
      </c>
      <c r="G30" s="3" t="str">
        <f>IF($E30="","",INDEX(Рецепты!$M$6:$M$85,MATCH(Меню!$D$6,Рецепты!$H$6:$H$85,0)+24))</f>
        <v/>
      </c>
      <c r="H30" s="12">
        <f>IFERROR(IF(IFERROR(INDEX(Рецепты!$H$6:$H$85,MATCH(Меню!$D$6,Рецепты!$H$6:$H$85,0)+24)=Меню!$D$6,FALSE),INDEX(Рецепты!$L$6:$L$85,MATCH(Меню!$D$6,Рецепты!$H$6:$H$85,0)+24),0),0)</f>
        <v>0</v>
      </c>
      <c r="I30" s="12" t="str">
        <f>IF($F30="","",Меню!$E$6)</f>
        <v/>
      </c>
      <c r="J30" s="12">
        <f t="shared" si="0"/>
        <v>0</v>
      </c>
      <c r="K30" s="12">
        <f>IFERROR($J30/100*INDEX(Продукты!$G$6:$G$66,MATCH($E30,Продукты!$A$6:$A$66,0)),0)</f>
        <v>0</v>
      </c>
      <c r="L30" s="12">
        <f>IFERROR($J30/100*INDEX(Продукты!$H$6:$H$66,MATCH($E30,Продукты!$A$6:$A$66,0)),0)</f>
        <v>0</v>
      </c>
      <c r="M30" s="12">
        <f>IFERROR($J30/100*INDEX(Продукты!$I$6:$I$66,MATCH($E30,Продукты!$A$6:$A$66,0)),0)</f>
        <v>0</v>
      </c>
      <c r="N30" s="12">
        <f>IFERROR($J30/100*INDEX(Продукты!$J$6:$J$66,MATCH($E30,Продукты!$A$6:$A$66,0)),0)</f>
        <v>0</v>
      </c>
      <c r="O30" s="3" t="str">
        <f>IFERROR(IF(IFERROR(INDEX(Рецепты!$H$6:$H$85,MATCH(Меню!$D$6,Рецепты!$H$6:$H$85,0)+24)=Меню!$D$6,FALSE),INDEX(Рецепты!$N$6:$N$85,MATCH(Меню!$D$6,Рецепты!$H$6:$H$85,0)+24),""),"")</f>
        <v/>
      </c>
    </row>
    <row r="31" spans="1:15">
      <c r="A31" s="3" t="str">
        <f>IF($E31="","",Меню!$A$7)</f>
        <v/>
      </c>
      <c r="B31" s="3" t="str">
        <f>IF($E31="","",Меню!$B$7)</f>
        <v/>
      </c>
      <c r="C31" s="3" t="str">
        <f>IF($E31="","",Меню!$C$7)</f>
        <v/>
      </c>
      <c r="D31" s="3" t="str">
        <f>IF($E31="","",Меню!$D$7)</f>
        <v/>
      </c>
      <c r="E31" s="3" t="str">
        <f>IFERROR(IF(IFERROR(INDEX(Рецепты!$H$6:$H$85,MATCH(Меню!$D$7,Рецепты!$H$6:$H$85,0)+0)=Меню!$D$7,FALSE),INDEX(Рецепты!$J$6:$J$85,MATCH(Меню!$D$7,Рецепты!$H$6:$H$85,0)+0),""),"")</f>
        <v/>
      </c>
      <c r="F31" s="3" t="str">
        <f>IF($E31="","",INDEX(Рецепты!$K$6:$K$85,MATCH(Меню!$D$7,Рецепты!$H$6:$H$85,0)+0))</f>
        <v/>
      </c>
      <c r="G31" s="3" t="str">
        <f>IF($E31="","",INDEX(Рецепты!$M$6:$M$85,MATCH(Меню!$D$7,Рецепты!$H$6:$H$85,0)+0))</f>
        <v/>
      </c>
      <c r="H31" s="12">
        <f>IFERROR(IF(IFERROR(INDEX(Рецепты!$H$6:$H$85,MATCH(Меню!$D$7,Рецепты!$H$6:$H$85,0)+0)=Меню!$D$7,FALSE),INDEX(Рецепты!$L$6:$L$85,MATCH(Меню!$D$7,Рецепты!$H$6:$H$85,0)+0),0),0)</f>
        <v>0</v>
      </c>
      <c r="I31" s="12" t="str">
        <f>IF($F31="","",Меню!$E$7)</f>
        <v/>
      </c>
      <c r="J31" s="12">
        <f t="shared" si="0"/>
        <v>0</v>
      </c>
      <c r="K31" s="12">
        <f>IFERROR($J31/100*INDEX(Продукты!$G$6:$G$66,MATCH($E31,Продукты!$A$6:$A$66,0)),0)</f>
        <v>0</v>
      </c>
      <c r="L31" s="12">
        <f>IFERROR($J31/100*INDEX(Продукты!$H$6:$H$66,MATCH($E31,Продукты!$A$6:$A$66,0)),0)</f>
        <v>0</v>
      </c>
      <c r="M31" s="12">
        <f>IFERROR($J31/100*INDEX(Продукты!$I$6:$I$66,MATCH($E31,Продукты!$A$6:$A$66,0)),0)</f>
        <v>0</v>
      </c>
      <c r="N31" s="12">
        <f>IFERROR($J31/100*INDEX(Продукты!$J$6:$J$66,MATCH($E31,Продукты!$A$6:$A$66,0)),0)</f>
        <v>0</v>
      </c>
      <c r="O31" s="3" t="str">
        <f>IFERROR(IF(IFERROR(INDEX(Рецепты!$H$6:$H$85,MATCH(Меню!$D$7,Рецепты!$H$6:$H$85,0)+0)=Меню!$D$7,FALSE),INDEX(Рецепты!$N$6:$N$85,MATCH(Меню!$D$7,Рецепты!$H$6:$H$85,0)+0),""),"")</f>
        <v/>
      </c>
    </row>
    <row r="32" spans="1:15">
      <c r="A32" s="3" t="str">
        <f>IF($E32="","",Меню!$A$7)</f>
        <v/>
      </c>
      <c r="B32" s="3" t="str">
        <f>IF($E32="","",Меню!$B$7)</f>
        <v/>
      </c>
      <c r="C32" s="3" t="str">
        <f>IF($E32="","",Меню!$C$7)</f>
        <v/>
      </c>
      <c r="D32" s="3" t="str">
        <f>IF($E32="","",Меню!$D$7)</f>
        <v/>
      </c>
      <c r="E32" s="3" t="str">
        <f>IFERROR(IF(IFERROR(INDEX(Рецепты!$H$6:$H$85,MATCH(Меню!$D$7,Рецепты!$H$6:$H$85,0)+1)=Меню!$D$7,FALSE),INDEX(Рецепты!$J$6:$J$85,MATCH(Меню!$D$7,Рецепты!$H$6:$H$85,0)+1),""),"")</f>
        <v/>
      </c>
      <c r="F32" s="3" t="str">
        <f>IF($E32="","",INDEX(Рецепты!$K$6:$K$85,MATCH(Меню!$D$7,Рецепты!$H$6:$H$85,0)+1))</f>
        <v/>
      </c>
      <c r="G32" s="3" t="str">
        <f>IF($E32="","",INDEX(Рецепты!$M$6:$M$85,MATCH(Меню!$D$7,Рецепты!$H$6:$H$85,0)+1))</f>
        <v/>
      </c>
      <c r="H32" s="12">
        <f>IFERROR(IF(IFERROR(INDEX(Рецепты!$H$6:$H$85,MATCH(Меню!$D$7,Рецепты!$H$6:$H$85,0)+1)=Меню!$D$7,FALSE),INDEX(Рецепты!$L$6:$L$85,MATCH(Меню!$D$7,Рецепты!$H$6:$H$85,0)+1),0),0)</f>
        <v>0</v>
      </c>
      <c r="I32" s="12" t="str">
        <f>IF($F32="","",Меню!$E$7)</f>
        <v/>
      </c>
      <c r="J32" s="12">
        <f t="shared" si="0"/>
        <v>0</v>
      </c>
      <c r="K32" s="12">
        <f>IFERROR($J32/100*INDEX(Продукты!$G$6:$G$66,MATCH($E32,Продукты!$A$6:$A$66,0)),0)</f>
        <v>0</v>
      </c>
      <c r="L32" s="12">
        <f>IFERROR($J32/100*INDEX(Продукты!$H$6:$H$66,MATCH($E32,Продукты!$A$6:$A$66,0)),0)</f>
        <v>0</v>
      </c>
      <c r="M32" s="12">
        <f>IFERROR($J32/100*INDEX(Продукты!$I$6:$I$66,MATCH($E32,Продукты!$A$6:$A$66,0)),0)</f>
        <v>0</v>
      </c>
      <c r="N32" s="12">
        <f>IFERROR($J32/100*INDEX(Продукты!$J$6:$J$66,MATCH($E32,Продукты!$A$6:$A$66,0)),0)</f>
        <v>0</v>
      </c>
      <c r="O32" s="3" t="str">
        <f>IFERROR(IF(IFERROR(INDEX(Рецепты!$H$6:$H$85,MATCH(Меню!$D$7,Рецепты!$H$6:$H$85,0)+1)=Меню!$D$7,FALSE),INDEX(Рецепты!$N$6:$N$85,MATCH(Меню!$D$7,Рецепты!$H$6:$H$85,0)+1),""),"")</f>
        <v/>
      </c>
    </row>
    <row r="33" spans="1:15">
      <c r="A33" s="3" t="str">
        <f>IF($E33="","",Меню!$A$7)</f>
        <v/>
      </c>
      <c r="B33" s="3" t="str">
        <f>IF($E33="","",Меню!$B$7)</f>
        <v/>
      </c>
      <c r="C33" s="3" t="str">
        <f>IF($E33="","",Меню!$C$7)</f>
        <v/>
      </c>
      <c r="D33" s="3" t="str">
        <f>IF($E33="","",Меню!$D$7)</f>
        <v/>
      </c>
      <c r="E33" s="3" t="str">
        <f>IFERROR(IF(IFERROR(INDEX(Рецепты!$H$6:$H$85,MATCH(Меню!$D$7,Рецепты!$H$6:$H$85,0)+2)=Меню!$D$7,FALSE),INDEX(Рецепты!$J$6:$J$85,MATCH(Меню!$D$7,Рецепты!$H$6:$H$85,0)+2),""),"")</f>
        <v/>
      </c>
      <c r="F33" s="3" t="str">
        <f>IF($E33="","",INDEX(Рецепты!$K$6:$K$85,MATCH(Меню!$D$7,Рецепты!$H$6:$H$85,0)+2))</f>
        <v/>
      </c>
      <c r="G33" s="3" t="str">
        <f>IF($E33="","",INDEX(Рецепты!$M$6:$M$85,MATCH(Меню!$D$7,Рецепты!$H$6:$H$85,0)+2))</f>
        <v/>
      </c>
      <c r="H33" s="12">
        <f>IFERROR(IF(IFERROR(INDEX(Рецепты!$H$6:$H$85,MATCH(Меню!$D$7,Рецепты!$H$6:$H$85,0)+2)=Меню!$D$7,FALSE),INDEX(Рецепты!$L$6:$L$85,MATCH(Меню!$D$7,Рецепты!$H$6:$H$85,0)+2),0),0)</f>
        <v>0</v>
      </c>
      <c r="I33" s="12" t="str">
        <f>IF($F33="","",Меню!$E$7)</f>
        <v/>
      </c>
      <c r="J33" s="12">
        <f t="shared" si="0"/>
        <v>0</v>
      </c>
      <c r="K33" s="12">
        <f>IFERROR($J33/100*INDEX(Продукты!$G$6:$G$66,MATCH($E33,Продукты!$A$6:$A$66,0)),0)</f>
        <v>0</v>
      </c>
      <c r="L33" s="12">
        <f>IFERROR($J33/100*INDEX(Продукты!$H$6:$H$66,MATCH($E33,Продукты!$A$6:$A$66,0)),0)</f>
        <v>0</v>
      </c>
      <c r="M33" s="12">
        <f>IFERROR($J33/100*INDEX(Продукты!$I$6:$I$66,MATCH($E33,Продукты!$A$6:$A$66,0)),0)</f>
        <v>0</v>
      </c>
      <c r="N33" s="12">
        <f>IFERROR($J33/100*INDEX(Продукты!$J$6:$J$66,MATCH($E33,Продукты!$A$6:$A$66,0)),0)</f>
        <v>0</v>
      </c>
      <c r="O33" s="3" t="str">
        <f>IFERROR(IF(IFERROR(INDEX(Рецепты!$H$6:$H$85,MATCH(Меню!$D$7,Рецепты!$H$6:$H$85,0)+2)=Меню!$D$7,FALSE),INDEX(Рецепты!$N$6:$N$85,MATCH(Меню!$D$7,Рецепты!$H$6:$H$85,0)+2),""),"")</f>
        <v/>
      </c>
    </row>
    <row r="34" spans="1:15">
      <c r="A34" s="3" t="str">
        <f>IF($E34="","",Меню!$A$7)</f>
        <v/>
      </c>
      <c r="B34" s="3" t="str">
        <f>IF($E34="","",Меню!$B$7)</f>
        <v/>
      </c>
      <c r="C34" s="3" t="str">
        <f>IF($E34="","",Меню!$C$7)</f>
        <v/>
      </c>
      <c r="D34" s="3" t="str">
        <f>IF($E34="","",Меню!$D$7)</f>
        <v/>
      </c>
      <c r="E34" s="3" t="str">
        <f>IFERROR(IF(IFERROR(INDEX(Рецепты!$H$6:$H$85,MATCH(Меню!$D$7,Рецепты!$H$6:$H$85,0)+3)=Меню!$D$7,FALSE),INDEX(Рецепты!$J$6:$J$85,MATCH(Меню!$D$7,Рецепты!$H$6:$H$85,0)+3),""),"")</f>
        <v/>
      </c>
      <c r="F34" s="3" t="str">
        <f>IF($E34="","",INDEX(Рецепты!$K$6:$K$85,MATCH(Меню!$D$7,Рецепты!$H$6:$H$85,0)+3))</f>
        <v/>
      </c>
      <c r="G34" s="3" t="str">
        <f>IF($E34="","",INDEX(Рецепты!$M$6:$M$85,MATCH(Меню!$D$7,Рецепты!$H$6:$H$85,0)+3))</f>
        <v/>
      </c>
      <c r="H34" s="12">
        <f>IFERROR(IF(IFERROR(INDEX(Рецепты!$H$6:$H$85,MATCH(Меню!$D$7,Рецепты!$H$6:$H$85,0)+3)=Меню!$D$7,FALSE),INDEX(Рецепты!$L$6:$L$85,MATCH(Меню!$D$7,Рецепты!$H$6:$H$85,0)+3),0),0)</f>
        <v>0</v>
      </c>
      <c r="I34" s="12" t="str">
        <f>IF($F34="","",Меню!$E$7)</f>
        <v/>
      </c>
      <c r="J34" s="12">
        <f t="shared" si="0"/>
        <v>0</v>
      </c>
      <c r="K34" s="12">
        <f>IFERROR($J34/100*INDEX(Продукты!$G$6:$G$66,MATCH($E34,Продукты!$A$6:$A$66,0)),0)</f>
        <v>0</v>
      </c>
      <c r="L34" s="12">
        <f>IFERROR($J34/100*INDEX(Продукты!$H$6:$H$66,MATCH($E34,Продукты!$A$6:$A$66,0)),0)</f>
        <v>0</v>
      </c>
      <c r="M34" s="12">
        <f>IFERROR($J34/100*INDEX(Продукты!$I$6:$I$66,MATCH($E34,Продукты!$A$6:$A$66,0)),0)</f>
        <v>0</v>
      </c>
      <c r="N34" s="12">
        <f>IFERROR($J34/100*INDEX(Продукты!$J$6:$J$66,MATCH($E34,Продукты!$A$6:$A$66,0)),0)</f>
        <v>0</v>
      </c>
      <c r="O34" s="3" t="str">
        <f>IFERROR(IF(IFERROR(INDEX(Рецепты!$H$6:$H$85,MATCH(Меню!$D$7,Рецепты!$H$6:$H$85,0)+3)=Меню!$D$7,FALSE),INDEX(Рецепты!$N$6:$N$85,MATCH(Меню!$D$7,Рецепты!$H$6:$H$85,0)+3),""),"")</f>
        <v/>
      </c>
    </row>
    <row r="35" spans="1:15">
      <c r="A35" s="3" t="str">
        <f>IF($E35="","",Меню!$A$7)</f>
        <v/>
      </c>
      <c r="B35" s="3" t="str">
        <f>IF($E35="","",Меню!$B$7)</f>
        <v/>
      </c>
      <c r="C35" s="3" t="str">
        <f>IF($E35="","",Меню!$C$7)</f>
        <v/>
      </c>
      <c r="D35" s="3" t="str">
        <f>IF($E35="","",Меню!$D$7)</f>
        <v/>
      </c>
      <c r="E35" s="3" t="str">
        <f>IFERROR(IF(IFERROR(INDEX(Рецепты!$H$6:$H$85,MATCH(Меню!$D$7,Рецепты!$H$6:$H$85,0)+4)=Меню!$D$7,FALSE),INDEX(Рецепты!$J$6:$J$85,MATCH(Меню!$D$7,Рецепты!$H$6:$H$85,0)+4),""),"")</f>
        <v/>
      </c>
      <c r="F35" s="3" t="str">
        <f>IF($E35="","",INDEX(Рецепты!$K$6:$K$85,MATCH(Меню!$D$7,Рецепты!$H$6:$H$85,0)+4))</f>
        <v/>
      </c>
      <c r="G35" s="3" t="str">
        <f>IF($E35="","",INDEX(Рецепты!$M$6:$M$85,MATCH(Меню!$D$7,Рецепты!$H$6:$H$85,0)+4))</f>
        <v/>
      </c>
      <c r="H35" s="12">
        <f>IFERROR(IF(IFERROR(INDEX(Рецепты!$H$6:$H$85,MATCH(Меню!$D$7,Рецепты!$H$6:$H$85,0)+4)=Меню!$D$7,FALSE),INDEX(Рецепты!$L$6:$L$85,MATCH(Меню!$D$7,Рецепты!$H$6:$H$85,0)+4),0),0)</f>
        <v>0</v>
      </c>
      <c r="I35" s="12" t="str">
        <f>IF($F35="","",Меню!$E$7)</f>
        <v/>
      </c>
      <c r="J35" s="12">
        <f t="shared" si="0"/>
        <v>0</v>
      </c>
      <c r="K35" s="12">
        <f>IFERROR($J35/100*INDEX(Продукты!$G$6:$G$66,MATCH($E35,Продукты!$A$6:$A$66,0)),0)</f>
        <v>0</v>
      </c>
      <c r="L35" s="12">
        <f>IFERROR($J35/100*INDEX(Продукты!$H$6:$H$66,MATCH($E35,Продукты!$A$6:$A$66,0)),0)</f>
        <v>0</v>
      </c>
      <c r="M35" s="12">
        <f>IFERROR($J35/100*INDEX(Продукты!$I$6:$I$66,MATCH($E35,Продукты!$A$6:$A$66,0)),0)</f>
        <v>0</v>
      </c>
      <c r="N35" s="12">
        <f>IFERROR($J35/100*INDEX(Продукты!$J$6:$J$66,MATCH($E35,Продукты!$A$6:$A$66,0)),0)</f>
        <v>0</v>
      </c>
      <c r="O35" s="3" t="str">
        <f>IFERROR(IF(IFERROR(INDEX(Рецепты!$H$6:$H$85,MATCH(Меню!$D$7,Рецепты!$H$6:$H$85,0)+4)=Меню!$D$7,FALSE),INDEX(Рецепты!$N$6:$N$85,MATCH(Меню!$D$7,Рецепты!$H$6:$H$85,0)+4),""),"")</f>
        <v/>
      </c>
    </row>
    <row r="36" spans="1:15">
      <c r="A36" s="3" t="str">
        <f>IF($E36="","",Меню!$A$7)</f>
        <v/>
      </c>
      <c r="B36" s="3" t="str">
        <f>IF($E36="","",Меню!$B$7)</f>
        <v/>
      </c>
      <c r="C36" s="3" t="str">
        <f>IF($E36="","",Меню!$C$7)</f>
        <v/>
      </c>
      <c r="D36" s="3" t="str">
        <f>IF($E36="","",Меню!$D$7)</f>
        <v/>
      </c>
      <c r="E36" s="3" t="str">
        <f>IFERROR(IF(IFERROR(INDEX(Рецепты!$H$6:$H$85,MATCH(Меню!$D$7,Рецепты!$H$6:$H$85,0)+5)=Меню!$D$7,FALSE),INDEX(Рецепты!$J$6:$J$85,MATCH(Меню!$D$7,Рецепты!$H$6:$H$85,0)+5),""),"")</f>
        <v/>
      </c>
      <c r="F36" s="3" t="str">
        <f>IF($E36="","",INDEX(Рецепты!$K$6:$K$85,MATCH(Меню!$D$7,Рецепты!$H$6:$H$85,0)+5))</f>
        <v/>
      </c>
      <c r="G36" s="3" t="str">
        <f>IF($E36="","",INDEX(Рецепты!$M$6:$M$85,MATCH(Меню!$D$7,Рецепты!$H$6:$H$85,0)+5))</f>
        <v/>
      </c>
      <c r="H36" s="12">
        <f>IFERROR(IF(IFERROR(INDEX(Рецепты!$H$6:$H$85,MATCH(Меню!$D$7,Рецепты!$H$6:$H$85,0)+5)=Меню!$D$7,FALSE),INDEX(Рецепты!$L$6:$L$85,MATCH(Меню!$D$7,Рецепты!$H$6:$H$85,0)+5),0),0)</f>
        <v>0</v>
      </c>
      <c r="I36" s="12" t="str">
        <f>IF($F36="","",Меню!$E$7)</f>
        <v/>
      </c>
      <c r="J36" s="12">
        <f t="shared" si="0"/>
        <v>0</v>
      </c>
      <c r="K36" s="12">
        <f>IFERROR($J36/100*INDEX(Продукты!$G$6:$G$66,MATCH($E36,Продукты!$A$6:$A$66,0)),0)</f>
        <v>0</v>
      </c>
      <c r="L36" s="12">
        <f>IFERROR($J36/100*INDEX(Продукты!$H$6:$H$66,MATCH($E36,Продукты!$A$6:$A$66,0)),0)</f>
        <v>0</v>
      </c>
      <c r="M36" s="12">
        <f>IFERROR($J36/100*INDEX(Продукты!$I$6:$I$66,MATCH($E36,Продукты!$A$6:$A$66,0)),0)</f>
        <v>0</v>
      </c>
      <c r="N36" s="12">
        <f>IFERROR($J36/100*INDEX(Продукты!$J$6:$J$66,MATCH($E36,Продукты!$A$6:$A$66,0)),0)</f>
        <v>0</v>
      </c>
      <c r="O36" s="3" t="str">
        <f>IFERROR(IF(IFERROR(INDEX(Рецепты!$H$6:$H$85,MATCH(Меню!$D$7,Рецепты!$H$6:$H$85,0)+5)=Меню!$D$7,FALSE),INDEX(Рецепты!$N$6:$N$85,MATCH(Меню!$D$7,Рецепты!$H$6:$H$85,0)+5),""),"")</f>
        <v/>
      </c>
    </row>
    <row r="37" spans="1:15">
      <c r="A37" s="3" t="str">
        <f>IF($E37="","",Меню!$A$7)</f>
        <v/>
      </c>
      <c r="B37" s="3" t="str">
        <f>IF($E37="","",Меню!$B$7)</f>
        <v/>
      </c>
      <c r="C37" s="3" t="str">
        <f>IF($E37="","",Меню!$C$7)</f>
        <v/>
      </c>
      <c r="D37" s="3" t="str">
        <f>IF($E37="","",Меню!$D$7)</f>
        <v/>
      </c>
      <c r="E37" s="3" t="str">
        <f>IFERROR(IF(IFERROR(INDEX(Рецепты!$H$6:$H$85,MATCH(Меню!$D$7,Рецепты!$H$6:$H$85,0)+6)=Меню!$D$7,FALSE),INDEX(Рецепты!$J$6:$J$85,MATCH(Меню!$D$7,Рецепты!$H$6:$H$85,0)+6),""),"")</f>
        <v/>
      </c>
      <c r="F37" s="3" t="str">
        <f>IF($E37="","",INDEX(Рецепты!$K$6:$K$85,MATCH(Меню!$D$7,Рецепты!$H$6:$H$85,0)+6))</f>
        <v/>
      </c>
      <c r="G37" s="3" t="str">
        <f>IF($E37="","",INDEX(Рецепты!$M$6:$M$85,MATCH(Меню!$D$7,Рецепты!$H$6:$H$85,0)+6))</f>
        <v/>
      </c>
      <c r="H37" s="12">
        <f>IFERROR(IF(IFERROR(INDEX(Рецепты!$H$6:$H$85,MATCH(Меню!$D$7,Рецепты!$H$6:$H$85,0)+6)=Меню!$D$7,FALSE),INDEX(Рецепты!$L$6:$L$85,MATCH(Меню!$D$7,Рецепты!$H$6:$H$85,0)+6),0),0)</f>
        <v>0</v>
      </c>
      <c r="I37" s="12" t="str">
        <f>IF($F37="","",Меню!$E$7)</f>
        <v/>
      </c>
      <c r="J37" s="12">
        <f t="shared" si="0"/>
        <v>0</v>
      </c>
      <c r="K37" s="12">
        <f>IFERROR($J37/100*INDEX(Продукты!$G$6:$G$66,MATCH($E37,Продукты!$A$6:$A$66,0)),0)</f>
        <v>0</v>
      </c>
      <c r="L37" s="12">
        <f>IFERROR($J37/100*INDEX(Продукты!$H$6:$H$66,MATCH($E37,Продукты!$A$6:$A$66,0)),0)</f>
        <v>0</v>
      </c>
      <c r="M37" s="12">
        <f>IFERROR($J37/100*INDEX(Продукты!$I$6:$I$66,MATCH($E37,Продукты!$A$6:$A$66,0)),0)</f>
        <v>0</v>
      </c>
      <c r="N37" s="12">
        <f>IFERROR($J37/100*INDEX(Продукты!$J$6:$J$66,MATCH($E37,Продукты!$A$6:$A$66,0)),0)</f>
        <v>0</v>
      </c>
      <c r="O37" s="3" t="str">
        <f>IFERROR(IF(IFERROR(INDEX(Рецепты!$H$6:$H$85,MATCH(Меню!$D$7,Рецепты!$H$6:$H$85,0)+6)=Меню!$D$7,FALSE),INDEX(Рецепты!$N$6:$N$85,MATCH(Меню!$D$7,Рецепты!$H$6:$H$85,0)+6),""),"")</f>
        <v/>
      </c>
    </row>
    <row r="38" spans="1:15">
      <c r="A38" s="3" t="str">
        <f>IF($E38="","",Меню!$A$7)</f>
        <v/>
      </c>
      <c r="B38" s="3" t="str">
        <f>IF($E38="","",Меню!$B$7)</f>
        <v/>
      </c>
      <c r="C38" s="3" t="str">
        <f>IF($E38="","",Меню!$C$7)</f>
        <v/>
      </c>
      <c r="D38" s="3" t="str">
        <f>IF($E38="","",Меню!$D$7)</f>
        <v/>
      </c>
      <c r="E38" s="3" t="str">
        <f>IFERROR(IF(IFERROR(INDEX(Рецепты!$H$6:$H$85,MATCH(Меню!$D$7,Рецепты!$H$6:$H$85,0)+7)=Меню!$D$7,FALSE),INDEX(Рецепты!$J$6:$J$85,MATCH(Меню!$D$7,Рецепты!$H$6:$H$85,0)+7),""),"")</f>
        <v/>
      </c>
      <c r="F38" s="3" t="str">
        <f>IF($E38="","",INDEX(Рецепты!$K$6:$K$85,MATCH(Меню!$D$7,Рецепты!$H$6:$H$85,0)+7))</f>
        <v/>
      </c>
      <c r="G38" s="3" t="str">
        <f>IF($E38="","",INDEX(Рецепты!$M$6:$M$85,MATCH(Меню!$D$7,Рецепты!$H$6:$H$85,0)+7))</f>
        <v/>
      </c>
      <c r="H38" s="12">
        <f>IFERROR(IF(IFERROR(INDEX(Рецепты!$H$6:$H$85,MATCH(Меню!$D$7,Рецепты!$H$6:$H$85,0)+7)=Меню!$D$7,FALSE),INDEX(Рецепты!$L$6:$L$85,MATCH(Меню!$D$7,Рецепты!$H$6:$H$85,0)+7),0),0)</f>
        <v>0</v>
      </c>
      <c r="I38" s="12" t="str">
        <f>IF($F38="","",Меню!$E$7)</f>
        <v/>
      </c>
      <c r="J38" s="12">
        <f t="shared" si="0"/>
        <v>0</v>
      </c>
      <c r="K38" s="12">
        <f>IFERROR($J38/100*INDEX(Продукты!$G$6:$G$66,MATCH($E38,Продукты!$A$6:$A$66,0)),0)</f>
        <v>0</v>
      </c>
      <c r="L38" s="12">
        <f>IFERROR($J38/100*INDEX(Продукты!$H$6:$H$66,MATCH($E38,Продукты!$A$6:$A$66,0)),0)</f>
        <v>0</v>
      </c>
      <c r="M38" s="12">
        <f>IFERROR($J38/100*INDEX(Продукты!$I$6:$I$66,MATCH($E38,Продукты!$A$6:$A$66,0)),0)</f>
        <v>0</v>
      </c>
      <c r="N38" s="12">
        <f>IFERROR($J38/100*INDEX(Продукты!$J$6:$J$66,MATCH($E38,Продукты!$A$6:$A$66,0)),0)</f>
        <v>0</v>
      </c>
      <c r="O38" s="3" t="str">
        <f>IFERROR(IF(IFERROR(INDEX(Рецепты!$H$6:$H$85,MATCH(Меню!$D$7,Рецепты!$H$6:$H$85,0)+7)=Меню!$D$7,FALSE),INDEX(Рецепты!$N$6:$N$85,MATCH(Меню!$D$7,Рецепты!$H$6:$H$85,0)+7),""),"")</f>
        <v/>
      </c>
    </row>
    <row r="39" spans="1:15">
      <c r="A39" s="3" t="str">
        <f>IF($E39="","",Меню!$A$7)</f>
        <v/>
      </c>
      <c r="B39" s="3" t="str">
        <f>IF($E39="","",Меню!$B$7)</f>
        <v/>
      </c>
      <c r="C39" s="3" t="str">
        <f>IF($E39="","",Меню!$C$7)</f>
        <v/>
      </c>
      <c r="D39" s="3" t="str">
        <f>IF($E39="","",Меню!$D$7)</f>
        <v/>
      </c>
      <c r="E39" s="3" t="str">
        <f>IFERROR(IF(IFERROR(INDEX(Рецепты!$H$6:$H$85,MATCH(Меню!$D$7,Рецепты!$H$6:$H$85,0)+8)=Меню!$D$7,FALSE),INDEX(Рецепты!$J$6:$J$85,MATCH(Меню!$D$7,Рецепты!$H$6:$H$85,0)+8),""),"")</f>
        <v/>
      </c>
      <c r="F39" s="3" t="str">
        <f>IF($E39="","",INDEX(Рецепты!$K$6:$K$85,MATCH(Меню!$D$7,Рецепты!$H$6:$H$85,0)+8))</f>
        <v/>
      </c>
      <c r="G39" s="3" t="str">
        <f>IF($E39="","",INDEX(Рецепты!$M$6:$M$85,MATCH(Меню!$D$7,Рецепты!$H$6:$H$85,0)+8))</f>
        <v/>
      </c>
      <c r="H39" s="12">
        <f>IFERROR(IF(IFERROR(INDEX(Рецепты!$H$6:$H$85,MATCH(Меню!$D$7,Рецепты!$H$6:$H$85,0)+8)=Меню!$D$7,FALSE),INDEX(Рецепты!$L$6:$L$85,MATCH(Меню!$D$7,Рецепты!$H$6:$H$85,0)+8),0),0)</f>
        <v>0</v>
      </c>
      <c r="I39" s="12" t="str">
        <f>IF($F39="","",Меню!$E$7)</f>
        <v/>
      </c>
      <c r="J39" s="12">
        <f t="shared" si="0"/>
        <v>0</v>
      </c>
      <c r="K39" s="12">
        <f>IFERROR($J39/100*INDEX(Продукты!$G$6:$G$66,MATCH($E39,Продукты!$A$6:$A$66,0)),0)</f>
        <v>0</v>
      </c>
      <c r="L39" s="12">
        <f>IFERROR($J39/100*INDEX(Продукты!$H$6:$H$66,MATCH($E39,Продукты!$A$6:$A$66,0)),0)</f>
        <v>0</v>
      </c>
      <c r="M39" s="12">
        <f>IFERROR($J39/100*INDEX(Продукты!$I$6:$I$66,MATCH($E39,Продукты!$A$6:$A$66,0)),0)</f>
        <v>0</v>
      </c>
      <c r="N39" s="12">
        <f>IFERROR($J39/100*INDEX(Продукты!$J$6:$J$66,MATCH($E39,Продукты!$A$6:$A$66,0)),0)</f>
        <v>0</v>
      </c>
      <c r="O39" s="3" t="str">
        <f>IFERROR(IF(IFERROR(INDEX(Рецепты!$H$6:$H$85,MATCH(Меню!$D$7,Рецепты!$H$6:$H$85,0)+8)=Меню!$D$7,FALSE),INDEX(Рецепты!$N$6:$N$85,MATCH(Меню!$D$7,Рецепты!$H$6:$H$85,0)+8),""),"")</f>
        <v/>
      </c>
    </row>
    <row r="40" spans="1:15">
      <c r="A40" s="3" t="str">
        <f>IF($E40="","",Меню!$A$7)</f>
        <v/>
      </c>
      <c r="B40" s="3" t="str">
        <f>IF($E40="","",Меню!$B$7)</f>
        <v/>
      </c>
      <c r="C40" s="3" t="str">
        <f>IF($E40="","",Меню!$C$7)</f>
        <v/>
      </c>
      <c r="D40" s="3" t="str">
        <f>IF($E40="","",Меню!$D$7)</f>
        <v/>
      </c>
      <c r="E40" s="3" t="str">
        <f>IFERROR(IF(IFERROR(INDEX(Рецепты!$H$6:$H$85,MATCH(Меню!$D$7,Рецепты!$H$6:$H$85,0)+9)=Меню!$D$7,FALSE),INDEX(Рецепты!$J$6:$J$85,MATCH(Меню!$D$7,Рецепты!$H$6:$H$85,0)+9),""),"")</f>
        <v/>
      </c>
      <c r="F40" s="3" t="str">
        <f>IF($E40="","",INDEX(Рецепты!$K$6:$K$85,MATCH(Меню!$D$7,Рецепты!$H$6:$H$85,0)+9))</f>
        <v/>
      </c>
      <c r="G40" s="3" t="str">
        <f>IF($E40="","",INDEX(Рецепты!$M$6:$M$85,MATCH(Меню!$D$7,Рецепты!$H$6:$H$85,0)+9))</f>
        <v/>
      </c>
      <c r="H40" s="12">
        <f>IFERROR(IF(IFERROR(INDEX(Рецепты!$H$6:$H$85,MATCH(Меню!$D$7,Рецепты!$H$6:$H$85,0)+9)=Меню!$D$7,FALSE),INDEX(Рецепты!$L$6:$L$85,MATCH(Меню!$D$7,Рецепты!$H$6:$H$85,0)+9),0),0)</f>
        <v>0</v>
      </c>
      <c r="I40" s="12" t="str">
        <f>IF($F40="","",Меню!$E$7)</f>
        <v/>
      </c>
      <c r="J40" s="12">
        <f t="shared" si="0"/>
        <v>0</v>
      </c>
      <c r="K40" s="12">
        <f>IFERROR($J40/100*INDEX(Продукты!$G$6:$G$66,MATCH($E40,Продукты!$A$6:$A$66,0)),0)</f>
        <v>0</v>
      </c>
      <c r="L40" s="12">
        <f>IFERROR($J40/100*INDEX(Продукты!$H$6:$H$66,MATCH($E40,Продукты!$A$6:$A$66,0)),0)</f>
        <v>0</v>
      </c>
      <c r="M40" s="12">
        <f>IFERROR($J40/100*INDEX(Продукты!$I$6:$I$66,MATCH($E40,Продукты!$A$6:$A$66,0)),0)</f>
        <v>0</v>
      </c>
      <c r="N40" s="12">
        <f>IFERROR($J40/100*INDEX(Продукты!$J$6:$J$66,MATCH($E40,Продукты!$A$6:$A$66,0)),0)</f>
        <v>0</v>
      </c>
      <c r="O40" s="3" t="str">
        <f>IFERROR(IF(IFERROR(INDEX(Рецепты!$H$6:$H$85,MATCH(Меню!$D$7,Рецепты!$H$6:$H$85,0)+9)=Меню!$D$7,FALSE),INDEX(Рецепты!$N$6:$N$85,MATCH(Меню!$D$7,Рецепты!$H$6:$H$85,0)+9),""),"")</f>
        <v/>
      </c>
    </row>
    <row r="41" spans="1:15">
      <c r="A41" s="3" t="str">
        <f>IF($E41="","",Меню!$A$7)</f>
        <v/>
      </c>
      <c r="B41" s="3" t="str">
        <f>IF($E41="","",Меню!$B$7)</f>
        <v/>
      </c>
      <c r="C41" s="3" t="str">
        <f>IF($E41="","",Меню!$C$7)</f>
        <v/>
      </c>
      <c r="D41" s="3" t="str">
        <f>IF($E41="","",Меню!$D$7)</f>
        <v/>
      </c>
      <c r="E41" s="3" t="str">
        <f>IFERROR(IF(IFERROR(INDEX(Рецепты!$H$6:$H$85,MATCH(Меню!$D$7,Рецепты!$H$6:$H$85,0)+10)=Меню!$D$7,FALSE),INDEX(Рецепты!$J$6:$J$85,MATCH(Меню!$D$7,Рецепты!$H$6:$H$85,0)+10),""),"")</f>
        <v/>
      </c>
      <c r="F41" s="3" t="str">
        <f>IF($E41="","",INDEX(Рецепты!$K$6:$K$85,MATCH(Меню!$D$7,Рецепты!$H$6:$H$85,0)+10))</f>
        <v/>
      </c>
      <c r="G41" s="3" t="str">
        <f>IF($E41="","",INDEX(Рецепты!$M$6:$M$85,MATCH(Меню!$D$7,Рецепты!$H$6:$H$85,0)+10))</f>
        <v/>
      </c>
      <c r="H41" s="12">
        <f>IFERROR(IF(IFERROR(INDEX(Рецепты!$H$6:$H$85,MATCH(Меню!$D$7,Рецепты!$H$6:$H$85,0)+10)=Меню!$D$7,FALSE),INDEX(Рецепты!$L$6:$L$85,MATCH(Меню!$D$7,Рецепты!$H$6:$H$85,0)+10),0),0)</f>
        <v>0</v>
      </c>
      <c r="I41" s="12" t="str">
        <f>IF($F41="","",Меню!$E$7)</f>
        <v/>
      </c>
      <c r="J41" s="12">
        <f t="shared" si="0"/>
        <v>0</v>
      </c>
      <c r="K41" s="12">
        <f>IFERROR($J41/100*INDEX(Продукты!$G$6:$G$66,MATCH($E41,Продукты!$A$6:$A$66,0)),0)</f>
        <v>0</v>
      </c>
      <c r="L41" s="12">
        <f>IFERROR($J41/100*INDEX(Продукты!$H$6:$H$66,MATCH($E41,Продукты!$A$6:$A$66,0)),0)</f>
        <v>0</v>
      </c>
      <c r="M41" s="12">
        <f>IFERROR($J41/100*INDEX(Продукты!$I$6:$I$66,MATCH($E41,Продукты!$A$6:$A$66,0)),0)</f>
        <v>0</v>
      </c>
      <c r="N41" s="12">
        <f>IFERROR($J41/100*INDEX(Продукты!$J$6:$J$66,MATCH($E41,Продукты!$A$6:$A$66,0)),0)</f>
        <v>0</v>
      </c>
      <c r="O41" s="3" t="str">
        <f>IFERROR(IF(IFERROR(INDEX(Рецепты!$H$6:$H$85,MATCH(Меню!$D$7,Рецепты!$H$6:$H$85,0)+10)=Меню!$D$7,FALSE),INDEX(Рецепты!$N$6:$N$85,MATCH(Меню!$D$7,Рецепты!$H$6:$H$85,0)+10),""),"")</f>
        <v/>
      </c>
    </row>
    <row r="42" spans="1:15">
      <c r="A42" s="3" t="str">
        <f>IF($E42="","",Меню!$A$7)</f>
        <v/>
      </c>
      <c r="B42" s="3" t="str">
        <f>IF($E42="","",Меню!$B$7)</f>
        <v/>
      </c>
      <c r="C42" s="3" t="str">
        <f>IF($E42="","",Меню!$C$7)</f>
        <v/>
      </c>
      <c r="D42" s="3" t="str">
        <f>IF($E42="","",Меню!$D$7)</f>
        <v/>
      </c>
      <c r="E42" s="3" t="str">
        <f>IFERROR(IF(IFERROR(INDEX(Рецепты!$H$6:$H$85,MATCH(Меню!$D$7,Рецепты!$H$6:$H$85,0)+11)=Меню!$D$7,FALSE),INDEX(Рецепты!$J$6:$J$85,MATCH(Меню!$D$7,Рецепты!$H$6:$H$85,0)+11),""),"")</f>
        <v/>
      </c>
      <c r="F42" s="3" t="str">
        <f>IF($E42="","",INDEX(Рецепты!$K$6:$K$85,MATCH(Меню!$D$7,Рецепты!$H$6:$H$85,0)+11))</f>
        <v/>
      </c>
      <c r="G42" s="3" t="str">
        <f>IF($E42="","",INDEX(Рецепты!$M$6:$M$85,MATCH(Меню!$D$7,Рецепты!$H$6:$H$85,0)+11))</f>
        <v/>
      </c>
      <c r="H42" s="12">
        <f>IFERROR(IF(IFERROR(INDEX(Рецепты!$H$6:$H$85,MATCH(Меню!$D$7,Рецепты!$H$6:$H$85,0)+11)=Меню!$D$7,FALSE),INDEX(Рецепты!$L$6:$L$85,MATCH(Меню!$D$7,Рецепты!$H$6:$H$85,0)+11),0),0)</f>
        <v>0</v>
      </c>
      <c r="I42" s="12" t="str">
        <f>IF($F42="","",Меню!$E$7)</f>
        <v/>
      </c>
      <c r="J42" s="12">
        <f t="shared" si="0"/>
        <v>0</v>
      </c>
      <c r="K42" s="12">
        <f>IFERROR($J42/100*INDEX(Продукты!$G$6:$G$66,MATCH($E42,Продукты!$A$6:$A$66,0)),0)</f>
        <v>0</v>
      </c>
      <c r="L42" s="12">
        <f>IFERROR($J42/100*INDEX(Продукты!$H$6:$H$66,MATCH($E42,Продукты!$A$6:$A$66,0)),0)</f>
        <v>0</v>
      </c>
      <c r="M42" s="12">
        <f>IFERROR($J42/100*INDEX(Продукты!$I$6:$I$66,MATCH($E42,Продукты!$A$6:$A$66,0)),0)</f>
        <v>0</v>
      </c>
      <c r="N42" s="12">
        <f>IFERROR($J42/100*INDEX(Продукты!$J$6:$J$66,MATCH($E42,Продукты!$A$6:$A$66,0)),0)</f>
        <v>0</v>
      </c>
      <c r="O42" s="3" t="str">
        <f>IFERROR(IF(IFERROR(INDEX(Рецепты!$H$6:$H$85,MATCH(Меню!$D$7,Рецепты!$H$6:$H$85,0)+11)=Меню!$D$7,FALSE),INDEX(Рецепты!$N$6:$N$85,MATCH(Меню!$D$7,Рецепты!$H$6:$H$85,0)+11),""),"")</f>
        <v/>
      </c>
    </row>
    <row r="43" spans="1:15">
      <c r="A43" s="3" t="str">
        <f>IF($E43="","",Меню!$A$7)</f>
        <v/>
      </c>
      <c r="B43" s="3" t="str">
        <f>IF($E43="","",Меню!$B$7)</f>
        <v/>
      </c>
      <c r="C43" s="3" t="str">
        <f>IF($E43="","",Меню!$C$7)</f>
        <v/>
      </c>
      <c r="D43" s="3" t="str">
        <f>IF($E43="","",Меню!$D$7)</f>
        <v/>
      </c>
      <c r="E43" s="3" t="str">
        <f>IFERROR(IF(IFERROR(INDEX(Рецепты!$H$6:$H$85,MATCH(Меню!$D$7,Рецепты!$H$6:$H$85,0)+12)=Меню!$D$7,FALSE),INDEX(Рецепты!$J$6:$J$85,MATCH(Меню!$D$7,Рецепты!$H$6:$H$85,0)+12),""),"")</f>
        <v/>
      </c>
      <c r="F43" s="3" t="str">
        <f>IF($E43="","",INDEX(Рецепты!$K$6:$K$85,MATCH(Меню!$D$7,Рецепты!$H$6:$H$85,0)+12))</f>
        <v/>
      </c>
      <c r="G43" s="3" t="str">
        <f>IF($E43="","",INDEX(Рецепты!$M$6:$M$85,MATCH(Меню!$D$7,Рецепты!$H$6:$H$85,0)+12))</f>
        <v/>
      </c>
      <c r="H43" s="12">
        <f>IFERROR(IF(IFERROR(INDEX(Рецепты!$H$6:$H$85,MATCH(Меню!$D$7,Рецепты!$H$6:$H$85,0)+12)=Меню!$D$7,FALSE),INDEX(Рецепты!$L$6:$L$85,MATCH(Меню!$D$7,Рецепты!$H$6:$H$85,0)+12),0),0)</f>
        <v>0</v>
      </c>
      <c r="I43" s="12" t="str">
        <f>IF($F43="","",Меню!$E$7)</f>
        <v/>
      </c>
      <c r="J43" s="12">
        <f t="shared" si="0"/>
        <v>0</v>
      </c>
      <c r="K43" s="12">
        <f>IFERROR($J43/100*INDEX(Продукты!$G$6:$G$66,MATCH($E43,Продукты!$A$6:$A$66,0)),0)</f>
        <v>0</v>
      </c>
      <c r="L43" s="12">
        <f>IFERROR($J43/100*INDEX(Продукты!$H$6:$H$66,MATCH($E43,Продукты!$A$6:$A$66,0)),0)</f>
        <v>0</v>
      </c>
      <c r="M43" s="12">
        <f>IFERROR($J43/100*INDEX(Продукты!$I$6:$I$66,MATCH($E43,Продукты!$A$6:$A$66,0)),0)</f>
        <v>0</v>
      </c>
      <c r="N43" s="12">
        <f>IFERROR($J43/100*INDEX(Продукты!$J$6:$J$66,MATCH($E43,Продукты!$A$6:$A$66,0)),0)</f>
        <v>0</v>
      </c>
      <c r="O43" s="3" t="str">
        <f>IFERROR(IF(IFERROR(INDEX(Рецепты!$H$6:$H$85,MATCH(Меню!$D$7,Рецепты!$H$6:$H$85,0)+12)=Меню!$D$7,FALSE),INDEX(Рецепты!$N$6:$N$85,MATCH(Меню!$D$7,Рецепты!$H$6:$H$85,0)+12),""),"")</f>
        <v/>
      </c>
    </row>
    <row r="44" spans="1:15">
      <c r="A44" s="3" t="str">
        <f>IF($E44="","",Меню!$A$7)</f>
        <v/>
      </c>
      <c r="B44" s="3" t="str">
        <f>IF($E44="","",Меню!$B$7)</f>
        <v/>
      </c>
      <c r="C44" s="3" t="str">
        <f>IF($E44="","",Меню!$C$7)</f>
        <v/>
      </c>
      <c r="D44" s="3" t="str">
        <f>IF($E44="","",Меню!$D$7)</f>
        <v/>
      </c>
      <c r="E44" s="3" t="str">
        <f>IFERROR(IF(IFERROR(INDEX(Рецепты!$H$6:$H$85,MATCH(Меню!$D$7,Рецепты!$H$6:$H$85,0)+13)=Меню!$D$7,FALSE),INDEX(Рецепты!$J$6:$J$85,MATCH(Меню!$D$7,Рецепты!$H$6:$H$85,0)+13),""),"")</f>
        <v/>
      </c>
      <c r="F44" s="3" t="str">
        <f>IF($E44="","",INDEX(Рецепты!$K$6:$K$85,MATCH(Меню!$D$7,Рецепты!$H$6:$H$85,0)+13))</f>
        <v/>
      </c>
      <c r="G44" s="3" t="str">
        <f>IF($E44="","",INDEX(Рецепты!$M$6:$M$85,MATCH(Меню!$D$7,Рецепты!$H$6:$H$85,0)+13))</f>
        <v/>
      </c>
      <c r="H44" s="12">
        <f>IFERROR(IF(IFERROR(INDEX(Рецепты!$H$6:$H$85,MATCH(Меню!$D$7,Рецепты!$H$6:$H$85,0)+13)=Меню!$D$7,FALSE),INDEX(Рецепты!$L$6:$L$85,MATCH(Меню!$D$7,Рецепты!$H$6:$H$85,0)+13),0),0)</f>
        <v>0</v>
      </c>
      <c r="I44" s="12" t="str">
        <f>IF($F44="","",Меню!$E$7)</f>
        <v/>
      </c>
      <c r="J44" s="12">
        <f t="shared" si="0"/>
        <v>0</v>
      </c>
      <c r="K44" s="12">
        <f>IFERROR($J44/100*INDEX(Продукты!$G$6:$G$66,MATCH($E44,Продукты!$A$6:$A$66,0)),0)</f>
        <v>0</v>
      </c>
      <c r="L44" s="12">
        <f>IFERROR($J44/100*INDEX(Продукты!$H$6:$H$66,MATCH($E44,Продукты!$A$6:$A$66,0)),0)</f>
        <v>0</v>
      </c>
      <c r="M44" s="12">
        <f>IFERROR($J44/100*INDEX(Продукты!$I$6:$I$66,MATCH($E44,Продукты!$A$6:$A$66,0)),0)</f>
        <v>0</v>
      </c>
      <c r="N44" s="12">
        <f>IFERROR($J44/100*INDEX(Продукты!$J$6:$J$66,MATCH($E44,Продукты!$A$6:$A$66,0)),0)</f>
        <v>0</v>
      </c>
      <c r="O44" s="3" t="str">
        <f>IFERROR(IF(IFERROR(INDEX(Рецепты!$H$6:$H$85,MATCH(Меню!$D$7,Рецепты!$H$6:$H$85,0)+13)=Меню!$D$7,FALSE),INDEX(Рецепты!$N$6:$N$85,MATCH(Меню!$D$7,Рецепты!$H$6:$H$85,0)+13),""),"")</f>
        <v/>
      </c>
    </row>
    <row r="45" spans="1:15">
      <c r="A45" s="3" t="str">
        <f>IF($E45="","",Меню!$A$7)</f>
        <v/>
      </c>
      <c r="B45" s="3" t="str">
        <f>IF($E45="","",Меню!$B$7)</f>
        <v/>
      </c>
      <c r="C45" s="3" t="str">
        <f>IF($E45="","",Меню!$C$7)</f>
        <v/>
      </c>
      <c r="D45" s="3" t="str">
        <f>IF($E45="","",Меню!$D$7)</f>
        <v/>
      </c>
      <c r="E45" s="3" t="str">
        <f>IFERROR(IF(IFERROR(INDEX(Рецепты!$H$6:$H$85,MATCH(Меню!$D$7,Рецепты!$H$6:$H$85,0)+14)=Меню!$D$7,FALSE),INDEX(Рецепты!$J$6:$J$85,MATCH(Меню!$D$7,Рецепты!$H$6:$H$85,0)+14),""),"")</f>
        <v/>
      </c>
      <c r="F45" s="3" t="str">
        <f>IF($E45="","",INDEX(Рецепты!$K$6:$K$85,MATCH(Меню!$D$7,Рецепты!$H$6:$H$85,0)+14))</f>
        <v/>
      </c>
      <c r="G45" s="3" t="str">
        <f>IF($E45="","",INDEX(Рецепты!$M$6:$M$85,MATCH(Меню!$D$7,Рецепты!$H$6:$H$85,0)+14))</f>
        <v/>
      </c>
      <c r="H45" s="12">
        <f>IFERROR(IF(IFERROR(INDEX(Рецепты!$H$6:$H$85,MATCH(Меню!$D$7,Рецепты!$H$6:$H$85,0)+14)=Меню!$D$7,FALSE),INDEX(Рецепты!$L$6:$L$85,MATCH(Меню!$D$7,Рецепты!$H$6:$H$85,0)+14),0),0)</f>
        <v>0</v>
      </c>
      <c r="I45" s="12" t="str">
        <f>IF($F45="","",Меню!$E$7)</f>
        <v/>
      </c>
      <c r="J45" s="12">
        <f t="shared" si="0"/>
        <v>0</v>
      </c>
      <c r="K45" s="12">
        <f>IFERROR($J45/100*INDEX(Продукты!$G$6:$G$66,MATCH($E45,Продукты!$A$6:$A$66,0)),0)</f>
        <v>0</v>
      </c>
      <c r="L45" s="12">
        <f>IFERROR($J45/100*INDEX(Продукты!$H$6:$H$66,MATCH($E45,Продукты!$A$6:$A$66,0)),0)</f>
        <v>0</v>
      </c>
      <c r="M45" s="12">
        <f>IFERROR($J45/100*INDEX(Продукты!$I$6:$I$66,MATCH($E45,Продукты!$A$6:$A$66,0)),0)</f>
        <v>0</v>
      </c>
      <c r="N45" s="12">
        <f>IFERROR($J45/100*INDEX(Продукты!$J$6:$J$66,MATCH($E45,Продукты!$A$6:$A$66,0)),0)</f>
        <v>0</v>
      </c>
      <c r="O45" s="3" t="str">
        <f>IFERROR(IF(IFERROR(INDEX(Рецепты!$H$6:$H$85,MATCH(Меню!$D$7,Рецепты!$H$6:$H$85,0)+14)=Меню!$D$7,FALSE),INDEX(Рецепты!$N$6:$N$85,MATCH(Меню!$D$7,Рецепты!$H$6:$H$85,0)+14),""),"")</f>
        <v/>
      </c>
    </row>
    <row r="46" spans="1:15">
      <c r="A46" s="3" t="str">
        <f>IF($E46="","",Меню!$A$7)</f>
        <v/>
      </c>
      <c r="B46" s="3" t="str">
        <f>IF($E46="","",Меню!$B$7)</f>
        <v/>
      </c>
      <c r="C46" s="3" t="str">
        <f>IF($E46="","",Меню!$C$7)</f>
        <v/>
      </c>
      <c r="D46" s="3" t="str">
        <f>IF($E46="","",Меню!$D$7)</f>
        <v/>
      </c>
      <c r="E46" s="3" t="str">
        <f>IFERROR(IF(IFERROR(INDEX(Рецепты!$H$6:$H$85,MATCH(Меню!$D$7,Рецепты!$H$6:$H$85,0)+15)=Меню!$D$7,FALSE),INDEX(Рецепты!$J$6:$J$85,MATCH(Меню!$D$7,Рецепты!$H$6:$H$85,0)+15),""),"")</f>
        <v/>
      </c>
      <c r="F46" s="3" t="str">
        <f>IF($E46="","",INDEX(Рецепты!$K$6:$K$85,MATCH(Меню!$D$7,Рецепты!$H$6:$H$85,0)+15))</f>
        <v/>
      </c>
      <c r="G46" s="3" t="str">
        <f>IF($E46="","",INDEX(Рецепты!$M$6:$M$85,MATCH(Меню!$D$7,Рецепты!$H$6:$H$85,0)+15))</f>
        <v/>
      </c>
      <c r="H46" s="12">
        <f>IFERROR(IF(IFERROR(INDEX(Рецепты!$H$6:$H$85,MATCH(Меню!$D$7,Рецепты!$H$6:$H$85,0)+15)=Меню!$D$7,FALSE),INDEX(Рецепты!$L$6:$L$85,MATCH(Меню!$D$7,Рецепты!$H$6:$H$85,0)+15),0),0)</f>
        <v>0</v>
      </c>
      <c r="I46" s="12" t="str">
        <f>IF($F46="","",Меню!$E$7)</f>
        <v/>
      </c>
      <c r="J46" s="12">
        <f t="shared" si="0"/>
        <v>0</v>
      </c>
      <c r="K46" s="12">
        <f>IFERROR($J46/100*INDEX(Продукты!$G$6:$G$66,MATCH($E46,Продукты!$A$6:$A$66,0)),0)</f>
        <v>0</v>
      </c>
      <c r="L46" s="12">
        <f>IFERROR($J46/100*INDEX(Продукты!$H$6:$H$66,MATCH($E46,Продукты!$A$6:$A$66,0)),0)</f>
        <v>0</v>
      </c>
      <c r="M46" s="12">
        <f>IFERROR($J46/100*INDEX(Продукты!$I$6:$I$66,MATCH($E46,Продукты!$A$6:$A$66,0)),0)</f>
        <v>0</v>
      </c>
      <c r="N46" s="12">
        <f>IFERROR($J46/100*INDEX(Продукты!$J$6:$J$66,MATCH($E46,Продукты!$A$6:$A$66,0)),0)</f>
        <v>0</v>
      </c>
      <c r="O46" s="3" t="str">
        <f>IFERROR(IF(IFERROR(INDEX(Рецепты!$H$6:$H$85,MATCH(Меню!$D$7,Рецепты!$H$6:$H$85,0)+15)=Меню!$D$7,FALSE),INDEX(Рецепты!$N$6:$N$85,MATCH(Меню!$D$7,Рецепты!$H$6:$H$85,0)+15),""),"")</f>
        <v/>
      </c>
    </row>
    <row r="47" spans="1:15">
      <c r="A47" s="3" t="str">
        <f>IF($E47="","",Меню!$A$7)</f>
        <v/>
      </c>
      <c r="B47" s="3" t="str">
        <f>IF($E47="","",Меню!$B$7)</f>
        <v/>
      </c>
      <c r="C47" s="3" t="str">
        <f>IF($E47="","",Меню!$C$7)</f>
        <v/>
      </c>
      <c r="D47" s="3" t="str">
        <f>IF($E47="","",Меню!$D$7)</f>
        <v/>
      </c>
      <c r="E47" s="3" t="str">
        <f>IFERROR(IF(IFERROR(INDEX(Рецепты!$H$6:$H$85,MATCH(Меню!$D$7,Рецепты!$H$6:$H$85,0)+16)=Меню!$D$7,FALSE),INDEX(Рецепты!$J$6:$J$85,MATCH(Меню!$D$7,Рецепты!$H$6:$H$85,0)+16),""),"")</f>
        <v/>
      </c>
      <c r="F47" s="3" t="str">
        <f>IF($E47="","",INDEX(Рецепты!$K$6:$K$85,MATCH(Меню!$D$7,Рецепты!$H$6:$H$85,0)+16))</f>
        <v/>
      </c>
      <c r="G47" s="3" t="str">
        <f>IF($E47="","",INDEX(Рецепты!$M$6:$M$85,MATCH(Меню!$D$7,Рецепты!$H$6:$H$85,0)+16))</f>
        <v/>
      </c>
      <c r="H47" s="12">
        <f>IFERROR(IF(IFERROR(INDEX(Рецепты!$H$6:$H$85,MATCH(Меню!$D$7,Рецепты!$H$6:$H$85,0)+16)=Меню!$D$7,FALSE),INDEX(Рецепты!$L$6:$L$85,MATCH(Меню!$D$7,Рецепты!$H$6:$H$85,0)+16),0),0)</f>
        <v>0</v>
      </c>
      <c r="I47" s="12" t="str">
        <f>IF($F47="","",Меню!$E$7)</f>
        <v/>
      </c>
      <c r="J47" s="12">
        <f t="shared" si="0"/>
        <v>0</v>
      </c>
      <c r="K47" s="12">
        <f>IFERROR($J47/100*INDEX(Продукты!$G$6:$G$66,MATCH($E47,Продукты!$A$6:$A$66,0)),0)</f>
        <v>0</v>
      </c>
      <c r="L47" s="12">
        <f>IFERROR($J47/100*INDEX(Продукты!$H$6:$H$66,MATCH($E47,Продукты!$A$6:$A$66,0)),0)</f>
        <v>0</v>
      </c>
      <c r="M47" s="12">
        <f>IFERROR($J47/100*INDEX(Продукты!$I$6:$I$66,MATCH($E47,Продукты!$A$6:$A$66,0)),0)</f>
        <v>0</v>
      </c>
      <c r="N47" s="12">
        <f>IFERROR($J47/100*INDEX(Продукты!$J$6:$J$66,MATCH($E47,Продукты!$A$6:$A$66,0)),0)</f>
        <v>0</v>
      </c>
      <c r="O47" s="3" t="str">
        <f>IFERROR(IF(IFERROR(INDEX(Рецепты!$H$6:$H$85,MATCH(Меню!$D$7,Рецепты!$H$6:$H$85,0)+16)=Меню!$D$7,FALSE),INDEX(Рецепты!$N$6:$N$85,MATCH(Меню!$D$7,Рецепты!$H$6:$H$85,0)+16),""),"")</f>
        <v/>
      </c>
    </row>
    <row r="48" spans="1:15">
      <c r="A48" s="3" t="str">
        <f>IF($E48="","",Меню!$A$7)</f>
        <v/>
      </c>
      <c r="B48" s="3" t="str">
        <f>IF($E48="","",Меню!$B$7)</f>
        <v/>
      </c>
      <c r="C48" s="3" t="str">
        <f>IF($E48="","",Меню!$C$7)</f>
        <v/>
      </c>
      <c r="D48" s="3" t="str">
        <f>IF($E48="","",Меню!$D$7)</f>
        <v/>
      </c>
      <c r="E48" s="3" t="str">
        <f>IFERROR(IF(IFERROR(INDEX(Рецепты!$H$6:$H$85,MATCH(Меню!$D$7,Рецепты!$H$6:$H$85,0)+17)=Меню!$D$7,FALSE),INDEX(Рецепты!$J$6:$J$85,MATCH(Меню!$D$7,Рецепты!$H$6:$H$85,0)+17),""),"")</f>
        <v/>
      </c>
      <c r="F48" s="3" t="str">
        <f>IF($E48="","",INDEX(Рецепты!$K$6:$K$85,MATCH(Меню!$D$7,Рецепты!$H$6:$H$85,0)+17))</f>
        <v/>
      </c>
      <c r="G48" s="3" t="str">
        <f>IF($E48="","",INDEX(Рецепты!$M$6:$M$85,MATCH(Меню!$D$7,Рецепты!$H$6:$H$85,0)+17))</f>
        <v/>
      </c>
      <c r="H48" s="12">
        <f>IFERROR(IF(IFERROR(INDEX(Рецепты!$H$6:$H$85,MATCH(Меню!$D$7,Рецепты!$H$6:$H$85,0)+17)=Меню!$D$7,FALSE),INDEX(Рецепты!$L$6:$L$85,MATCH(Меню!$D$7,Рецепты!$H$6:$H$85,0)+17),0),0)</f>
        <v>0</v>
      </c>
      <c r="I48" s="12" t="str">
        <f>IF($F48="","",Меню!$E$7)</f>
        <v/>
      </c>
      <c r="J48" s="12">
        <f t="shared" si="0"/>
        <v>0</v>
      </c>
      <c r="K48" s="12">
        <f>IFERROR($J48/100*INDEX(Продукты!$G$6:$G$66,MATCH($E48,Продукты!$A$6:$A$66,0)),0)</f>
        <v>0</v>
      </c>
      <c r="L48" s="12">
        <f>IFERROR($J48/100*INDEX(Продукты!$H$6:$H$66,MATCH($E48,Продукты!$A$6:$A$66,0)),0)</f>
        <v>0</v>
      </c>
      <c r="M48" s="12">
        <f>IFERROR($J48/100*INDEX(Продукты!$I$6:$I$66,MATCH($E48,Продукты!$A$6:$A$66,0)),0)</f>
        <v>0</v>
      </c>
      <c r="N48" s="12">
        <f>IFERROR($J48/100*INDEX(Продукты!$J$6:$J$66,MATCH($E48,Продукты!$A$6:$A$66,0)),0)</f>
        <v>0</v>
      </c>
      <c r="O48" s="3" t="str">
        <f>IFERROR(IF(IFERROR(INDEX(Рецепты!$H$6:$H$85,MATCH(Меню!$D$7,Рецепты!$H$6:$H$85,0)+17)=Меню!$D$7,FALSE),INDEX(Рецепты!$N$6:$N$85,MATCH(Меню!$D$7,Рецепты!$H$6:$H$85,0)+17),""),"")</f>
        <v/>
      </c>
    </row>
    <row r="49" spans="1:15">
      <c r="A49" s="3" t="str">
        <f>IF($E49="","",Меню!$A$7)</f>
        <v/>
      </c>
      <c r="B49" s="3" t="str">
        <f>IF($E49="","",Меню!$B$7)</f>
        <v/>
      </c>
      <c r="C49" s="3" t="str">
        <f>IF($E49="","",Меню!$C$7)</f>
        <v/>
      </c>
      <c r="D49" s="3" t="str">
        <f>IF($E49="","",Меню!$D$7)</f>
        <v/>
      </c>
      <c r="E49" s="3" t="str">
        <f>IFERROR(IF(IFERROR(INDEX(Рецепты!$H$6:$H$85,MATCH(Меню!$D$7,Рецепты!$H$6:$H$85,0)+18)=Меню!$D$7,FALSE),INDEX(Рецепты!$J$6:$J$85,MATCH(Меню!$D$7,Рецепты!$H$6:$H$85,0)+18),""),"")</f>
        <v/>
      </c>
      <c r="F49" s="3" t="str">
        <f>IF($E49="","",INDEX(Рецепты!$K$6:$K$85,MATCH(Меню!$D$7,Рецепты!$H$6:$H$85,0)+18))</f>
        <v/>
      </c>
      <c r="G49" s="3" t="str">
        <f>IF($E49="","",INDEX(Рецепты!$M$6:$M$85,MATCH(Меню!$D$7,Рецепты!$H$6:$H$85,0)+18))</f>
        <v/>
      </c>
      <c r="H49" s="12">
        <f>IFERROR(IF(IFERROR(INDEX(Рецепты!$H$6:$H$85,MATCH(Меню!$D$7,Рецепты!$H$6:$H$85,0)+18)=Меню!$D$7,FALSE),INDEX(Рецепты!$L$6:$L$85,MATCH(Меню!$D$7,Рецепты!$H$6:$H$85,0)+18),0),0)</f>
        <v>0</v>
      </c>
      <c r="I49" s="12" t="str">
        <f>IF($F49="","",Меню!$E$7)</f>
        <v/>
      </c>
      <c r="J49" s="12">
        <f t="shared" si="0"/>
        <v>0</v>
      </c>
      <c r="K49" s="12">
        <f>IFERROR($J49/100*INDEX(Продукты!$G$6:$G$66,MATCH($E49,Продукты!$A$6:$A$66,0)),0)</f>
        <v>0</v>
      </c>
      <c r="L49" s="12">
        <f>IFERROR($J49/100*INDEX(Продукты!$H$6:$H$66,MATCH($E49,Продукты!$A$6:$A$66,0)),0)</f>
        <v>0</v>
      </c>
      <c r="M49" s="12">
        <f>IFERROR($J49/100*INDEX(Продукты!$I$6:$I$66,MATCH($E49,Продукты!$A$6:$A$66,0)),0)</f>
        <v>0</v>
      </c>
      <c r="N49" s="12">
        <f>IFERROR($J49/100*INDEX(Продукты!$J$6:$J$66,MATCH($E49,Продукты!$A$6:$A$66,0)),0)</f>
        <v>0</v>
      </c>
      <c r="O49" s="3" t="str">
        <f>IFERROR(IF(IFERROR(INDEX(Рецепты!$H$6:$H$85,MATCH(Меню!$D$7,Рецепты!$H$6:$H$85,0)+18)=Меню!$D$7,FALSE),INDEX(Рецепты!$N$6:$N$85,MATCH(Меню!$D$7,Рецепты!$H$6:$H$85,0)+18),""),"")</f>
        <v/>
      </c>
    </row>
    <row r="50" spans="1:15">
      <c r="A50" s="3" t="str">
        <f>IF($E50="","",Меню!$A$7)</f>
        <v/>
      </c>
      <c r="B50" s="3" t="str">
        <f>IF($E50="","",Меню!$B$7)</f>
        <v/>
      </c>
      <c r="C50" s="3" t="str">
        <f>IF($E50="","",Меню!$C$7)</f>
        <v/>
      </c>
      <c r="D50" s="3" t="str">
        <f>IF($E50="","",Меню!$D$7)</f>
        <v/>
      </c>
      <c r="E50" s="3" t="str">
        <f>IFERROR(IF(IFERROR(INDEX(Рецепты!$H$6:$H$85,MATCH(Меню!$D$7,Рецепты!$H$6:$H$85,0)+19)=Меню!$D$7,FALSE),INDEX(Рецепты!$J$6:$J$85,MATCH(Меню!$D$7,Рецепты!$H$6:$H$85,0)+19),""),"")</f>
        <v/>
      </c>
      <c r="F50" s="3" t="str">
        <f>IF($E50="","",INDEX(Рецепты!$K$6:$K$85,MATCH(Меню!$D$7,Рецепты!$H$6:$H$85,0)+19))</f>
        <v/>
      </c>
      <c r="G50" s="3" t="str">
        <f>IF($E50="","",INDEX(Рецепты!$M$6:$M$85,MATCH(Меню!$D$7,Рецепты!$H$6:$H$85,0)+19))</f>
        <v/>
      </c>
      <c r="H50" s="12">
        <f>IFERROR(IF(IFERROR(INDEX(Рецепты!$H$6:$H$85,MATCH(Меню!$D$7,Рецепты!$H$6:$H$85,0)+19)=Меню!$D$7,FALSE),INDEX(Рецепты!$L$6:$L$85,MATCH(Меню!$D$7,Рецепты!$H$6:$H$85,0)+19),0),0)</f>
        <v>0</v>
      </c>
      <c r="I50" s="12" t="str">
        <f>IF($F50="","",Меню!$E$7)</f>
        <v/>
      </c>
      <c r="J50" s="12">
        <f t="shared" si="0"/>
        <v>0</v>
      </c>
      <c r="K50" s="12">
        <f>IFERROR($J50/100*INDEX(Продукты!$G$6:$G$66,MATCH($E50,Продукты!$A$6:$A$66,0)),0)</f>
        <v>0</v>
      </c>
      <c r="L50" s="12">
        <f>IFERROR($J50/100*INDEX(Продукты!$H$6:$H$66,MATCH($E50,Продукты!$A$6:$A$66,0)),0)</f>
        <v>0</v>
      </c>
      <c r="M50" s="12">
        <f>IFERROR($J50/100*INDEX(Продукты!$I$6:$I$66,MATCH($E50,Продукты!$A$6:$A$66,0)),0)</f>
        <v>0</v>
      </c>
      <c r="N50" s="12">
        <f>IFERROR($J50/100*INDEX(Продукты!$J$6:$J$66,MATCH($E50,Продукты!$A$6:$A$66,0)),0)</f>
        <v>0</v>
      </c>
      <c r="O50" s="3" t="str">
        <f>IFERROR(IF(IFERROR(INDEX(Рецепты!$H$6:$H$85,MATCH(Меню!$D$7,Рецепты!$H$6:$H$85,0)+19)=Меню!$D$7,FALSE),INDEX(Рецепты!$N$6:$N$85,MATCH(Меню!$D$7,Рецепты!$H$6:$H$85,0)+19),""),"")</f>
        <v/>
      </c>
    </row>
    <row r="51" spans="1:15">
      <c r="A51" s="3" t="str">
        <f>IF($E51="","",Меню!$A$7)</f>
        <v/>
      </c>
      <c r="B51" s="3" t="str">
        <f>IF($E51="","",Меню!$B$7)</f>
        <v/>
      </c>
      <c r="C51" s="3" t="str">
        <f>IF($E51="","",Меню!$C$7)</f>
        <v/>
      </c>
      <c r="D51" s="3" t="str">
        <f>IF($E51="","",Меню!$D$7)</f>
        <v/>
      </c>
      <c r="E51" s="3" t="str">
        <f>IFERROR(IF(IFERROR(INDEX(Рецепты!$H$6:$H$85,MATCH(Меню!$D$7,Рецепты!$H$6:$H$85,0)+20)=Меню!$D$7,FALSE),INDEX(Рецепты!$J$6:$J$85,MATCH(Меню!$D$7,Рецепты!$H$6:$H$85,0)+20),""),"")</f>
        <v/>
      </c>
      <c r="F51" s="3" t="str">
        <f>IF($E51="","",INDEX(Рецепты!$K$6:$K$85,MATCH(Меню!$D$7,Рецепты!$H$6:$H$85,0)+20))</f>
        <v/>
      </c>
      <c r="G51" s="3" t="str">
        <f>IF($E51="","",INDEX(Рецепты!$M$6:$M$85,MATCH(Меню!$D$7,Рецепты!$H$6:$H$85,0)+20))</f>
        <v/>
      </c>
      <c r="H51" s="12">
        <f>IFERROR(IF(IFERROR(INDEX(Рецепты!$H$6:$H$85,MATCH(Меню!$D$7,Рецепты!$H$6:$H$85,0)+20)=Меню!$D$7,FALSE),INDEX(Рецепты!$L$6:$L$85,MATCH(Меню!$D$7,Рецепты!$H$6:$H$85,0)+20),0),0)</f>
        <v>0</v>
      </c>
      <c r="I51" s="12" t="str">
        <f>IF($F51="","",Меню!$E$7)</f>
        <v/>
      </c>
      <c r="J51" s="12">
        <f t="shared" si="0"/>
        <v>0</v>
      </c>
      <c r="K51" s="12">
        <f>IFERROR($J51/100*INDEX(Продукты!$G$6:$G$66,MATCH($E51,Продукты!$A$6:$A$66,0)),0)</f>
        <v>0</v>
      </c>
      <c r="L51" s="12">
        <f>IFERROR($J51/100*INDEX(Продукты!$H$6:$H$66,MATCH($E51,Продукты!$A$6:$A$66,0)),0)</f>
        <v>0</v>
      </c>
      <c r="M51" s="12">
        <f>IFERROR($J51/100*INDEX(Продукты!$I$6:$I$66,MATCH($E51,Продукты!$A$6:$A$66,0)),0)</f>
        <v>0</v>
      </c>
      <c r="N51" s="12">
        <f>IFERROR($J51/100*INDEX(Продукты!$J$6:$J$66,MATCH($E51,Продукты!$A$6:$A$66,0)),0)</f>
        <v>0</v>
      </c>
      <c r="O51" s="3" t="str">
        <f>IFERROR(IF(IFERROR(INDEX(Рецепты!$H$6:$H$85,MATCH(Меню!$D$7,Рецепты!$H$6:$H$85,0)+20)=Меню!$D$7,FALSE),INDEX(Рецепты!$N$6:$N$85,MATCH(Меню!$D$7,Рецепты!$H$6:$H$85,0)+20),""),"")</f>
        <v/>
      </c>
    </row>
    <row r="52" spans="1:15">
      <c r="A52" s="3" t="str">
        <f>IF($E52="","",Меню!$A$7)</f>
        <v/>
      </c>
      <c r="B52" s="3" t="str">
        <f>IF($E52="","",Меню!$B$7)</f>
        <v/>
      </c>
      <c r="C52" s="3" t="str">
        <f>IF($E52="","",Меню!$C$7)</f>
        <v/>
      </c>
      <c r="D52" s="3" t="str">
        <f>IF($E52="","",Меню!$D$7)</f>
        <v/>
      </c>
      <c r="E52" s="3" t="str">
        <f>IFERROR(IF(IFERROR(INDEX(Рецепты!$H$6:$H$85,MATCH(Меню!$D$7,Рецепты!$H$6:$H$85,0)+21)=Меню!$D$7,FALSE),INDEX(Рецепты!$J$6:$J$85,MATCH(Меню!$D$7,Рецепты!$H$6:$H$85,0)+21),""),"")</f>
        <v/>
      </c>
      <c r="F52" s="3" t="str">
        <f>IF($E52="","",INDEX(Рецепты!$K$6:$K$85,MATCH(Меню!$D$7,Рецепты!$H$6:$H$85,0)+21))</f>
        <v/>
      </c>
      <c r="G52" s="3" t="str">
        <f>IF($E52="","",INDEX(Рецепты!$M$6:$M$85,MATCH(Меню!$D$7,Рецепты!$H$6:$H$85,0)+21))</f>
        <v/>
      </c>
      <c r="H52" s="12">
        <f>IFERROR(IF(IFERROR(INDEX(Рецепты!$H$6:$H$85,MATCH(Меню!$D$7,Рецепты!$H$6:$H$85,0)+21)=Меню!$D$7,FALSE),INDEX(Рецепты!$L$6:$L$85,MATCH(Меню!$D$7,Рецепты!$H$6:$H$85,0)+21),0),0)</f>
        <v>0</v>
      </c>
      <c r="I52" s="12" t="str">
        <f>IF($F52="","",Меню!$E$7)</f>
        <v/>
      </c>
      <c r="J52" s="12">
        <f t="shared" si="0"/>
        <v>0</v>
      </c>
      <c r="K52" s="12">
        <f>IFERROR($J52/100*INDEX(Продукты!$G$6:$G$66,MATCH($E52,Продукты!$A$6:$A$66,0)),0)</f>
        <v>0</v>
      </c>
      <c r="L52" s="12">
        <f>IFERROR($J52/100*INDEX(Продукты!$H$6:$H$66,MATCH($E52,Продукты!$A$6:$A$66,0)),0)</f>
        <v>0</v>
      </c>
      <c r="M52" s="12">
        <f>IFERROR($J52/100*INDEX(Продукты!$I$6:$I$66,MATCH($E52,Продукты!$A$6:$A$66,0)),0)</f>
        <v>0</v>
      </c>
      <c r="N52" s="12">
        <f>IFERROR($J52/100*INDEX(Продукты!$J$6:$J$66,MATCH($E52,Продукты!$A$6:$A$66,0)),0)</f>
        <v>0</v>
      </c>
      <c r="O52" s="3" t="str">
        <f>IFERROR(IF(IFERROR(INDEX(Рецепты!$H$6:$H$85,MATCH(Меню!$D$7,Рецепты!$H$6:$H$85,0)+21)=Меню!$D$7,FALSE),INDEX(Рецепты!$N$6:$N$85,MATCH(Меню!$D$7,Рецепты!$H$6:$H$85,0)+21),""),"")</f>
        <v/>
      </c>
    </row>
    <row r="53" spans="1:15">
      <c r="A53" s="3" t="str">
        <f>IF($E53="","",Меню!$A$7)</f>
        <v/>
      </c>
      <c r="B53" s="3" t="str">
        <f>IF($E53="","",Меню!$B$7)</f>
        <v/>
      </c>
      <c r="C53" s="3" t="str">
        <f>IF($E53="","",Меню!$C$7)</f>
        <v/>
      </c>
      <c r="D53" s="3" t="str">
        <f>IF($E53="","",Меню!$D$7)</f>
        <v/>
      </c>
      <c r="E53" s="3" t="str">
        <f>IFERROR(IF(IFERROR(INDEX(Рецепты!$H$6:$H$85,MATCH(Меню!$D$7,Рецепты!$H$6:$H$85,0)+22)=Меню!$D$7,FALSE),INDEX(Рецепты!$J$6:$J$85,MATCH(Меню!$D$7,Рецепты!$H$6:$H$85,0)+22),""),"")</f>
        <v/>
      </c>
      <c r="F53" s="3" t="str">
        <f>IF($E53="","",INDEX(Рецепты!$K$6:$K$85,MATCH(Меню!$D$7,Рецепты!$H$6:$H$85,0)+22))</f>
        <v/>
      </c>
      <c r="G53" s="3" t="str">
        <f>IF($E53="","",INDEX(Рецепты!$M$6:$M$85,MATCH(Меню!$D$7,Рецепты!$H$6:$H$85,0)+22))</f>
        <v/>
      </c>
      <c r="H53" s="12">
        <f>IFERROR(IF(IFERROR(INDEX(Рецепты!$H$6:$H$85,MATCH(Меню!$D$7,Рецепты!$H$6:$H$85,0)+22)=Меню!$D$7,FALSE),INDEX(Рецепты!$L$6:$L$85,MATCH(Меню!$D$7,Рецепты!$H$6:$H$85,0)+22),0),0)</f>
        <v>0</v>
      </c>
      <c r="I53" s="12" t="str">
        <f>IF($F53="","",Меню!$E$7)</f>
        <v/>
      </c>
      <c r="J53" s="12">
        <f t="shared" si="0"/>
        <v>0</v>
      </c>
      <c r="K53" s="12">
        <f>IFERROR($J53/100*INDEX(Продукты!$G$6:$G$66,MATCH($E53,Продукты!$A$6:$A$66,0)),0)</f>
        <v>0</v>
      </c>
      <c r="L53" s="12">
        <f>IFERROR($J53/100*INDEX(Продукты!$H$6:$H$66,MATCH($E53,Продукты!$A$6:$A$66,0)),0)</f>
        <v>0</v>
      </c>
      <c r="M53" s="12">
        <f>IFERROR($J53/100*INDEX(Продукты!$I$6:$I$66,MATCH($E53,Продукты!$A$6:$A$66,0)),0)</f>
        <v>0</v>
      </c>
      <c r="N53" s="12">
        <f>IFERROR($J53/100*INDEX(Продукты!$J$6:$J$66,MATCH($E53,Продукты!$A$6:$A$66,0)),0)</f>
        <v>0</v>
      </c>
      <c r="O53" s="3" t="str">
        <f>IFERROR(IF(IFERROR(INDEX(Рецепты!$H$6:$H$85,MATCH(Меню!$D$7,Рецепты!$H$6:$H$85,0)+22)=Меню!$D$7,FALSE),INDEX(Рецепты!$N$6:$N$85,MATCH(Меню!$D$7,Рецепты!$H$6:$H$85,0)+22),""),"")</f>
        <v/>
      </c>
    </row>
    <row r="54" spans="1:15">
      <c r="A54" s="3" t="str">
        <f>IF($E54="","",Меню!$A$7)</f>
        <v/>
      </c>
      <c r="B54" s="3" t="str">
        <f>IF($E54="","",Меню!$B$7)</f>
        <v/>
      </c>
      <c r="C54" s="3" t="str">
        <f>IF($E54="","",Меню!$C$7)</f>
        <v/>
      </c>
      <c r="D54" s="3" t="str">
        <f>IF($E54="","",Меню!$D$7)</f>
        <v/>
      </c>
      <c r="E54" s="3" t="str">
        <f>IFERROR(IF(IFERROR(INDEX(Рецепты!$H$6:$H$85,MATCH(Меню!$D$7,Рецепты!$H$6:$H$85,0)+23)=Меню!$D$7,FALSE),INDEX(Рецепты!$J$6:$J$85,MATCH(Меню!$D$7,Рецепты!$H$6:$H$85,0)+23),""),"")</f>
        <v/>
      </c>
      <c r="F54" s="3" t="str">
        <f>IF($E54="","",INDEX(Рецепты!$K$6:$K$85,MATCH(Меню!$D$7,Рецепты!$H$6:$H$85,0)+23))</f>
        <v/>
      </c>
      <c r="G54" s="3" t="str">
        <f>IF($E54="","",INDEX(Рецепты!$M$6:$M$85,MATCH(Меню!$D$7,Рецепты!$H$6:$H$85,0)+23))</f>
        <v/>
      </c>
      <c r="H54" s="12">
        <f>IFERROR(IF(IFERROR(INDEX(Рецепты!$H$6:$H$85,MATCH(Меню!$D$7,Рецепты!$H$6:$H$85,0)+23)=Меню!$D$7,FALSE),INDEX(Рецепты!$L$6:$L$85,MATCH(Меню!$D$7,Рецепты!$H$6:$H$85,0)+23),0),0)</f>
        <v>0</v>
      </c>
      <c r="I54" s="12" t="str">
        <f>IF($F54="","",Меню!$E$7)</f>
        <v/>
      </c>
      <c r="J54" s="12">
        <f t="shared" si="0"/>
        <v>0</v>
      </c>
      <c r="K54" s="12">
        <f>IFERROR($J54/100*INDEX(Продукты!$G$6:$G$66,MATCH($E54,Продукты!$A$6:$A$66,0)),0)</f>
        <v>0</v>
      </c>
      <c r="L54" s="12">
        <f>IFERROR($J54/100*INDEX(Продукты!$H$6:$H$66,MATCH($E54,Продукты!$A$6:$A$66,0)),0)</f>
        <v>0</v>
      </c>
      <c r="M54" s="12">
        <f>IFERROR($J54/100*INDEX(Продукты!$I$6:$I$66,MATCH($E54,Продукты!$A$6:$A$66,0)),0)</f>
        <v>0</v>
      </c>
      <c r="N54" s="12">
        <f>IFERROR($J54/100*INDEX(Продукты!$J$6:$J$66,MATCH($E54,Продукты!$A$6:$A$66,0)),0)</f>
        <v>0</v>
      </c>
      <c r="O54" s="3" t="str">
        <f>IFERROR(IF(IFERROR(INDEX(Рецепты!$H$6:$H$85,MATCH(Меню!$D$7,Рецепты!$H$6:$H$85,0)+23)=Меню!$D$7,FALSE),INDEX(Рецепты!$N$6:$N$85,MATCH(Меню!$D$7,Рецепты!$H$6:$H$85,0)+23),""),"")</f>
        <v/>
      </c>
    </row>
    <row r="55" spans="1:15">
      <c r="A55" s="3" t="str">
        <f>IF($E55="","",Меню!$A$7)</f>
        <v/>
      </c>
      <c r="B55" s="3" t="str">
        <f>IF($E55="","",Меню!$B$7)</f>
        <v/>
      </c>
      <c r="C55" s="3" t="str">
        <f>IF($E55="","",Меню!$C$7)</f>
        <v/>
      </c>
      <c r="D55" s="3" t="str">
        <f>IF($E55="","",Меню!$D$7)</f>
        <v/>
      </c>
      <c r="E55" s="3" t="str">
        <f>IFERROR(IF(IFERROR(INDEX(Рецепты!$H$6:$H$85,MATCH(Меню!$D$7,Рецепты!$H$6:$H$85,0)+24)=Меню!$D$7,FALSE),INDEX(Рецепты!$J$6:$J$85,MATCH(Меню!$D$7,Рецепты!$H$6:$H$85,0)+24),""),"")</f>
        <v/>
      </c>
      <c r="F55" s="3" t="str">
        <f>IF($E55="","",INDEX(Рецепты!$K$6:$K$85,MATCH(Меню!$D$7,Рецепты!$H$6:$H$85,0)+24))</f>
        <v/>
      </c>
      <c r="G55" s="3" t="str">
        <f>IF($E55="","",INDEX(Рецепты!$M$6:$M$85,MATCH(Меню!$D$7,Рецепты!$H$6:$H$85,0)+24))</f>
        <v/>
      </c>
      <c r="H55" s="12">
        <f>IFERROR(IF(IFERROR(INDEX(Рецепты!$H$6:$H$85,MATCH(Меню!$D$7,Рецепты!$H$6:$H$85,0)+24)=Меню!$D$7,FALSE),INDEX(Рецепты!$L$6:$L$85,MATCH(Меню!$D$7,Рецепты!$H$6:$H$85,0)+24),0),0)</f>
        <v>0</v>
      </c>
      <c r="I55" s="12" t="str">
        <f>IF($F55="","",Меню!$E$7)</f>
        <v/>
      </c>
      <c r="J55" s="12">
        <f t="shared" si="0"/>
        <v>0</v>
      </c>
      <c r="K55" s="12">
        <f>IFERROR($J55/100*INDEX(Продукты!$G$6:$G$66,MATCH($E55,Продукты!$A$6:$A$66,0)),0)</f>
        <v>0</v>
      </c>
      <c r="L55" s="12">
        <f>IFERROR($J55/100*INDEX(Продукты!$H$6:$H$66,MATCH($E55,Продукты!$A$6:$A$66,0)),0)</f>
        <v>0</v>
      </c>
      <c r="M55" s="12">
        <f>IFERROR($J55/100*INDEX(Продукты!$I$6:$I$66,MATCH($E55,Продукты!$A$6:$A$66,0)),0)</f>
        <v>0</v>
      </c>
      <c r="N55" s="12">
        <f>IFERROR($J55/100*INDEX(Продукты!$J$6:$J$66,MATCH($E55,Продукты!$A$6:$A$66,0)),0)</f>
        <v>0</v>
      </c>
      <c r="O55" s="3" t="str">
        <f>IFERROR(IF(IFERROR(INDEX(Рецепты!$H$6:$H$85,MATCH(Меню!$D$7,Рецепты!$H$6:$H$85,0)+24)=Меню!$D$7,FALSE),INDEX(Рецепты!$N$6:$N$85,MATCH(Меню!$D$7,Рецепты!$H$6:$H$85,0)+24),""),"")</f>
        <v/>
      </c>
    </row>
    <row r="56" spans="1:15">
      <c r="A56" s="3" t="str">
        <f>IF($E56="","",Меню!$A$8)</f>
        <v/>
      </c>
      <c r="B56" s="3" t="str">
        <f>IF($E56="","",Меню!$B$8)</f>
        <v/>
      </c>
      <c r="C56" s="3" t="str">
        <f>IF($E56="","",Меню!$C$8)</f>
        <v/>
      </c>
      <c r="D56" s="3" t="str">
        <f>IF($E56="","",Меню!$D$8)</f>
        <v/>
      </c>
      <c r="E56" s="3" t="str">
        <f>IFERROR(IF(IFERROR(INDEX(Рецепты!$H$6:$H$85,MATCH(Меню!$D$8,Рецепты!$H$6:$H$85,0)+0)=Меню!$D$8,FALSE),INDEX(Рецепты!$J$6:$J$85,MATCH(Меню!$D$8,Рецепты!$H$6:$H$85,0)+0),""),"")</f>
        <v/>
      </c>
      <c r="F56" s="3" t="str">
        <f>IF($E56="","",INDEX(Рецепты!$K$6:$K$85,MATCH(Меню!$D$8,Рецепты!$H$6:$H$85,0)+0))</f>
        <v/>
      </c>
      <c r="G56" s="3" t="str">
        <f>IF($E56="","",INDEX(Рецепты!$M$6:$M$85,MATCH(Меню!$D$8,Рецепты!$H$6:$H$85,0)+0))</f>
        <v/>
      </c>
      <c r="H56" s="12">
        <f>IFERROR(IF(IFERROR(INDEX(Рецепты!$H$6:$H$85,MATCH(Меню!$D$8,Рецепты!$H$6:$H$85,0)+0)=Меню!$D$8,FALSE),INDEX(Рецепты!$L$6:$L$85,MATCH(Меню!$D$8,Рецепты!$H$6:$H$85,0)+0),0),0)</f>
        <v>0</v>
      </c>
      <c r="I56" s="12" t="str">
        <f>IF($F56="","",Меню!$E$8)</f>
        <v/>
      </c>
      <c r="J56" s="12">
        <f t="shared" si="0"/>
        <v>0</v>
      </c>
      <c r="K56" s="12">
        <f>IFERROR($J56/100*INDEX(Продукты!$G$6:$G$66,MATCH($E56,Продукты!$A$6:$A$66,0)),0)</f>
        <v>0</v>
      </c>
      <c r="L56" s="12">
        <f>IFERROR($J56/100*INDEX(Продукты!$H$6:$H$66,MATCH($E56,Продукты!$A$6:$A$66,0)),0)</f>
        <v>0</v>
      </c>
      <c r="M56" s="12">
        <f>IFERROR($J56/100*INDEX(Продукты!$I$6:$I$66,MATCH($E56,Продукты!$A$6:$A$66,0)),0)</f>
        <v>0</v>
      </c>
      <c r="N56" s="12">
        <f>IFERROR($J56/100*INDEX(Продукты!$J$6:$J$66,MATCH($E56,Продукты!$A$6:$A$66,0)),0)</f>
        <v>0</v>
      </c>
      <c r="O56" s="3" t="str">
        <f>IFERROR(IF(IFERROR(INDEX(Рецепты!$H$6:$H$85,MATCH(Меню!$D$8,Рецепты!$H$6:$H$85,0)+0)=Меню!$D$8,FALSE),INDEX(Рецепты!$N$6:$N$85,MATCH(Меню!$D$8,Рецепты!$H$6:$H$85,0)+0),""),"")</f>
        <v/>
      </c>
    </row>
    <row r="57" spans="1:15">
      <c r="A57" s="3" t="str">
        <f>IF($E57="","",Меню!$A$8)</f>
        <v/>
      </c>
      <c r="B57" s="3" t="str">
        <f>IF($E57="","",Меню!$B$8)</f>
        <v/>
      </c>
      <c r="C57" s="3" t="str">
        <f>IF($E57="","",Меню!$C$8)</f>
        <v/>
      </c>
      <c r="D57" s="3" t="str">
        <f>IF($E57="","",Меню!$D$8)</f>
        <v/>
      </c>
      <c r="E57" s="3" t="str">
        <f>IFERROR(IF(IFERROR(INDEX(Рецепты!$H$6:$H$85,MATCH(Меню!$D$8,Рецепты!$H$6:$H$85,0)+1)=Меню!$D$8,FALSE),INDEX(Рецепты!$J$6:$J$85,MATCH(Меню!$D$8,Рецепты!$H$6:$H$85,0)+1),""),"")</f>
        <v/>
      </c>
      <c r="F57" s="3" t="str">
        <f>IF($E57="","",INDEX(Рецепты!$K$6:$K$85,MATCH(Меню!$D$8,Рецепты!$H$6:$H$85,0)+1))</f>
        <v/>
      </c>
      <c r="G57" s="3" t="str">
        <f>IF($E57="","",INDEX(Рецепты!$M$6:$M$85,MATCH(Меню!$D$8,Рецепты!$H$6:$H$85,0)+1))</f>
        <v/>
      </c>
      <c r="H57" s="12">
        <f>IFERROR(IF(IFERROR(INDEX(Рецепты!$H$6:$H$85,MATCH(Меню!$D$8,Рецепты!$H$6:$H$85,0)+1)=Меню!$D$8,FALSE),INDEX(Рецепты!$L$6:$L$85,MATCH(Меню!$D$8,Рецепты!$H$6:$H$85,0)+1),0),0)</f>
        <v>0</v>
      </c>
      <c r="I57" s="12" t="str">
        <f>IF($F57="","",Меню!$E$8)</f>
        <v/>
      </c>
      <c r="J57" s="12">
        <f t="shared" si="0"/>
        <v>0</v>
      </c>
      <c r="K57" s="12">
        <f>IFERROR($J57/100*INDEX(Продукты!$G$6:$G$66,MATCH($E57,Продукты!$A$6:$A$66,0)),0)</f>
        <v>0</v>
      </c>
      <c r="L57" s="12">
        <f>IFERROR($J57/100*INDEX(Продукты!$H$6:$H$66,MATCH($E57,Продукты!$A$6:$A$66,0)),0)</f>
        <v>0</v>
      </c>
      <c r="M57" s="12">
        <f>IFERROR($J57/100*INDEX(Продукты!$I$6:$I$66,MATCH($E57,Продукты!$A$6:$A$66,0)),0)</f>
        <v>0</v>
      </c>
      <c r="N57" s="12">
        <f>IFERROR($J57/100*INDEX(Продукты!$J$6:$J$66,MATCH($E57,Продукты!$A$6:$A$66,0)),0)</f>
        <v>0</v>
      </c>
      <c r="O57" s="3" t="str">
        <f>IFERROR(IF(IFERROR(INDEX(Рецепты!$H$6:$H$85,MATCH(Меню!$D$8,Рецепты!$H$6:$H$85,0)+1)=Меню!$D$8,FALSE),INDEX(Рецепты!$N$6:$N$85,MATCH(Меню!$D$8,Рецепты!$H$6:$H$85,0)+1),""),"")</f>
        <v/>
      </c>
    </row>
    <row r="58" spans="1:15">
      <c r="A58" s="3" t="str">
        <f>IF($E58="","",Меню!$A$8)</f>
        <v/>
      </c>
      <c r="B58" s="3" t="str">
        <f>IF($E58="","",Меню!$B$8)</f>
        <v/>
      </c>
      <c r="C58" s="3" t="str">
        <f>IF($E58="","",Меню!$C$8)</f>
        <v/>
      </c>
      <c r="D58" s="3" t="str">
        <f>IF($E58="","",Меню!$D$8)</f>
        <v/>
      </c>
      <c r="E58" s="3" t="str">
        <f>IFERROR(IF(IFERROR(INDEX(Рецепты!$H$6:$H$85,MATCH(Меню!$D$8,Рецепты!$H$6:$H$85,0)+2)=Меню!$D$8,FALSE),INDEX(Рецепты!$J$6:$J$85,MATCH(Меню!$D$8,Рецепты!$H$6:$H$85,0)+2),""),"")</f>
        <v/>
      </c>
      <c r="F58" s="3" t="str">
        <f>IF($E58="","",INDEX(Рецепты!$K$6:$K$85,MATCH(Меню!$D$8,Рецепты!$H$6:$H$85,0)+2))</f>
        <v/>
      </c>
      <c r="G58" s="3" t="str">
        <f>IF($E58="","",INDEX(Рецепты!$M$6:$M$85,MATCH(Меню!$D$8,Рецепты!$H$6:$H$85,0)+2))</f>
        <v/>
      </c>
      <c r="H58" s="12">
        <f>IFERROR(IF(IFERROR(INDEX(Рецепты!$H$6:$H$85,MATCH(Меню!$D$8,Рецепты!$H$6:$H$85,0)+2)=Меню!$D$8,FALSE),INDEX(Рецепты!$L$6:$L$85,MATCH(Меню!$D$8,Рецепты!$H$6:$H$85,0)+2),0),0)</f>
        <v>0</v>
      </c>
      <c r="I58" s="12" t="str">
        <f>IF($F58="","",Меню!$E$8)</f>
        <v/>
      </c>
      <c r="J58" s="12">
        <f t="shared" si="0"/>
        <v>0</v>
      </c>
      <c r="K58" s="12">
        <f>IFERROR($J58/100*INDEX(Продукты!$G$6:$G$66,MATCH($E58,Продукты!$A$6:$A$66,0)),0)</f>
        <v>0</v>
      </c>
      <c r="L58" s="12">
        <f>IFERROR($J58/100*INDEX(Продукты!$H$6:$H$66,MATCH($E58,Продукты!$A$6:$A$66,0)),0)</f>
        <v>0</v>
      </c>
      <c r="M58" s="12">
        <f>IFERROR($J58/100*INDEX(Продукты!$I$6:$I$66,MATCH($E58,Продукты!$A$6:$A$66,0)),0)</f>
        <v>0</v>
      </c>
      <c r="N58" s="12">
        <f>IFERROR($J58/100*INDEX(Продукты!$J$6:$J$66,MATCH($E58,Продукты!$A$6:$A$66,0)),0)</f>
        <v>0</v>
      </c>
      <c r="O58" s="3" t="str">
        <f>IFERROR(IF(IFERROR(INDEX(Рецепты!$H$6:$H$85,MATCH(Меню!$D$8,Рецепты!$H$6:$H$85,0)+2)=Меню!$D$8,FALSE),INDEX(Рецепты!$N$6:$N$85,MATCH(Меню!$D$8,Рецепты!$H$6:$H$85,0)+2),""),"")</f>
        <v/>
      </c>
    </row>
    <row r="59" spans="1:15">
      <c r="A59" s="3" t="str">
        <f>IF($E59="","",Меню!$A$8)</f>
        <v/>
      </c>
      <c r="B59" s="3" t="str">
        <f>IF($E59="","",Меню!$B$8)</f>
        <v/>
      </c>
      <c r="C59" s="3" t="str">
        <f>IF($E59="","",Меню!$C$8)</f>
        <v/>
      </c>
      <c r="D59" s="3" t="str">
        <f>IF($E59="","",Меню!$D$8)</f>
        <v/>
      </c>
      <c r="E59" s="3" t="str">
        <f>IFERROR(IF(IFERROR(INDEX(Рецепты!$H$6:$H$85,MATCH(Меню!$D$8,Рецепты!$H$6:$H$85,0)+3)=Меню!$D$8,FALSE),INDEX(Рецепты!$J$6:$J$85,MATCH(Меню!$D$8,Рецепты!$H$6:$H$85,0)+3),""),"")</f>
        <v/>
      </c>
      <c r="F59" s="3" t="str">
        <f>IF($E59="","",INDEX(Рецепты!$K$6:$K$85,MATCH(Меню!$D$8,Рецепты!$H$6:$H$85,0)+3))</f>
        <v/>
      </c>
      <c r="G59" s="3" t="str">
        <f>IF($E59="","",INDEX(Рецепты!$M$6:$M$85,MATCH(Меню!$D$8,Рецепты!$H$6:$H$85,0)+3))</f>
        <v/>
      </c>
      <c r="H59" s="12">
        <f>IFERROR(IF(IFERROR(INDEX(Рецепты!$H$6:$H$85,MATCH(Меню!$D$8,Рецепты!$H$6:$H$85,0)+3)=Меню!$D$8,FALSE),INDEX(Рецепты!$L$6:$L$85,MATCH(Меню!$D$8,Рецепты!$H$6:$H$85,0)+3),0),0)</f>
        <v>0</v>
      </c>
      <c r="I59" s="12" t="str">
        <f>IF($F59="","",Меню!$E$8)</f>
        <v/>
      </c>
      <c r="J59" s="12">
        <f t="shared" si="0"/>
        <v>0</v>
      </c>
      <c r="K59" s="12">
        <f>IFERROR($J59/100*INDEX(Продукты!$G$6:$G$66,MATCH($E59,Продукты!$A$6:$A$66,0)),0)</f>
        <v>0</v>
      </c>
      <c r="L59" s="12">
        <f>IFERROR($J59/100*INDEX(Продукты!$H$6:$H$66,MATCH($E59,Продукты!$A$6:$A$66,0)),0)</f>
        <v>0</v>
      </c>
      <c r="M59" s="12">
        <f>IFERROR($J59/100*INDEX(Продукты!$I$6:$I$66,MATCH($E59,Продукты!$A$6:$A$66,0)),0)</f>
        <v>0</v>
      </c>
      <c r="N59" s="12">
        <f>IFERROR($J59/100*INDEX(Продукты!$J$6:$J$66,MATCH($E59,Продукты!$A$6:$A$66,0)),0)</f>
        <v>0</v>
      </c>
      <c r="O59" s="3" t="str">
        <f>IFERROR(IF(IFERROR(INDEX(Рецепты!$H$6:$H$85,MATCH(Меню!$D$8,Рецепты!$H$6:$H$85,0)+3)=Меню!$D$8,FALSE),INDEX(Рецепты!$N$6:$N$85,MATCH(Меню!$D$8,Рецепты!$H$6:$H$85,0)+3),""),"")</f>
        <v/>
      </c>
    </row>
    <row r="60" spans="1:15">
      <c r="A60" s="3" t="str">
        <f>IF($E60="","",Меню!$A$8)</f>
        <v/>
      </c>
      <c r="B60" s="3" t="str">
        <f>IF($E60="","",Меню!$B$8)</f>
        <v/>
      </c>
      <c r="C60" s="3" t="str">
        <f>IF($E60="","",Меню!$C$8)</f>
        <v/>
      </c>
      <c r="D60" s="3" t="str">
        <f>IF($E60="","",Меню!$D$8)</f>
        <v/>
      </c>
      <c r="E60" s="3" t="str">
        <f>IFERROR(IF(IFERROR(INDEX(Рецепты!$H$6:$H$85,MATCH(Меню!$D$8,Рецепты!$H$6:$H$85,0)+4)=Меню!$D$8,FALSE),INDEX(Рецепты!$J$6:$J$85,MATCH(Меню!$D$8,Рецепты!$H$6:$H$85,0)+4),""),"")</f>
        <v/>
      </c>
      <c r="F60" s="3" t="str">
        <f>IF($E60="","",INDEX(Рецепты!$K$6:$K$85,MATCH(Меню!$D$8,Рецепты!$H$6:$H$85,0)+4))</f>
        <v/>
      </c>
      <c r="G60" s="3" t="str">
        <f>IF($E60="","",INDEX(Рецепты!$M$6:$M$85,MATCH(Меню!$D$8,Рецепты!$H$6:$H$85,0)+4))</f>
        <v/>
      </c>
      <c r="H60" s="12">
        <f>IFERROR(IF(IFERROR(INDEX(Рецепты!$H$6:$H$85,MATCH(Меню!$D$8,Рецепты!$H$6:$H$85,0)+4)=Меню!$D$8,FALSE),INDEX(Рецепты!$L$6:$L$85,MATCH(Меню!$D$8,Рецепты!$H$6:$H$85,0)+4),0),0)</f>
        <v>0</v>
      </c>
      <c r="I60" s="12" t="str">
        <f>IF($F60="","",Меню!$E$8)</f>
        <v/>
      </c>
      <c r="J60" s="12">
        <f t="shared" si="0"/>
        <v>0</v>
      </c>
      <c r="K60" s="12">
        <f>IFERROR($J60/100*INDEX(Продукты!$G$6:$G$66,MATCH($E60,Продукты!$A$6:$A$66,0)),0)</f>
        <v>0</v>
      </c>
      <c r="L60" s="12">
        <f>IFERROR($J60/100*INDEX(Продукты!$H$6:$H$66,MATCH($E60,Продукты!$A$6:$A$66,0)),0)</f>
        <v>0</v>
      </c>
      <c r="M60" s="12">
        <f>IFERROR($J60/100*INDEX(Продукты!$I$6:$I$66,MATCH($E60,Продукты!$A$6:$A$66,0)),0)</f>
        <v>0</v>
      </c>
      <c r="N60" s="12">
        <f>IFERROR($J60/100*INDEX(Продукты!$J$6:$J$66,MATCH($E60,Продукты!$A$6:$A$66,0)),0)</f>
        <v>0</v>
      </c>
      <c r="O60" s="3" t="str">
        <f>IFERROR(IF(IFERROR(INDEX(Рецепты!$H$6:$H$85,MATCH(Меню!$D$8,Рецепты!$H$6:$H$85,0)+4)=Меню!$D$8,FALSE),INDEX(Рецепты!$N$6:$N$85,MATCH(Меню!$D$8,Рецепты!$H$6:$H$85,0)+4),""),"")</f>
        <v/>
      </c>
    </row>
    <row r="61" spans="1:15">
      <c r="A61" s="3" t="str">
        <f>IF($E61="","",Меню!$A$8)</f>
        <v/>
      </c>
      <c r="B61" s="3" t="str">
        <f>IF($E61="","",Меню!$B$8)</f>
        <v/>
      </c>
      <c r="C61" s="3" t="str">
        <f>IF($E61="","",Меню!$C$8)</f>
        <v/>
      </c>
      <c r="D61" s="3" t="str">
        <f>IF($E61="","",Меню!$D$8)</f>
        <v/>
      </c>
      <c r="E61" s="3" t="str">
        <f>IFERROR(IF(IFERROR(INDEX(Рецепты!$H$6:$H$85,MATCH(Меню!$D$8,Рецепты!$H$6:$H$85,0)+5)=Меню!$D$8,FALSE),INDEX(Рецепты!$J$6:$J$85,MATCH(Меню!$D$8,Рецепты!$H$6:$H$85,0)+5),""),"")</f>
        <v/>
      </c>
      <c r="F61" s="3" t="str">
        <f>IF($E61="","",INDEX(Рецепты!$K$6:$K$85,MATCH(Меню!$D$8,Рецепты!$H$6:$H$85,0)+5))</f>
        <v/>
      </c>
      <c r="G61" s="3" t="str">
        <f>IF($E61="","",INDEX(Рецепты!$M$6:$M$85,MATCH(Меню!$D$8,Рецепты!$H$6:$H$85,0)+5))</f>
        <v/>
      </c>
      <c r="H61" s="12">
        <f>IFERROR(IF(IFERROR(INDEX(Рецепты!$H$6:$H$85,MATCH(Меню!$D$8,Рецепты!$H$6:$H$85,0)+5)=Меню!$D$8,FALSE),INDEX(Рецепты!$L$6:$L$85,MATCH(Меню!$D$8,Рецепты!$H$6:$H$85,0)+5),0),0)</f>
        <v>0</v>
      </c>
      <c r="I61" s="12" t="str">
        <f>IF($F61="","",Меню!$E$8)</f>
        <v/>
      </c>
      <c r="J61" s="12">
        <f t="shared" si="0"/>
        <v>0</v>
      </c>
      <c r="K61" s="12">
        <f>IFERROR($J61/100*INDEX(Продукты!$G$6:$G$66,MATCH($E61,Продукты!$A$6:$A$66,0)),0)</f>
        <v>0</v>
      </c>
      <c r="L61" s="12">
        <f>IFERROR($J61/100*INDEX(Продукты!$H$6:$H$66,MATCH($E61,Продукты!$A$6:$A$66,0)),0)</f>
        <v>0</v>
      </c>
      <c r="M61" s="12">
        <f>IFERROR($J61/100*INDEX(Продукты!$I$6:$I$66,MATCH($E61,Продукты!$A$6:$A$66,0)),0)</f>
        <v>0</v>
      </c>
      <c r="N61" s="12">
        <f>IFERROR($J61/100*INDEX(Продукты!$J$6:$J$66,MATCH($E61,Продукты!$A$6:$A$66,0)),0)</f>
        <v>0</v>
      </c>
      <c r="O61" s="3" t="str">
        <f>IFERROR(IF(IFERROR(INDEX(Рецепты!$H$6:$H$85,MATCH(Меню!$D$8,Рецепты!$H$6:$H$85,0)+5)=Меню!$D$8,FALSE),INDEX(Рецепты!$N$6:$N$85,MATCH(Меню!$D$8,Рецепты!$H$6:$H$85,0)+5),""),"")</f>
        <v/>
      </c>
    </row>
    <row r="62" spans="1:15">
      <c r="A62" s="3" t="str">
        <f>IF($E62="","",Меню!$A$8)</f>
        <v/>
      </c>
      <c r="B62" s="3" t="str">
        <f>IF($E62="","",Меню!$B$8)</f>
        <v/>
      </c>
      <c r="C62" s="3" t="str">
        <f>IF($E62="","",Меню!$C$8)</f>
        <v/>
      </c>
      <c r="D62" s="3" t="str">
        <f>IF($E62="","",Меню!$D$8)</f>
        <v/>
      </c>
      <c r="E62" s="3" t="str">
        <f>IFERROR(IF(IFERROR(INDEX(Рецепты!$H$6:$H$85,MATCH(Меню!$D$8,Рецепты!$H$6:$H$85,0)+6)=Меню!$D$8,FALSE),INDEX(Рецепты!$J$6:$J$85,MATCH(Меню!$D$8,Рецепты!$H$6:$H$85,0)+6),""),"")</f>
        <v/>
      </c>
      <c r="F62" s="3" t="str">
        <f>IF($E62="","",INDEX(Рецепты!$K$6:$K$85,MATCH(Меню!$D$8,Рецепты!$H$6:$H$85,0)+6))</f>
        <v/>
      </c>
      <c r="G62" s="3" t="str">
        <f>IF($E62="","",INDEX(Рецепты!$M$6:$M$85,MATCH(Меню!$D$8,Рецепты!$H$6:$H$85,0)+6))</f>
        <v/>
      </c>
      <c r="H62" s="12">
        <f>IFERROR(IF(IFERROR(INDEX(Рецепты!$H$6:$H$85,MATCH(Меню!$D$8,Рецепты!$H$6:$H$85,0)+6)=Меню!$D$8,FALSE),INDEX(Рецепты!$L$6:$L$85,MATCH(Меню!$D$8,Рецепты!$H$6:$H$85,0)+6),0),0)</f>
        <v>0</v>
      </c>
      <c r="I62" s="12" t="str">
        <f>IF($F62="","",Меню!$E$8)</f>
        <v/>
      </c>
      <c r="J62" s="12">
        <f t="shared" si="0"/>
        <v>0</v>
      </c>
      <c r="K62" s="12">
        <f>IFERROR($J62/100*INDEX(Продукты!$G$6:$G$66,MATCH($E62,Продукты!$A$6:$A$66,0)),0)</f>
        <v>0</v>
      </c>
      <c r="L62" s="12">
        <f>IFERROR($J62/100*INDEX(Продукты!$H$6:$H$66,MATCH($E62,Продукты!$A$6:$A$66,0)),0)</f>
        <v>0</v>
      </c>
      <c r="M62" s="12">
        <f>IFERROR($J62/100*INDEX(Продукты!$I$6:$I$66,MATCH($E62,Продукты!$A$6:$A$66,0)),0)</f>
        <v>0</v>
      </c>
      <c r="N62" s="12">
        <f>IFERROR($J62/100*INDEX(Продукты!$J$6:$J$66,MATCH($E62,Продукты!$A$6:$A$66,0)),0)</f>
        <v>0</v>
      </c>
      <c r="O62" s="3" t="str">
        <f>IFERROR(IF(IFERROR(INDEX(Рецепты!$H$6:$H$85,MATCH(Меню!$D$8,Рецепты!$H$6:$H$85,0)+6)=Меню!$D$8,FALSE),INDEX(Рецепты!$N$6:$N$85,MATCH(Меню!$D$8,Рецепты!$H$6:$H$85,0)+6),""),"")</f>
        <v/>
      </c>
    </row>
    <row r="63" spans="1:15">
      <c r="A63" s="3" t="str">
        <f>IF($E63="","",Меню!$A$8)</f>
        <v/>
      </c>
      <c r="B63" s="3" t="str">
        <f>IF($E63="","",Меню!$B$8)</f>
        <v/>
      </c>
      <c r="C63" s="3" t="str">
        <f>IF($E63="","",Меню!$C$8)</f>
        <v/>
      </c>
      <c r="D63" s="3" t="str">
        <f>IF($E63="","",Меню!$D$8)</f>
        <v/>
      </c>
      <c r="E63" s="3" t="str">
        <f>IFERROR(IF(IFERROR(INDEX(Рецепты!$H$6:$H$85,MATCH(Меню!$D$8,Рецепты!$H$6:$H$85,0)+7)=Меню!$D$8,FALSE),INDEX(Рецепты!$J$6:$J$85,MATCH(Меню!$D$8,Рецепты!$H$6:$H$85,0)+7),""),"")</f>
        <v/>
      </c>
      <c r="F63" s="3" t="str">
        <f>IF($E63="","",INDEX(Рецепты!$K$6:$K$85,MATCH(Меню!$D$8,Рецепты!$H$6:$H$85,0)+7))</f>
        <v/>
      </c>
      <c r="G63" s="3" t="str">
        <f>IF($E63="","",INDEX(Рецепты!$M$6:$M$85,MATCH(Меню!$D$8,Рецепты!$H$6:$H$85,0)+7))</f>
        <v/>
      </c>
      <c r="H63" s="12">
        <f>IFERROR(IF(IFERROR(INDEX(Рецепты!$H$6:$H$85,MATCH(Меню!$D$8,Рецепты!$H$6:$H$85,0)+7)=Меню!$D$8,FALSE),INDEX(Рецепты!$L$6:$L$85,MATCH(Меню!$D$8,Рецепты!$H$6:$H$85,0)+7),0),0)</f>
        <v>0</v>
      </c>
      <c r="I63" s="12" t="str">
        <f>IF($F63="","",Меню!$E$8)</f>
        <v/>
      </c>
      <c r="J63" s="12">
        <f t="shared" si="0"/>
        <v>0</v>
      </c>
      <c r="K63" s="12">
        <f>IFERROR($J63/100*INDEX(Продукты!$G$6:$G$66,MATCH($E63,Продукты!$A$6:$A$66,0)),0)</f>
        <v>0</v>
      </c>
      <c r="L63" s="12">
        <f>IFERROR($J63/100*INDEX(Продукты!$H$6:$H$66,MATCH($E63,Продукты!$A$6:$A$66,0)),0)</f>
        <v>0</v>
      </c>
      <c r="M63" s="12">
        <f>IFERROR($J63/100*INDEX(Продукты!$I$6:$I$66,MATCH($E63,Продукты!$A$6:$A$66,0)),0)</f>
        <v>0</v>
      </c>
      <c r="N63" s="12">
        <f>IFERROR($J63/100*INDEX(Продукты!$J$6:$J$66,MATCH($E63,Продукты!$A$6:$A$66,0)),0)</f>
        <v>0</v>
      </c>
      <c r="O63" s="3" t="str">
        <f>IFERROR(IF(IFERROR(INDEX(Рецепты!$H$6:$H$85,MATCH(Меню!$D$8,Рецепты!$H$6:$H$85,0)+7)=Меню!$D$8,FALSE),INDEX(Рецепты!$N$6:$N$85,MATCH(Меню!$D$8,Рецепты!$H$6:$H$85,0)+7),""),"")</f>
        <v/>
      </c>
    </row>
    <row r="64" spans="1:15">
      <c r="A64" s="3" t="str">
        <f>IF($E64="","",Меню!$A$8)</f>
        <v/>
      </c>
      <c r="B64" s="3" t="str">
        <f>IF($E64="","",Меню!$B$8)</f>
        <v/>
      </c>
      <c r="C64" s="3" t="str">
        <f>IF($E64="","",Меню!$C$8)</f>
        <v/>
      </c>
      <c r="D64" s="3" t="str">
        <f>IF($E64="","",Меню!$D$8)</f>
        <v/>
      </c>
      <c r="E64" s="3" t="str">
        <f>IFERROR(IF(IFERROR(INDEX(Рецепты!$H$6:$H$85,MATCH(Меню!$D$8,Рецепты!$H$6:$H$85,0)+8)=Меню!$D$8,FALSE),INDEX(Рецепты!$J$6:$J$85,MATCH(Меню!$D$8,Рецепты!$H$6:$H$85,0)+8),""),"")</f>
        <v/>
      </c>
      <c r="F64" s="3" t="str">
        <f>IF($E64="","",INDEX(Рецепты!$K$6:$K$85,MATCH(Меню!$D$8,Рецепты!$H$6:$H$85,0)+8))</f>
        <v/>
      </c>
      <c r="G64" s="3" t="str">
        <f>IF($E64="","",INDEX(Рецепты!$M$6:$M$85,MATCH(Меню!$D$8,Рецепты!$H$6:$H$85,0)+8))</f>
        <v/>
      </c>
      <c r="H64" s="12">
        <f>IFERROR(IF(IFERROR(INDEX(Рецепты!$H$6:$H$85,MATCH(Меню!$D$8,Рецепты!$H$6:$H$85,0)+8)=Меню!$D$8,FALSE),INDEX(Рецепты!$L$6:$L$85,MATCH(Меню!$D$8,Рецепты!$H$6:$H$85,0)+8),0),0)</f>
        <v>0</v>
      </c>
      <c r="I64" s="12" t="str">
        <f>IF($F64="","",Меню!$E$8)</f>
        <v/>
      </c>
      <c r="J64" s="12">
        <f t="shared" si="0"/>
        <v>0</v>
      </c>
      <c r="K64" s="12">
        <f>IFERROR($J64/100*INDEX(Продукты!$G$6:$G$66,MATCH($E64,Продукты!$A$6:$A$66,0)),0)</f>
        <v>0</v>
      </c>
      <c r="L64" s="12">
        <f>IFERROR($J64/100*INDEX(Продукты!$H$6:$H$66,MATCH($E64,Продукты!$A$6:$A$66,0)),0)</f>
        <v>0</v>
      </c>
      <c r="M64" s="12">
        <f>IFERROR($J64/100*INDEX(Продукты!$I$6:$I$66,MATCH($E64,Продукты!$A$6:$A$66,0)),0)</f>
        <v>0</v>
      </c>
      <c r="N64" s="12">
        <f>IFERROR($J64/100*INDEX(Продукты!$J$6:$J$66,MATCH($E64,Продукты!$A$6:$A$66,0)),0)</f>
        <v>0</v>
      </c>
      <c r="O64" s="3" t="str">
        <f>IFERROR(IF(IFERROR(INDEX(Рецепты!$H$6:$H$85,MATCH(Меню!$D$8,Рецепты!$H$6:$H$85,0)+8)=Меню!$D$8,FALSE),INDEX(Рецепты!$N$6:$N$85,MATCH(Меню!$D$8,Рецепты!$H$6:$H$85,0)+8),""),"")</f>
        <v/>
      </c>
    </row>
    <row r="65" spans="1:15">
      <c r="A65" s="3" t="str">
        <f>IF($E65="","",Меню!$A$8)</f>
        <v/>
      </c>
      <c r="B65" s="3" t="str">
        <f>IF($E65="","",Меню!$B$8)</f>
        <v/>
      </c>
      <c r="C65" s="3" t="str">
        <f>IF($E65="","",Меню!$C$8)</f>
        <v/>
      </c>
      <c r="D65" s="3" t="str">
        <f>IF($E65="","",Меню!$D$8)</f>
        <v/>
      </c>
      <c r="E65" s="3" t="str">
        <f>IFERROR(IF(IFERROR(INDEX(Рецепты!$H$6:$H$85,MATCH(Меню!$D$8,Рецепты!$H$6:$H$85,0)+9)=Меню!$D$8,FALSE),INDEX(Рецепты!$J$6:$J$85,MATCH(Меню!$D$8,Рецепты!$H$6:$H$85,0)+9),""),"")</f>
        <v/>
      </c>
      <c r="F65" s="3" t="str">
        <f>IF($E65="","",INDEX(Рецепты!$K$6:$K$85,MATCH(Меню!$D$8,Рецепты!$H$6:$H$85,0)+9))</f>
        <v/>
      </c>
      <c r="G65" s="3" t="str">
        <f>IF($E65="","",INDEX(Рецепты!$M$6:$M$85,MATCH(Меню!$D$8,Рецепты!$H$6:$H$85,0)+9))</f>
        <v/>
      </c>
      <c r="H65" s="12">
        <f>IFERROR(IF(IFERROR(INDEX(Рецепты!$H$6:$H$85,MATCH(Меню!$D$8,Рецепты!$H$6:$H$85,0)+9)=Меню!$D$8,FALSE),INDEX(Рецепты!$L$6:$L$85,MATCH(Меню!$D$8,Рецепты!$H$6:$H$85,0)+9),0),0)</f>
        <v>0</v>
      </c>
      <c r="I65" s="12" t="str">
        <f>IF($F65="","",Меню!$E$8)</f>
        <v/>
      </c>
      <c r="J65" s="12">
        <f t="shared" si="0"/>
        <v>0</v>
      </c>
      <c r="K65" s="12">
        <f>IFERROR($J65/100*INDEX(Продукты!$G$6:$G$66,MATCH($E65,Продукты!$A$6:$A$66,0)),0)</f>
        <v>0</v>
      </c>
      <c r="L65" s="12">
        <f>IFERROR($J65/100*INDEX(Продукты!$H$6:$H$66,MATCH($E65,Продукты!$A$6:$A$66,0)),0)</f>
        <v>0</v>
      </c>
      <c r="M65" s="12">
        <f>IFERROR($J65/100*INDEX(Продукты!$I$6:$I$66,MATCH($E65,Продукты!$A$6:$A$66,0)),0)</f>
        <v>0</v>
      </c>
      <c r="N65" s="12">
        <f>IFERROR($J65/100*INDEX(Продукты!$J$6:$J$66,MATCH($E65,Продукты!$A$6:$A$66,0)),0)</f>
        <v>0</v>
      </c>
      <c r="O65" s="3" t="str">
        <f>IFERROR(IF(IFERROR(INDEX(Рецепты!$H$6:$H$85,MATCH(Меню!$D$8,Рецепты!$H$6:$H$85,0)+9)=Меню!$D$8,FALSE),INDEX(Рецепты!$N$6:$N$85,MATCH(Меню!$D$8,Рецепты!$H$6:$H$85,0)+9),""),"")</f>
        <v/>
      </c>
    </row>
    <row r="66" spans="1:15">
      <c r="A66" s="3" t="str">
        <f>IF($E66="","",Меню!$A$8)</f>
        <v/>
      </c>
      <c r="B66" s="3" t="str">
        <f>IF($E66="","",Меню!$B$8)</f>
        <v/>
      </c>
      <c r="C66" s="3" t="str">
        <f>IF($E66="","",Меню!$C$8)</f>
        <v/>
      </c>
      <c r="D66" s="3" t="str">
        <f>IF($E66="","",Меню!$D$8)</f>
        <v/>
      </c>
      <c r="E66" s="3" t="str">
        <f>IFERROR(IF(IFERROR(INDEX(Рецепты!$H$6:$H$85,MATCH(Меню!$D$8,Рецепты!$H$6:$H$85,0)+10)=Меню!$D$8,FALSE),INDEX(Рецепты!$J$6:$J$85,MATCH(Меню!$D$8,Рецепты!$H$6:$H$85,0)+10),""),"")</f>
        <v/>
      </c>
      <c r="F66" s="3" t="str">
        <f>IF($E66="","",INDEX(Рецепты!$K$6:$K$85,MATCH(Меню!$D$8,Рецепты!$H$6:$H$85,0)+10))</f>
        <v/>
      </c>
      <c r="G66" s="3" t="str">
        <f>IF($E66="","",INDEX(Рецепты!$M$6:$M$85,MATCH(Меню!$D$8,Рецепты!$H$6:$H$85,0)+10))</f>
        <v/>
      </c>
      <c r="H66" s="12">
        <f>IFERROR(IF(IFERROR(INDEX(Рецепты!$H$6:$H$85,MATCH(Меню!$D$8,Рецепты!$H$6:$H$85,0)+10)=Меню!$D$8,FALSE),INDEX(Рецепты!$L$6:$L$85,MATCH(Меню!$D$8,Рецепты!$H$6:$H$85,0)+10),0),0)</f>
        <v>0</v>
      </c>
      <c r="I66" s="12" t="str">
        <f>IF($F66="","",Меню!$E$8)</f>
        <v/>
      </c>
      <c r="J66" s="12">
        <f t="shared" si="0"/>
        <v>0</v>
      </c>
      <c r="K66" s="12">
        <f>IFERROR($J66/100*INDEX(Продукты!$G$6:$G$66,MATCH($E66,Продукты!$A$6:$A$66,0)),0)</f>
        <v>0</v>
      </c>
      <c r="L66" s="12">
        <f>IFERROR($J66/100*INDEX(Продукты!$H$6:$H$66,MATCH($E66,Продукты!$A$6:$A$66,0)),0)</f>
        <v>0</v>
      </c>
      <c r="M66" s="12">
        <f>IFERROR($J66/100*INDEX(Продукты!$I$6:$I$66,MATCH($E66,Продукты!$A$6:$A$66,0)),0)</f>
        <v>0</v>
      </c>
      <c r="N66" s="12">
        <f>IFERROR($J66/100*INDEX(Продукты!$J$6:$J$66,MATCH($E66,Продукты!$A$6:$A$66,0)),0)</f>
        <v>0</v>
      </c>
      <c r="O66" s="3" t="str">
        <f>IFERROR(IF(IFERROR(INDEX(Рецепты!$H$6:$H$85,MATCH(Меню!$D$8,Рецепты!$H$6:$H$85,0)+10)=Меню!$D$8,FALSE),INDEX(Рецепты!$N$6:$N$85,MATCH(Меню!$D$8,Рецепты!$H$6:$H$85,0)+10),""),"")</f>
        <v/>
      </c>
    </row>
    <row r="67" spans="1:15">
      <c r="A67" s="3" t="str">
        <f>IF($E67="","",Меню!$A$8)</f>
        <v/>
      </c>
      <c r="B67" s="3" t="str">
        <f>IF($E67="","",Меню!$B$8)</f>
        <v/>
      </c>
      <c r="C67" s="3" t="str">
        <f>IF($E67="","",Меню!$C$8)</f>
        <v/>
      </c>
      <c r="D67" s="3" t="str">
        <f>IF($E67="","",Меню!$D$8)</f>
        <v/>
      </c>
      <c r="E67" s="3" t="str">
        <f>IFERROR(IF(IFERROR(INDEX(Рецепты!$H$6:$H$85,MATCH(Меню!$D$8,Рецепты!$H$6:$H$85,0)+11)=Меню!$D$8,FALSE),INDEX(Рецепты!$J$6:$J$85,MATCH(Меню!$D$8,Рецепты!$H$6:$H$85,0)+11),""),"")</f>
        <v/>
      </c>
      <c r="F67" s="3" t="str">
        <f>IF($E67="","",INDEX(Рецепты!$K$6:$K$85,MATCH(Меню!$D$8,Рецепты!$H$6:$H$85,0)+11))</f>
        <v/>
      </c>
      <c r="G67" s="3" t="str">
        <f>IF($E67="","",INDEX(Рецепты!$M$6:$M$85,MATCH(Меню!$D$8,Рецепты!$H$6:$H$85,0)+11))</f>
        <v/>
      </c>
      <c r="H67" s="12">
        <f>IFERROR(IF(IFERROR(INDEX(Рецепты!$H$6:$H$85,MATCH(Меню!$D$8,Рецепты!$H$6:$H$85,0)+11)=Меню!$D$8,FALSE),INDEX(Рецепты!$L$6:$L$85,MATCH(Меню!$D$8,Рецепты!$H$6:$H$85,0)+11),0),0)</f>
        <v>0</v>
      </c>
      <c r="I67" s="12" t="str">
        <f>IF($F67="","",Меню!$E$8)</f>
        <v/>
      </c>
      <c r="J67" s="12">
        <f t="shared" si="0"/>
        <v>0</v>
      </c>
      <c r="K67" s="12">
        <f>IFERROR($J67/100*INDEX(Продукты!$G$6:$G$66,MATCH($E67,Продукты!$A$6:$A$66,0)),0)</f>
        <v>0</v>
      </c>
      <c r="L67" s="12">
        <f>IFERROR($J67/100*INDEX(Продукты!$H$6:$H$66,MATCH($E67,Продукты!$A$6:$A$66,0)),0)</f>
        <v>0</v>
      </c>
      <c r="M67" s="12">
        <f>IFERROR($J67/100*INDEX(Продукты!$I$6:$I$66,MATCH($E67,Продукты!$A$6:$A$66,0)),0)</f>
        <v>0</v>
      </c>
      <c r="N67" s="12">
        <f>IFERROR($J67/100*INDEX(Продукты!$J$6:$J$66,MATCH($E67,Продукты!$A$6:$A$66,0)),0)</f>
        <v>0</v>
      </c>
      <c r="O67" s="3" t="str">
        <f>IFERROR(IF(IFERROR(INDEX(Рецепты!$H$6:$H$85,MATCH(Меню!$D$8,Рецепты!$H$6:$H$85,0)+11)=Меню!$D$8,FALSE),INDEX(Рецепты!$N$6:$N$85,MATCH(Меню!$D$8,Рецепты!$H$6:$H$85,0)+11),""),"")</f>
        <v/>
      </c>
    </row>
    <row r="68" spans="1:15">
      <c r="A68" s="3" t="str">
        <f>IF($E68="","",Меню!$A$8)</f>
        <v/>
      </c>
      <c r="B68" s="3" t="str">
        <f>IF($E68="","",Меню!$B$8)</f>
        <v/>
      </c>
      <c r="C68" s="3" t="str">
        <f>IF($E68="","",Меню!$C$8)</f>
        <v/>
      </c>
      <c r="D68" s="3" t="str">
        <f>IF($E68="","",Меню!$D$8)</f>
        <v/>
      </c>
      <c r="E68" s="3" t="str">
        <f>IFERROR(IF(IFERROR(INDEX(Рецепты!$H$6:$H$85,MATCH(Меню!$D$8,Рецепты!$H$6:$H$85,0)+12)=Меню!$D$8,FALSE),INDEX(Рецепты!$J$6:$J$85,MATCH(Меню!$D$8,Рецепты!$H$6:$H$85,0)+12),""),"")</f>
        <v/>
      </c>
      <c r="F68" s="3" t="str">
        <f>IF($E68="","",INDEX(Рецепты!$K$6:$K$85,MATCH(Меню!$D$8,Рецепты!$H$6:$H$85,0)+12))</f>
        <v/>
      </c>
      <c r="G68" s="3" t="str">
        <f>IF($E68="","",INDEX(Рецепты!$M$6:$M$85,MATCH(Меню!$D$8,Рецепты!$H$6:$H$85,0)+12))</f>
        <v/>
      </c>
      <c r="H68" s="12">
        <f>IFERROR(IF(IFERROR(INDEX(Рецепты!$H$6:$H$85,MATCH(Меню!$D$8,Рецепты!$H$6:$H$85,0)+12)=Меню!$D$8,FALSE),INDEX(Рецепты!$L$6:$L$85,MATCH(Меню!$D$8,Рецепты!$H$6:$H$85,0)+12),0),0)</f>
        <v>0</v>
      </c>
      <c r="I68" s="12" t="str">
        <f>IF($F68="","",Меню!$E$8)</f>
        <v/>
      </c>
      <c r="J68" s="12">
        <f t="shared" si="0"/>
        <v>0</v>
      </c>
      <c r="K68" s="12">
        <f>IFERROR($J68/100*INDEX(Продукты!$G$6:$G$66,MATCH($E68,Продукты!$A$6:$A$66,0)),0)</f>
        <v>0</v>
      </c>
      <c r="L68" s="12">
        <f>IFERROR($J68/100*INDEX(Продукты!$H$6:$H$66,MATCH($E68,Продукты!$A$6:$A$66,0)),0)</f>
        <v>0</v>
      </c>
      <c r="M68" s="12">
        <f>IFERROR($J68/100*INDEX(Продукты!$I$6:$I$66,MATCH($E68,Продукты!$A$6:$A$66,0)),0)</f>
        <v>0</v>
      </c>
      <c r="N68" s="12">
        <f>IFERROR($J68/100*INDEX(Продукты!$J$6:$J$66,MATCH($E68,Продукты!$A$6:$A$66,0)),0)</f>
        <v>0</v>
      </c>
      <c r="O68" s="3" t="str">
        <f>IFERROR(IF(IFERROR(INDEX(Рецепты!$H$6:$H$85,MATCH(Меню!$D$8,Рецепты!$H$6:$H$85,0)+12)=Меню!$D$8,FALSE),INDEX(Рецепты!$N$6:$N$85,MATCH(Меню!$D$8,Рецепты!$H$6:$H$85,0)+12),""),"")</f>
        <v/>
      </c>
    </row>
    <row r="69" spans="1:15">
      <c r="A69" s="3" t="str">
        <f>IF($E69="","",Меню!$A$8)</f>
        <v/>
      </c>
      <c r="B69" s="3" t="str">
        <f>IF($E69="","",Меню!$B$8)</f>
        <v/>
      </c>
      <c r="C69" s="3" t="str">
        <f>IF($E69="","",Меню!$C$8)</f>
        <v/>
      </c>
      <c r="D69" s="3" t="str">
        <f>IF($E69="","",Меню!$D$8)</f>
        <v/>
      </c>
      <c r="E69" s="3" t="str">
        <f>IFERROR(IF(IFERROR(INDEX(Рецепты!$H$6:$H$85,MATCH(Меню!$D$8,Рецепты!$H$6:$H$85,0)+13)=Меню!$D$8,FALSE),INDEX(Рецепты!$J$6:$J$85,MATCH(Меню!$D$8,Рецепты!$H$6:$H$85,0)+13),""),"")</f>
        <v/>
      </c>
      <c r="F69" s="3" t="str">
        <f>IF($E69="","",INDEX(Рецепты!$K$6:$K$85,MATCH(Меню!$D$8,Рецепты!$H$6:$H$85,0)+13))</f>
        <v/>
      </c>
      <c r="G69" s="3" t="str">
        <f>IF($E69="","",INDEX(Рецепты!$M$6:$M$85,MATCH(Меню!$D$8,Рецепты!$H$6:$H$85,0)+13))</f>
        <v/>
      </c>
      <c r="H69" s="12">
        <f>IFERROR(IF(IFERROR(INDEX(Рецепты!$H$6:$H$85,MATCH(Меню!$D$8,Рецепты!$H$6:$H$85,0)+13)=Меню!$D$8,FALSE),INDEX(Рецепты!$L$6:$L$85,MATCH(Меню!$D$8,Рецепты!$H$6:$H$85,0)+13),0),0)</f>
        <v>0</v>
      </c>
      <c r="I69" s="12" t="str">
        <f>IF($F69="","",Меню!$E$8)</f>
        <v/>
      </c>
      <c r="J69" s="12">
        <f t="shared" si="0"/>
        <v>0</v>
      </c>
      <c r="K69" s="12">
        <f>IFERROR($J69/100*INDEX(Продукты!$G$6:$G$66,MATCH($E69,Продукты!$A$6:$A$66,0)),0)</f>
        <v>0</v>
      </c>
      <c r="L69" s="12">
        <f>IFERROR($J69/100*INDEX(Продукты!$H$6:$H$66,MATCH($E69,Продукты!$A$6:$A$66,0)),0)</f>
        <v>0</v>
      </c>
      <c r="M69" s="12">
        <f>IFERROR($J69/100*INDEX(Продукты!$I$6:$I$66,MATCH($E69,Продукты!$A$6:$A$66,0)),0)</f>
        <v>0</v>
      </c>
      <c r="N69" s="12">
        <f>IFERROR($J69/100*INDEX(Продукты!$J$6:$J$66,MATCH($E69,Продукты!$A$6:$A$66,0)),0)</f>
        <v>0</v>
      </c>
      <c r="O69" s="3" t="str">
        <f>IFERROR(IF(IFERROR(INDEX(Рецепты!$H$6:$H$85,MATCH(Меню!$D$8,Рецепты!$H$6:$H$85,0)+13)=Меню!$D$8,FALSE),INDEX(Рецепты!$N$6:$N$85,MATCH(Меню!$D$8,Рецепты!$H$6:$H$85,0)+13),""),"")</f>
        <v/>
      </c>
    </row>
    <row r="70" spans="1:15">
      <c r="A70" s="3" t="str">
        <f>IF($E70="","",Меню!$A$8)</f>
        <v/>
      </c>
      <c r="B70" s="3" t="str">
        <f>IF($E70="","",Меню!$B$8)</f>
        <v/>
      </c>
      <c r="C70" s="3" t="str">
        <f>IF($E70="","",Меню!$C$8)</f>
        <v/>
      </c>
      <c r="D70" s="3" t="str">
        <f>IF($E70="","",Меню!$D$8)</f>
        <v/>
      </c>
      <c r="E70" s="3" t="str">
        <f>IFERROR(IF(IFERROR(INDEX(Рецепты!$H$6:$H$85,MATCH(Меню!$D$8,Рецепты!$H$6:$H$85,0)+14)=Меню!$D$8,FALSE),INDEX(Рецепты!$J$6:$J$85,MATCH(Меню!$D$8,Рецепты!$H$6:$H$85,0)+14),""),"")</f>
        <v/>
      </c>
      <c r="F70" s="3" t="str">
        <f>IF($E70="","",INDEX(Рецепты!$K$6:$K$85,MATCH(Меню!$D$8,Рецепты!$H$6:$H$85,0)+14))</f>
        <v/>
      </c>
      <c r="G70" s="3" t="str">
        <f>IF($E70="","",INDEX(Рецепты!$M$6:$M$85,MATCH(Меню!$D$8,Рецепты!$H$6:$H$85,0)+14))</f>
        <v/>
      </c>
      <c r="H70" s="12">
        <f>IFERROR(IF(IFERROR(INDEX(Рецепты!$H$6:$H$85,MATCH(Меню!$D$8,Рецепты!$H$6:$H$85,0)+14)=Меню!$D$8,FALSE),INDEX(Рецепты!$L$6:$L$85,MATCH(Меню!$D$8,Рецепты!$H$6:$H$85,0)+14),0),0)</f>
        <v>0</v>
      </c>
      <c r="I70" s="12" t="str">
        <f>IF($F70="","",Меню!$E$8)</f>
        <v/>
      </c>
      <c r="J70" s="12">
        <f t="shared" ref="J70:J133" si="1">IFERROR($H70*$I70,0)</f>
        <v>0</v>
      </c>
      <c r="K70" s="12">
        <f>IFERROR($J70/100*INDEX(Продукты!$G$6:$G$66,MATCH($E70,Продукты!$A$6:$A$66,0)),0)</f>
        <v>0</v>
      </c>
      <c r="L70" s="12">
        <f>IFERROR($J70/100*INDEX(Продукты!$H$6:$H$66,MATCH($E70,Продукты!$A$6:$A$66,0)),0)</f>
        <v>0</v>
      </c>
      <c r="M70" s="12">
        <f>IFERROR($J70/100*INDEX(Продукты!$I$6:$I$66,MATCH($E70,Продукты!$A$6:$A$66,0)),0)</f>
        <v>0</v>
      </c>
      <c r="N70" s="12">
        <f>IFERROR($J70/100*INDEX(Продукты!$J$6:$J$66,MATCH($E70,Продукты!$A$6:$A$66,0)),0)</f>
        <v>0</v>
      </c>
      <c r="O70" s="3" t="str">
        <f>IFERROR(IF(IFERROR(INDEX(Рецепты!$H$6:$H$85,MATCH(Меню!$D$8,Рецепты!$H$6:$H$85,0)+14)=Меню!$D$8,FALSE),INDEX(Рецепты!$N$6:$N$85,MATCH(Меню!$D$8,Рецепты!$H$6:$H$85,0)+14),""),"")</f>
        <v/>
      </c>
    </row>
    <row r="71" spans="1:15">
      <c r="A71" s="3" t="str">
        <f>IF($E71="","",Меню!$A$8)</f>
        <v/>
      </c>
      <c r="B71" s="3" t="str">
        <f>IF($E71="","",Меню!$B$8)</f>
        <v/>
      </c>
      <c r="C71" s="3" t="str">
        <f>IF($E71="","",Меню!$C$8)</f>
        <v/>
      </c>
      <c r="D71" s="3" t="str">
        <f>IF($E71="","",Меню!$D$8)</f>
        <v/>
      </c>
      <c r="E71" s="3" t="str">
        <f>IFERROR(IF(IFERROR(INDEX(Рецепты!$H$6:$H$85,MATCH(Меню!$D$8,Рецепты!$H$6:$H$85,0)+15)=Меню!$D$8,FALSE),INDEX(Рецепты!$J$6:$J$85,MATCH(Меню!$D$8,Рецепты!$H$6:$H$85,0)+15),""),"")</f>
        <v/>
      </c>
      <c r="F71" s="3" t="str">
        <f>IF($E71="","",INDEX(Рецепты!$K$6:$K$85,MATCH(Меню!$D$8,Рецепты!$H$6:$H$85,0)+15))</f>
        <v/>
      </c>
      <c r="G71" s="3" t="str">
        <f>IF($E71="","",INDEX(Рецепты!$M$6:$M$85,MATCH(Меню!$D$8,Рецепты!$H$6:$H$85,0)+15))</f>
        <v/>
      </c>
      <c r="H71" s="12">
        <f>IFERROR(IF(IFERROR(INDEX(Рецепты!$H$6:$H$85,MATCH(Меню!$D$8,Рецепты!$H$6:$H$85,0)+15)=Меню!$D$8,FALSE),INDEX(Рецепты!$L$6:$L$85,MATCH(Меню!$D$8,Рецепты!$H$6:$H$85,0)+15),0),0)</f>
        <v>0</v>
      </c>
      <c r="I71" s="12" t="str">
        <f>IF($F71="","",Меню!$E$8)</f>
        <v/>
      </c>
      <c r="J71" s="12">
        <f t="shared" si="1"/>
        <v>0</v>
      </c>
      <c r="K71" s="12">
        <f>IFERROR($J71/100*INDEX(Продукты!$G$6:$G$66,MATCH($E71,Продукты!$A$6:$A$66,0)),0)</f>
        <v>0</v>
      </c>
      <c r="L71" s="12">
        <f>IFERROR($J71/100*INDEX(Продукты!$H$6:$H$66,MATCH($E71,Продукты!$A$6:$A$66,0)),0)</f>
        <v>0</v>
      </c>
      <c r="M71" s="12">
        <f>IFERROR($J71/100*INDEX(Продукты!$I$6:$I$66,MATCH($E71,Продукты!$A$6:$A$66,0)),0)</f>
        <v>0</v>
      </c>
      <c r="N71" s="12">
        <f>IFERROR($J71/100*INDEX(Продукты!$J$6:$J$66,MATCH($E71,Продукты!$A$6:$A$66,0)),0)</f>
        <v>0</v>
      </c>
      <c r="O71" s="3" t="str">
        <f>IFERROR(IF(IFERROR(INDEX(Рецепты!$H$6:$H$85,MATCH(Меню!$D$8,Рецепты!$H$6:$H$85,0)+15)=Меню!$D$8,FALSE),INDEX(Рецепты!$N$6:$N$85,MATCH(Меню!$D$8,Рецепты!$H$6:$H$85,0)+15),""),"")</f>
        <v/>
      </c>
    </row>
    <row r="72" spans="1:15">
      <c r="A72" s="3" t="str">
        <f>IF($E72="","",Меню!$A$8)</f>
        <v/>
      </c>
      <c r="B72" s="3" t="str">
        <f>IF($E72="","",Меню!$B$8)</f>
        <v/>
      </c>
      <c r="C72" s="3" t="str">
        <f>IF($E72="","",Меню!$C$8)</f>
        <v/>
      </c>
      <c r="D72" s="3" t="str">
        <f>IF($E72="","",Меню!$D$8)</f>
        <v/>
      </c>
      <c r="E72" s="3" t="str">
        <f>IFERROR(IF(IFERROR(INDEX(Рецепты!$H$6:$H$85,MATCH(Меню!$D$8,Рецепты!$H$6:$H$85,0)+16)=Меню!$D$8,FALSE),INDEX(Рецепты!$J$6:$J$85,MATCH(Меню!$D$8,Рецепты!$H$6:$H$85,0)+16),""),"")</f>
        <v/>
      </c>
      <c r="F72" s="3" t="str">
        <f>IF($E72="","",INDEX(Рецепты!$K$6:$K$85,MATCH(Меню!$D$8,Рецепты!$H$6:$H$85,0)+16))</f>
        <v/>
      </c>
      <c r="G72" s="3" t="str">
        <f>IF($E72="","",INDEX(Рецепты!$M$6:$M$85,MATCH(Меню!$D$8,Рецепты!$H$6:$H$85,0)+16))</f>
        <v/>
      </c>
      <c r="H72" s="12">
        <f>IFERROR(IF(IFERROR(INDEX(Рецепты!$H$6:$H$85,MATCH(Меню!$D$8,Рецепты!$H$6:$H$85,0)+16)=Меню!$D$8,FALSE),INDEX(Рецепты!$L$6:$L$85,MATCH(Меню!$D$8,Рецепты!$H$6:$H$85,0)+16),0),0)</f>
        <v>0</v>
      </c>
      <c r="I72" s="12" t="str">
        <f>IF($F72="","",Меню!$E$8)</f>
        <v/>
      </c>
      <c r="J72" s="12">
        <f t="shared" si="1"/>
        <v>0</v>
      </c>
      <c r="K72" s="12">
        <f>IFERROR($J72/100*INDEX(Продукты!$G$6:$G$66,MATCH($E72,Продукты!$A$6:$A$66,0)),0)</f>
        <v>0</v>
      </c>
      <c r="L72" s="12">
        <f>IFERROR($J72/100*INDEX(Продукты!$H$6:$H$66,MATCH($E72,Продукты!$A$6:$A$66,0)),0)</f>
        <v>0</v>
      </c>
      <c r="M72" s="12">
        <f>IFERROR($J72/100*INDEX(Продукты!$I$6:$I$66,MATCH($E72,Продукты!$A$6:$A$66,0)),0)</f>
        <v>0</v>
      </c>
      <c r="N72" s="12">
        <f>IFERROR($J72/100*INDEX(Продукты!$J$6:$J$66,MATCH($E72,Продукты!$A$6:$A$66,0)),0)</f>
        <v>0</v>
      </c>
      <c r="O72" s="3" t="str">
        <f>IFERROR(IF(IFERROR(INDEX(Рецепты!$H$6:$H$85,MATCH(Меню!$D$8,Рецепты!$H$6:$H$85,0)+16)=Меню!$D$8,FALSE),INDEX(Рецепты!$N$6:$N$85,MATCH(Меню!$D$8,Рецепты!$H$6:$H$85,0)+16),""),"")</f>
        <v/>
      </c>
    </row>
    <row r="73" spans="1:15">
      <c r="A73" s="3" t="str">
        <f>IF($E73="","",Меню!$A$8)</f>
        <v/>
      </c>
      <c r="B73" s="3" t="str">
        <f>IF($E73="","",Меню!$B$8)</f>
        <v/>
      </c>
      <c r="C73" s="3" t="str">
        <f>IF($E73="","",Меню!$C$8)</f>
        <v/>
      </c>
      <c r="D73" s="3" t="str">
        <f>IF($E73="","",Меню!$D$8)</f>
        <v/>
      </c>
      <c r="E73" s="3" t="str">
        <f>IFERROR(IF(IFERROR(INDEX(Рецепты!$H$6:$H$85,MATCH(Меню!$D$8,Рецепты!$H$6:$H$85,0)+17)=Меню!$D$8,FALSE),INDEX(Рецепты!$J$6:$J$85,MATCH(Меню!$D$8,Рецепты!$H$6:$H$85,0)+17),""),"")</f>
        <v/>
      </c>
      <c r="F73" s="3" t="str">
        <f>IF($E73="","",INDEX(Рецепты!$K$6:$K$85,MATCH(Меню!$D$8,Рецепты!$H$6:$H$85,0)+17))</f>
        <v/>
      </c>
      <c r="G73" s="3" t="str">
        <f>IF($E73="","",INDEX(Рецепты!$M$6:$M$85,MATCH(Меню!$D$8,Рецепты!$H$6:$H$85,0)+17))</f>
        <v/>
      </c>
      <c r="H73" s="12">
        <f>IFERROR(IF(IFERROR(INDEX(Рецепты!$H$6:$H$85,MATCH(Меню!$D$8,Рецепты!$H$6:$H$85,0)+17)=Меню!$D$8,FALSE),INDEX(Рецепты!$L$6:$L$85,MATCH(Меню!$D$8,Рецепты!$H$6:$H$85,0)+17),0),0)</f>
        <v>0</v>
      </c>
      <c r="I73" s="12" t="str">
        <f>IF($F73="","",Меню!$E$8)</f>
        <v/>
      </c>
      <c r="J73" s="12">
        <f t="shared" si="1"/>
        <v>0</v>
      </c>
      <c r="K73" s="12">
        <f>IFERROR($J73/100*INDEX(Продукты!$G$6:$G$66,MATCH($E73,Продукты!$A$6:$A$66,0)),0)</f>
        <v>0</v>
      </c>
      <c r="L73" s="12">
        <f>IFERROR($J73/100*INDEX(Продукты!$H$6:$H$66,MATCH($E73,Продукты!$A$6:$A$66,0)),0)</f>
        <v>0</v>
      </c>
      <c r="M73" s="12">
        <f>IFERROR($J73/100*INDEX(Продукты!$I$6:$I$66,MATCH($E73,Продукты!$A$6:$A$66,0)),0)</f>
        <v>0</v>
      </c>
      <c r="N73" s="12">
        <f>IFERROR($J73/100*INDEX(Продукты!$J$6:$J$66,MATCH($E73,Продукты!$A$6:$A$66,0)),0)</f>
        <v>0</v>
      </c>
      <c r="O73" s="3" t="str">
        <f>IFERROR(IF(IFERROR(INDEX(Рецепты!$H$6:$H$85,MATCH(Меню!$D$8,Рецепты!$H$6:$H$85,0)+17)=Меню!$D$8,FALSE),INDEX(Рецепты!$N$6:$N$85,MATCH(Меню!$D$8,Рецепты!$H$6:$H$85,0)+17),""),"")</f>
        <v/>
      </c>
    </row>
    <row r="74" spans="1:15">
      <c r="A74" s="3" t="str">
        <f>IF($E74="","",Меню!$A$8)</f>
        <v/>
      </c>
      <c r="B74" s="3" t="str">
        <f>IF($E74="","",Меню!$B$8)</f>
        <v/>
      </c>
      <c r="C74" s="3" t="str">
        <f>IF($E74="","",Меню!$C$8)</f>
        <v/>
      </c>
      <c r="D74" s="3" t="str">
        <f>IF($E74="","",Меню!$D$8)</f>
        <v/>
      </c>
      <c r="E74" s="3" t="str">
        <f>IFERROR(IF(IFERROR(INDEX(Рецепты!$H$6:$H$85,MATCH(Меню!$D$8,Рецепты!$H$6:$H$85,0)+18)=Меню!$D$8,FALSE),INDEX(Рецепты!$J$6:$J$85,MATCH(Меню!$D$8,Рецепты!$H$6:$H$85,0)+18),""),"")</f>
        <v/>
      </c>
      <c r="F74" s="3" t="str">
        <f>IF($E74="","",INDEX(Рецепты!$K$6:$K$85,MATCH(Меню!$D$8,Рецепты!$H$6:$H$85,0)+18))</f>
        <v/>
      </c>
      <c r="G74" s="3" t="str">
        <f>IF($E74="","",INDEX(Рецепты!$M$6:$M$85,MATCH(Меню!$D$8,Рецепты!$H$6:$H$85,0)+18))</f>
        <v/>
      </c>
      <c r="H74" s="12">
        <f>IFERROR(IF(IFERROR(INDEX(Рецепты!$H$6:$H$85,MATCH(Меню!$D$8,Рецепты!$H$6:$H$85,0)+18)=Меню!$D$8,FALSE),INDEX(Рецепты!$L$6:$L$85,MATCH(Меню!$D$8,Рецепты!$H$6:$H$85,0)+18),0),0)</f>
        <v>0</v>
      </c>
      <c r="I74" s="12" t="str">
        <f>IF($F74="","",Меню!$E$8)</f>
        <v/>
      </c>
      <c r="J74" s="12">
        <f t="shared" si="1"/>
        <v>0</v>
      </c>
      <c r="K74" s="12">
        <f>IFERROR($J74/100*INDEX(Продукты!$G$6:$G$66,MATCH($E74,Продукты!$A$6:$A$66,0)),0)</f>
        <v>0</v>
      </c>
      <c r="L74" s="12">
        <f>IFERROR($J74/100*INDEX(Продукты!$H$6:$H$66,MATCH($E74,Продукты!$A$6:$A$66,0)),0)</f>
        <v>0</v>
      </c>
      <c r="M74" s="12">
        <f>IFERROR($J74/100*INDEX(Продукты!$I$6:$I$66,MATCH($E74,Продукты!$A$6:$A$66,0)),0)</f>
        <v>0</v>
      </c>
      <c r="N74" s="12">
        <f>IFERROR($J74/100*INDEX(Продукты!$J$6:$J$66,MATCH($E74,Продукты!$A$6:$A$66,0)),0)</f>
        <v>0</v>
      </c>
      <c r="O74" s="3" t="str">
        <f>IFERROR(IF(IFERROR(INDEX(Рецепты!$H$6:$H$85,MATCH(Меню!$D$8,Рецепты!$H$6:$H$85,0)+18)=Меню!$D$8,FALSE),INDEX(Рецепты!$N$6:$N$85,MATCH(Меню!$D$8,Рецепты!$H$6:$H$85,0)+18),""),"")</f>
        <v/>
      </c>
    </row>
    <row r="75" spans="1:15">
      <c r="A75" s="3" t="str">
        <f>IF($E75="","",Меню!$A$8)</f>
        <v/>
      </c>
      <c r="B75" s="3" t="str">
        <f>IF($E75="","",Меню!$B$8)</f>
        <v/>
      </c>
      <c r="C75" s="3" t="str">
        <f>IF($E75="","",Меню!$C$8)</f>
        <v/>
      </c>
      <c r="D75" s="3" t="str">
        <f>IF($E75="","",Меню!$D$8)</f>
        <v/>
      </c>
      <c r="E75" s="3" t="str">
        <f>IFERROR(IF(IFERROR(INDEX(Рецепты!$H$6:$H$85,MATCH(Меню!$D$8,Рецепты!$H$6:$H$85,0)+19)=Меню!$D$8,FALSE),INDEX(Рецепты!$J$6:$J$85,MATCH(Меню!$D$8,Рецепты!$H$6:$H$85,0)+19),""),"")</f>
        <v/>
      </c>
      <c r="F75" s="3" t="str">
        <f>IF($E75="","",INDEX(Рецепты!$K$6:$K$85,MATCH(Меню!$D$8,Рецепты!$H$6:$H$85,0)+19))</f>
        <v/>
      </c>
      <c r="G75" s="3" t="str">
        <f>IF($E75="","",INDEX(Рецепты!$M$6:$M$85,MATCH(Меню!$D$8,Рецепты!$H$6:$H$85,0)+19))</f>
        <v/>
      </c>
      <c r="H75" s="12">
        <f>IFERROR(IF(IFERROR(INDEX(Рецепты!$H$6:$H$85,MATCH(Меню!$D$8,Рецепты!$H$6:$H$85,0)+19)=Меню!$D$8,FALSE),INDEX(Рецепты!$L$6:$L$85,MATCH(Меню!$D$8,Рецепты!$H$6:$H$85,0)+19),0),0)</f>
        <v>0</v>
      </c>
      <c r="I75" s="12" t="str">
        <f>IF($F75="","",Меню!$E$8)</f>
        <v/>
      </c>
      <c r="J75" s="12">
        <f t="shared" si="1"/>
        <v>0</v>
      </c>
      <c r="K75" s="12">
        <f>IFERROR($J75/100*INDEX(Продукты!$G$6:$G$66,MATCH($E75,Продукты!$A$6:$A$66,0)),0)</f>
        <v>0</v>
      </c>
      <c r="L75" s="12">
        <f>IFERROR($J75/100*INDEX(Продукты!$H$6:$H$66,MATCH($E75,Продукты!$A$6:$A$66,0)),0)</f>
        <v>0</v>
      </c>
      <c r="M75" s="12">
        <f>IFERROR($J75/100*INDEX(Продукты!$I$6:$I$66,MATCH($E75,Продукты!$A$6:$A$66,0)),0)</f>
        <v>0</v>
      </c>
      <c r="N75" s="12">
        <f>IFERROR($J75/100*INDEX(Продукты!$J$6:$J$66,MATCH($E75,Продукты!$A$6:$A$66,0)),0)</f>
        <v>0</v>
      </c>
      <c r="O75" s="3" t="str">
        <f>IFERROR(IF(IFERROR(INDEX(Рецепты!$H$6:$H$85,MATCH(Меню!$D$8,Рецепты!$H$6:$H$85,0)+19)=Меню!$D$8,FALSE),INDEX(Рецепты!$N$6:$N$85,MATCH(Меню!$D$8,Рецепты!$H$6:$H$85,0)+19),""),"")</f>
        <v/>
      </c>
    </row>
    <row r="76" spans="1:15">
      <c r="A76" s="3" t="str">
        <f>IF($E76="","",Меню!$A$8)</f>
        <v/>
      </c>
      <c r="B76" s="3" t="str">
        <f>IF($E76="","",Меню!$B$8)</f>
        <v/>
      </c>
      <c r="C76" s="3" t="str">
        <f>IF($E76="","",Меню!$C$8)</f>
        <v/>
      </c>
      <c r="D76" s="3" t="str">
        <f>IF($E76="","",Меню!$D$8)</f>
        <v/>
      </c>
      <c r="E76" s="3" t="str">
        <f>IFERROR(IF(IFERROR(INDEX(Рецепты!$H$6:$H$85,MATCH(Меню!$D$8,Рецепты!$H$6:$H$85,0)+20)=Меню!$D$8,FALSE),INDEX(Рецепты!$J$6:$J$85,MATCH(Меню!$D$8,Рецепты!$H$6:$H$85,0)+20),""),"")</f>
        <v/>
      </c>
      <c r="F76" s="3" t="str">
        <f>IF($E76="","",INDEX(Рецепты!$K$6:$K$85,MATCH(Меню!$D$8,Рецепты!$H$6:$H$85,0)+20))</f>
        <v/>
      </c>
      <c r="G76" s="3" t="str">
        <f>IF($E76="","",INDEX(Рецепты!$M$6:$M$85,MATCH(Меню!$D$8,Рецепты!$H$6:$H$85,0)+20))</f>
        <v/>
      </c>
      <c r="H76" s="12">
        <f>IFERROR(IF(IFERROR(INDEX(Рецепты!$H$6:$H$85,MATCH(Меню!$D$8,Рецепты!$H$6:$H$85,0)+20)=Меню!$D$8,FALSE),INDEX(Рецепты!$L$6:$L$85,MATCH(Меню!$D$8,Рецепты!$H$6:$H$85,0)+20),0),0)</f>
        <v>0</v>
      </c>
      <c r="I76" s="12" t="str">
        <f>IF($F76="","",Меню!$E$8)</f>
        <v/>
      </c>
      <c r="J76" s="12">
        <f t="shared" si="1"/>
        <v>0</v>
      </c>
      <c r="K76" s="12">
        <f>IFERROR($J76/100*INDEX(Продукты!$G$6:$G$66,MATCH($E76,Продукты!$A$6:$A$66,0)),0)</f>
        <v>0</v>
      </c>
      <c r="L76" s="12">
        <f>IFERROR($J76/100*INDEX(Продукты!$H$6:$H$66,MATCH($E76,Продукты!$A$6:$A$66,0)),0)</f>
        <v>0</v>
      </c>
      <c r="M76" s="12">
        <f>IFERROR($J76/100*INDEX(Продукты!$I$6:$I$66,MATCH($E76,Продукты!$A$6:$A$66,0)),0)</f>
        <v>0</v>
      </c>
      <c r="N76" s="12">
        <f>IFERROR($J76/100*INDEX(Продукты!$J$6:$J$66,MATCH($E76,Продукты!$A$6:$A$66,0)),0)</f>
        <v>0</v>
      </c>
      <c r="O76" s="3" t="str">
        <f>IFERROR(IF(IFERROR(INDEX(Рецепты!$H$6:$H$85,MATCH(Меню!$D$8,Рецепты!$H$6:$H$85,0)+20)=Меню!$D$8,FALSE),INDEX(Рецепты!$N$6:$N$85,MATCH(Меню!$D$8,Рецепты!$H$6:$H$85,0)+20),""),"")</f>
        <v/>
      </c>
    </row>
    <row r="77" spans="1:15">
      <c r="A77" s="3" t="str">
        <f>IF($E77="","",Меню!$A$8)</f>
        <v/>
      </c>
      <c r="B77" s="3" t="str">
        <f>IF($E77="","",Меню!$B$8)</f>
        <v/>
      </c>
      <c r="C77" s="3" t="str">
        <f>IF($E77="","",Меню!$C$8)</f>
        <v/>
      </c>
      <c r="D77" s="3" t="str">
        <f>IF($E77="","",Меню!$D$8)</f>
        <v/>
      </c>
      <c r="E77" s="3" t="str">
        <f>IFERROR(IF(IFERROR(INDEX(Рецепты!$H$6:$H$85,MATCH(Меню!$D$8,Рецепты!$H$6:$H$85,0)+21)=Меню!$D$8,FALSE),INDEX(Рецепты!$J$6:$J$85,MATCH(Меню!$D$8,Рецепты!$H$6:$H$85,0)+21),""),"")</f>
        <v/>
      </c>
      <c r="F77" s="3" t="str">
        <f>IF($E77="","",INDEX(Рецепты!$K$6:$K$85,MATCH(Меню!$D$8,Рецепты!$H$6:$H$85,0)+21))</f>
        <v/>
      </c>
      <c r="G77" s="3" t="str">
        <f>IF($E77="","",INDEX(Рецепты!$M$6:$M$85,MATCH(Меню!$D$8,Рецепты!$H$6:$H$85,0)+21))</f>
        <v/>
      </c>
      <c r="H77" s="12">
        <f>IFERROR(IF(IFERROR(INDEX(Рецепты!$H$6:$H$85,MATCH(Меню!$D$8,Рецепты!$H$6:$H$85,0)+21)=Меню!$D$8,FALSE),INDEX(Рецепты!$L$6:$L$85,MATCH(Меню!$D$8,Рецепты!$H$6:$H$85,0)+21),0),0)</f>
        <v>0</v>
      </c>
      <c r="I77" s="12" t="str">
        <f>IF($F77="","",Меню!$E$8)</f>
        <v/>
      </c>
      <c r="J77" s="12">
        <f t="shared" si="1"/>
        <v>0</v>
      </c>
      <c r="K77" s="12">
        <f>IFERROR($J77/100*INDEX(Продукты!$G$6:$G$66,MATCH($E77,Продукты!$A$6:$A$66,0)),0)</f>
        <v>0</v>
      </c>
      <c r="L77" s="12">
        <f>IFERROR($J77/100*INDEX(Продукты!$H$6:$H$66,MATCH($E77,Продукты!$A$6:$A$66,0)),0)</f>
        <v>0</v>
      </c>
      <c r="M77" s="12">
        <f>IFERROR($J77/100*INDEX(Продукты!$I$6:$I$66,MATCH($E77,Продукты!$A$6:$A$66,0)),0)</f>
        <v>0</v>
      </c>
      <c r="N77" s="12">
        <f>IFERROR($J77/100*INDEX(Продукты!$J$6:$J$66,MATCH($E77,Продукты!$A$6:$A$66,0)),0)</f>
        <v>0</v>
      </c>
      <c r="O77" s="3" t="str">
        <f>IFERROR(IF(IFERROR(INDEX(Рецепты!$H$6:$H$85,MATCH(Меню!$D$8,Рецепты!$H$6:$H$85,0)+21)=Меню!$D$8,FALSE),INDEX(Рецепты!$N$6:$N$85,MATCH(Меню!$D$8,Рецепты!$H$6:$H$85,0)+21),""),"")</f>
        <v/>
      </c>
    </row>
    <row r="78" spans="1:15">
      <c r="A78" s="3" t="str">
        <f>IF($E78="","",Меню!$A$8)</f>
        <v/>
      </c>
      <c r="B78" s="3" t="str">
        <f>IF($E78="","",Меню!$B$8)</f>
        <v/>
      </c>
      <c r="C78" s="3" t="str">
        <f>IF($E78="","",Меню!$C$8)</f>
        <v/>
      </c>
      <c r="D78" s="3" t="str">
        <f>IF($E78="","",Меню!$D$8)</f>
        <v/>
      </c>
      <c r="E78" s="3" t="str">
        <f>IFERROR(IF(IFERROR(INDEX(Рецепты!$H$6:$H$85,MATCH(Меню!$D$8,Рецепты!$H$6:$H$85,0)+22)=Меню!$D$8,FALSE),INDEX(Рецепты!$J$6:$J$85,MATCH(Меню!$D$8,Рецепты!$H$6:$H$85,0)+22),""),"")</f>
        <v/>
      </c>
      <c r="F78" s="3" t="str">
        <f>IF($E78="","",INDEX(Рецепты!$K$6:$K$85,MATCH(Меню!$D$8,Рецепты!$H$6:$H$85,0)+22))</f>
        <v/>
      </c>
      <c r="G78" s="3" t="str">
        <f>IF($E78="","",INDEX(Рецепты!$M$6:$M$85,MATCH(Меню!$D$8,Рецепты!$H$6:$H$85,0)+22))</f>
        <v/>
      </c>
      <c r="H78" s="12">
        <f>IFERROR(IF(IFERROR(INDEX(Рецепты!$H$6:$H$85,MATCH(Меню!$D$8,Рецепты!$H$6:$H$85,0)+22)=Меню!$D$8,FALSE),INDEX(Рецепты!$L$6:$L$85,MATCH(Меню!$D$8,Рецепты!$H$6:$H$85,0)+22),0),0)</f>
        <v>0</v>
      </c>
      <c r="I78" s="12" t="str">
        <f>IF($F78="","",Меню!$E$8)</f>
        <v/>
      </c>
      <c r="J78" s="12">
        <f t="shared" si="1"/>
        <v>0</v>
      </c>
      <c r="K78" s="12">
        <f>IFERROR($J78/100*INDEX(Продукты!$G$6:$G$66,MATCH($E78,Продукты!$A$6:$A$66,0)),0)</f>
        <v>0</v>
      </c>
      <c r="L78" s="12">
        <f>IFERROR($J78/100*INDEX(Продукты!$H$6:$H$66,MATCH($E78,Продукты!$A$6:$A$66,0)),0)</f>
        <v>0</v>
      </c>
      <c r="M78" s="12">
        <f>IFERROR($J78/100*INDEX(Продукты!$I$6:$I$66,MATCH($E78,Продукты!$A$6:$A$66,0)),0)</f>
        <v>0</v>
      </c>
      <c r="N78" s="12">
        <f>IFERROR($J78/100*INDEX(Продукты!$J$6:$J$66,MATCH($E78,Продукты!$A$6:$A$66,0)),0)</f>
        <v>0</v>
      </c>
      <c r="O78" s="3" t="str">
        <f>IFERROR(IF(IFERROR(INDEX(Рецепты!$H$6:$H$85,MATCH(Меню!$D$8,Рецепты!$H$6:$H$85,0)+22)=Меню!$D$8,FALSE),INDEX(Рецепты!$N$6:$N$85,MATCH(Меню!$D$8,Рецепты!$H$6:$H$85,0)+22),""),"")</f>
        <v/>
      </c>
    </row>
    <row r="79" spans="1:15">
      <c r="A79" s="3" t="str">
        <f>IF($E79="","",Меню!$A$8)</f>
        <v/>
      </c>
      <c r="B79" s="3" t="str">
        <f>IF($E79="","",Меню!$B$8)</f>
        <v/>
      </c>
      <c r="C79" s="3" t="str">
        <f>IF($E79="","",Меню!$C$8)</f>
        <v/>
      </c>
      <c r="D79" s="3" t="str">
        <f>IF($E79="","",Меню!$D$8)</f>
        <v/>
      </c>
      <c r="E79" s="3" t="str">
        <f>IFERROR(IF(IFERROR(INDEX(Рецепты!$H$6:$H$85,MATCH(Меню!$D$8,Рецепты!$H$6:$H$85,0)+23)=Меню!$D$8,FALSE),INDEX(Рецепты!$J$6:$J$85,MATCH(Меню!$D$8,Рецепты!$H$6:$H$85,0)+23),""),"")</f>
        <v/>
      </c>
      <c r="F79" s="3" t="str">
        <f>IF($E79="","",INDEX(Рецепты!$K$6:$K$85,MATCH(Меню!$D$8,Рецепты!$H$6:$H$85,0)+23))</f>
        <v/>
      </c>
      <c r="G79" s="3" t="str">
        <f>IF($E79="","",INDEX(Рецепты!$M$6:$M$85,MATCH(Меню!$D$8,Рецепты!$H$6:$H$85,0)+23))</f>
        <v/>
      </c>
      <c r="H79" s="12">
        <f>IFERROR(IF(IFERROR(INDEX(Рецепты!$H$6:$H$85,MATCH(Меню!$D$8,Рецепты!$H$6:$H$85,0)+23)=Меню!$D$8,FALSE),INDEX(Рецепты!$L$6:$L$85,MATCH(Меню!$D$8,Рецепты!$H$6:$H$85,0)+23),0),0)</f>
        <v>0</v>
      </c>
      <c r="I79" s="12" t="str">
        <f>IF($F79="","",Меню!$E$8)</f>
        <v/>
      </c>
      <c r="J79" s="12">
        <f t="shared" si="1"/>
        <v>0</v>
      </c>
      <c r="K79" s="12">
        <f>IFERROR($J79/100*INDEX(Продукты!$G$6:$G$66,MATCH($E79,Продукты!$A$6:$A$66,0)),0)</f>
        <v>0</v>
      </c>
      <c r="L79" s="12">
        <f>IFERROR($J79/100*INDEX(Продукты!$H$6:$H$66,MATCH($E79,Продукты!$A$6:$A$66,0)),0)</f>
        <v>0</v>
      </c>
      <c r="M79" s="12">
        <f>IFERROR($J79/100*INDEX(Продукты!$I$6:$I$66,MATCH($E79,Продукты!$A$6:$A$66,0)),0)</f>
        <v>0</v>
      </c>
      <c r="N79" s="12">
        <f>IFERROR($J79/100*INDEX(Продукты!$J$6:$J$66,MATCH($E79,Продукты!$A$6:$A$66,0)),0)</f>
        <v>0</v>
      </c>
      <c r="O79" s="3" t="str">
        <f>IFERROR(IF(IFERROR(INDEX(Рецепты!$H$6:$H$85,MATCH(Меню!$D$8,Рецепты!$H$6:$H$85,0)+23)=Меню!$D$8,FALSE),INDEX(Рецепты!$N$6:$N$85,MATCH(Меню!$D$8,Рецепты!$H$6:$H$85,0)+23),""),"")</f>
        <v/>
      </c>
    </row>
    <row r="80" spans="1:15">
      <c r="A80" s="3" t="str">
        <f>IF($E80="","",Меню!$A$8)</f>
        <v/>
      </c>
      <c r="B80" s="3" t="str">
        <f>IF($E80="","",Меню!$B$8)</f>
        <v/>
      </c>
      <c r="C80" s="3" t="str">
        <f>IF($E80="","",Меню!$C$8)</f>
        <v/>
      </c>
      <c r="D80" s="3" t="str">
        <f>IF($E80="","",Меню!$D$8)</f>
        <v/>
      </c>
      <c r="E80" s="3" t="str">
        <f>IFERROR(IF(IFERROR(INDEX(Рецепты!$H$6:$H$85,MATCH(Меню!$D$8,Рецепты!$H$6:$H$85,0)+24)=Меню!$D$8,FALSE),INDEX(Рецепты!$J$6:$J$85,MATCH(Меню!$D$8,Рецепты!$H$6:$H$85,0)+24),""),"")</f>
        <v/>
      </c>
      <c r="F80" s="3" t="str">
        <f>IF($E80="","",INDEX(Рецепты!$K$6:$K$85,MATCH(Меню!$D$8,Рецепты!$H$6:$H$85,0)+24))</f>
        <v/>
      </c>
      <c r="G80" s="3" t="str">
        <f>IF($E80="","",INDEX(Рецепты!$M$6:$M$85,MATCH(Меню!$D$8,Рецепты!$H$6:$H$85,0)+24))</f>
        <v/>
      </c>
      <c r="H80" s="12">
        <f>IFERROR(IF(IFERROR(INDEX(Рецепты!$H$6:$H$85,MATCH(Меню!$D$8,Рецепты!$H$6:$H$85,0)+24)=Меню!$D$8,FALSE),INDEX(Рецепты!$L$6:$L$85,MATCH(Меню!$D$8,Рецепты!$H$6:$H$85,0)+24),0),0)</f>
        <v>0</v>
      </c>
      <c r="I80" s="12" t="str">
        <f>IF($F80="","",Меню!$E$8)</f>
        <v/>
      </c>
      <c r="J80" s="12">
        <f t="shared" si="1"/>
        <v>0</v>
      </c>
      <c r="K80" s="12">
        <f>IFERROR($J80/100*INDEX(Продукты!$G$6:$G$66,MATCH($E80,Продукты!$A$6:$A$66,0)),0)</f>
        <v>0</v>
      </c>
      <c r="L80" s="12">
        <f>IFERROR($J80/100*INDEX(Продукты!$H$6:$H$66,MATCH($E80,Продукты!$A$6:$A$66,0)),0)</f>
        <v>0</v>
      </c>
      <c r="M80" s="12">
        <f>IFERROR($J80/100*INDEX(Продукты!$I$6:$I$66,MATCH($E80,Продукты!$A$6:$A$66,0)),0)</f>
        <v>0</v>
      </c>
      <c r="N80" s="12">
        <f>IFERROR($J80/100*INDEX(Продукты!$J$6:$J$66,MATCH($E80,Продукты!$A$6:$A$66,0)),0)</f>
        <v>0</v>
      </c>
      <c r="O80" s="3" t="str">
        <f>IFERROR(IF(IFERROR(INDEX(Рецепты!$H$6:$H$85,MATCH(Меню!$D$8,Рецепты!$H$6:$H$85,0)+24)=Меню!$D$8,FALSE),INDEX(Рецепты!$N$6:$N$85,MATCH(Меню!$D$8,Рецепты!$H$6:$H$85,0)+24),""),"")</f>
        <v/>
      </c>
    </row>
    <row r="81" spans="1:15">
      <c r="A81" s="3" t="str">
        <f>IF($E81="","",Меню!$A$9)</f>
        <v/>
      </c>
      <c r="B81" s="3" t="str">
        <f>IF($E81="","",Меню!$B$9)</f>
        <v/>
      </c>
      <c r="C81" s="3" t="str">
        <f>IF($E81="","",Меню!$C$9)</f>
        <v/>
      </c>
      <c r="D81" s="3" t="str">
        <f>IF($E81="","",Меню!$D$9)</f>
        <v/>
      </c>
      <c r="E81" s="3" t="str">
        <f>IFERROR(IF(IFERROR(INDEX(Рецепты!$H$6:$H$85,MATCH(Меню!$D$9,Рецепты!$H$6:$H$85,0)+0)=Меню!$D$9,FALSE),INDEX(Рецепты!$J$6:$J$85,MATCH(Меню!$D$9,Рецепты!$H$6:$H$85,0)+0),""),"")</f>
        <v/>
      </c>
      <c r="F81" s="3" t="str">
        <f>IF($E81="","",INDEX(Рецепты!$K$6:$K$85,MATCH(Меню!$D$9,Рецепты!$H$6:$H$85,0)+0))</f>
        <v/>
      </c>
      <c r="G81" s="3" t="str">
        <f>IF($E81="","",INDEX(Рецепты!$M$6:$M$85,MATCH(Меню!$D$9,Рецепты!$H$6:$H$85,0)+0))</f>
        <v/>
      </c>
      <c r="H81" s="12">
        <f>IFERROR(IF(IFERROR(INDEX(Рецепты!$H$6:$H$85,MATCH(Меню!$D$9,Рецепты!$H$6:$H$85,0)+0)=Меню!$D$9,FALSE),INDEX(Рецепты!$L$6:$L$85,MATCH(Меню!$D$9,Рецепты!$H$6:$H$85,0)+0),0),0)</f>
        <v>0</v>
      </c>
      <c r="I81" s="12" t="str">
        <f>IF($F81="","",Меню!$E$9)</f>
        <v/>
      </c>
      <c r="J81" s="12">
        <f t="shared" si="1"/>
        <v>0</v>
      </c>
      <c r="K81" s="12">
        <f>IFERROR($J81/100*INDEX(Продукты!$G$6:$G$66,MATCH($E81,Продукты!$A$6:$A$66,0)),0)</f>
        <v>0</v>
      </c>
      <c r="L81" s="12">
        <f>IFERROR($J81/100*INDEX(Продукты!$H$6:$H$66,MATCH($E81,Продукты!$A$6:$A$66,0)),0)</f>
        <v>0</v>
      </c>
      <c r="M81" s="12">
        <f>IFERROR($J81/100*INDEX(Продукты!$I$6:$I$66,MATCH($E81,Продукты!$A$6:$A$66,0)),0)</f>
        <v>0</v>
      </c>
      <c r="N81" s="12">
        <f>IFERROR($J81/100*INDEX(Продукты!$J$6:$J$66,MATCH($E81,Продукты!$A$6:$A$66,0)),0)</f>
        <v>0</v>
      </c>
      <c r="O81" s="3" t="str">
        <f>IFERROR(IF(IFERROR(INDEX(Рецепты!$H$6:$H$85,MATCH(Меню!$D$9,Рецепты!$H$6:$H$85,0)+0)=Меню!$D$9,FALSE),INDEX(Рецепты!$N$6:$N$85,MATCH(Меню!$D$9,Рецепты!$H$6:$H$85,0)+0),""),"")</f>
        <v/>
      </c>
    </row>
    <row r="82" spans="1:15">
      <c r="A82" s="3" t="str">
        <f>IF($E82="","",Меню!$A$9)</f>
        <v/>
      </c>
      <c r="B82" s="3" t="str">
        <f>IF($E82="","",Меню!$B$9)</f>
        <v/>
      </c>
      <c r="C82" s="3" t="str">
        <f>IF($E82="","",Меню!$C$9)</f>
        <v/>
      </c>
      <c r="D82" s="3" t="str">
        <f>IF($E82="","",Меню!$D$9)</f>
        <v/>
      </c>
      <c r="E82" s="3" t="str">
        <f>IFERROR(IF(IFERROR(INDEX(Рецепты!$H$6:$H$85,MATCH(Меню!$D$9,Рецепты!$H$6:$H$85,0)+1)=Меню!$D$9,FALSE),INDEX(Рецепты!$J$6:$J$85,MATCH(Меню!$D$9,Рецепты!$H$6:$H$85,0)+1),""),"")</f>
        <v/>
      </c>
      <c r="F82" s="3" t="str">
        <f>IF($E82="","",INDEX(Рецепты!$K$6:$K$85,MATCH(Меню!$D$9,Рецепты!$H$6:$H$85,0)+1))</f>
        <v/>
      </c>
      <c r="G82" s="3" t="str">
        <f>IF($E82="","",INDEX(Рецепты!$M$6:$M$85,MATCH(Меню!$D$9,Рецепты!$H$6:$H$85,0)+1))</f>
        <v/>
      </c>
      <c r="H82" s="12">
        <f>IFERROR(IF(IFERROR(INDEX(Рецепты!$H$6:$H$85,MATCH(Меню!$D$9,Рецепты!$H$6:$H$85,0)+1)=Меню!$D$9,FALSE),INDEX(Рецепты!$L$6:$L$85,MATCH(Меню!$D$9,Рецепты!$H$6:$H$85,0)+1),0),0)</f>
        <v>0</v>
      </c>
      <c r="I82" s="12" t="str">
        <f>IF($F82="","",Меню!$E$9)</f>
        <v/>
      </c>
      <c r="J82" s="12">
        <f t="shared" si="1"/>
        <v>0</v>
      </c>
      <c r="K82" s="12">
        <f>IFERROR($J82/100*INDEX(Продукты!$G$6:$G$66,MATCH($E82,Продукты!$A$6:$A$66,0)),0)</f>
        <v>0</v>
      </c>
      <c r="L82" s="12">
        <f>IFERROR($J82/100*INDEX(Продукты!$H$6:$H$66,MATCH($E82,Продукты!$A$6:$A$66,0)),0)</f>
        <v>0</v>
      </c>
      <c r="M82" s="12">
        <f>IFERROR($J82/100*INDEX(Продукты!$I$6:$I$66,MATCH($E82,Продукты!$A$6:$A$66,0)),0)</f>
        <v>0</v>
      </c>
      <c r="N82" s="12">
        <f>IFERROR($J82/100*INDEX(Продукты!$J$6:$J$66,MATCH($E82,Продукты!$A$6:$A$66,0)),0)</f>
        <v>0</v>
      </c>
      <c r="O82" s="3" t="str">
        <f>IFERROR(IF(IFERROR(INDEX(Рецепты!$H$6:$H$85,MATCH(Меню!$D$9,Рецепты!$H$6:$H$85,0)+1)=Меню!$D$9,FALSE),INDEX(Рецепты!$N$6:$N$85,MATCH(Меню!$D$9,Рецепты!$H$6:$H$85,0)+1),""),"")</f>
        <v/>
      </c>
    </row>
    <row r="83" spans="1:15">
      <c r="A83" s="3" t="str">
        <f>IF($E83="","",Меню!$A$9)</f>
        <v/>
      </c>
      <c r="B83" s="3" t="str">
        <f>IF($E83="","",Меню!$B$9)</f>
        <v/>
      </c>
      <c r="C83" s="3" t="str">
        <f>IF($E83="","",Меню!$C$9)</f>
        <v/>
      </c>
      <c r="D83" s="3" t="str">
        <f>IF($E83="","",Меню!$D$9)</f>
        <v/>
      </c>
      <c r="E83" s="3" t="str">
        <f>IFERROR(IF(IFERROR(INDEX(Рецепты!$H$6:$H$85,MATCH(Меню!$D$9,Рецепты!$H$6:$H$85,0)+2)=Меню!$D$9,FALSE),INDEX(Рецепты!$J$6:$J$85,MATCH(Меню!$D$9,Рецепты!$H$6:$H$85,0)+2),""),"")</f>
        <v/>
      </c>
      <c r="F83" s="3" t="str">
        <f>IF($E83="","",INDEX(Рецепты!$K$6:$K$85,MATCH(Меню!$D$9,Рецепты!$H$6:$H$85,0)+2))</f>
        <v/>
      </c>
      <c r="G83" s="3" t="str">
        <f>IF($E83="","",INDEX(Рецепты!$M$6:$M$85,MATCH(Меню!$D$9,Рецепты!$H$6:$H$85,0)+2))</f>
        <v/>
      </c>
      <c r="H83" s="12">
        <f>IFERROR(IF(IFERROR(INDEX(Рецепты!$H$6:$H$85,MATCH(Меню!$D$9,Рецепты!$H$6:$H$85,0)+2)=Меню!$D$9,FALSE),INDEX(Рецепты!$L$6:$L$85,MATCH(Меню!$D$9,Рецепты!$H$6:$H$85,0)+2),0),0)</f>
        <v>0</v>
      </c>
      <c r="I83" s="12" t="str">
        <f>IF($F83="","",Меню!$E$9)</f>
        <v/>
      </c>
      <c r="J83" s="12">
        <f t="shared" si="1"/>
        <v>0</v>
      </c>
      <c r="K83" s="12">
        <f>IFERROR($J83/100*INDEX(Продукты!$G$6:$G$66,MATCH($E83,Продукты!$A$6:$A$66,0)),0)</f>
        <v>0</v>
      </c>
      <c r="L83" s="12">
        <f>IFERROR($J83/100*INDEX(Продукты!$H$6:$H$66,MATCH($E83,Продукты!$A$6:$A$66,0)),0)</f>
        <v>0</v>
      </c>
      <c r="M83" s="12">
        <f>IFERROR($J83/100*INDEX(Продукты!$I$6:$I$66,MATCH($E83,Продукты!$A$6:$A$66,0)),0)</f>
        <v>0</v>
      </c>
      <c r="N83" s="12">
        <f>IFERROR($J83/100*INDEX(Продукты!$J$6:$J$66,MATCH($E83,Продукты!$A$6:$A$66,0)),0)</f>
        <v>0</v>
      </c>
      <c r="O83" s="3" t="str">
        <f>IFERROR(IF(IFERROR(INDEX(Рецепты!$H$6:$H$85,MATCH(Меню!$D$9,Рецепты!$H$6:$H$85,0)+2)=Меню!$D$9,FALSE),INDEX(Рецепты!$N$6:$N$85,MATCH(Меню!$D$9,Рецепты!$H$6:$H$85,0)+2),""),"")</f>
        <v/>
      </c>
    </row>
    <row r="84" spans="1:15">
      <c r="A84" s="3" t="str">
        <f>IF($E84="","",Меню!$A$9)</f>
        <v/>
      </c>
      <c r="B84" s="3" t="str">
        <f>IF($E84="","",Меню!$B$9)</f>
        <v/>
      </c>
      <c r="C84" s="3" t="str">
        <f>IF($E84="","",Меню!$C$9)</f>
        <v/>
      </c>
      <c r="D84" s="3" t="str">
        <f>IF($E84="","",Меню!$D$9)</f>
        <v/>
      </c>
      <c r="E84" s="3" t="str">
        <f>IFERROR(IF(IFERROR(INDEX(Рецепты!$H$6:$H$85,MATCH(Меню!$D$9,Рецепты!$H$6:$H$85,0)+3)=Меню!$D$9,FALSE),INDEX(Рецепты!$J$6:$J$85,MATCH(Меню!$D$9,Рецепты!$H$6:$H$85,0)+3),""),"")</f>
        <v/>
      </c>
      <c r="F84" s="3" t="str">
        <f>IF($E84="","",INDEX(Рецепты!$K$6:$K$85,MATCH(Меню!$D$9,Рецепты!$H$6:$H$85,0)+3))</f>
        <v/>
      </c>
      <c r="G84" s="3" t="str">
        <f>IF($E84="","",INDEX(Рецепты!$M$6:$M$85,MATCH(Меню!$D$9,Рецепты!$H$6:$H$85,0)+3))</f>
        <v/>
      </c>
      <c r="H84" s="12">
        <f>IFERROR(IF(IFERROR(INDEX(Рецепты!$H$6:$H$85,MATCH(Меню!$D$9,Рецепты!$H$6:$H$85,0)+3)=Меню!$D$9,FALSE),INDEX(Рецепты!$L$6:$L$85,MATCH(Меню!$D$9,Рецепты!$H$6:$H$85,0)+3),0),0)</f>
        <v>0</v>
      </c>
      <c r="I84" s="12" t="str">
        <f>IF($F84="","",Меню!$E$9)</f>
        <v/>
      </c>
      <c r="J84" s="12">
        <f t="shared" si="1"/>
        <v>0</v>
      </c>
      <c r="K84" s="12">
        <f>IFERROR($J84/100*INDEX(Продукты!$G$6:$G$66,MATCH($E84,Продукты!$A$6:$A$66,0)),0)</f>
        <v>0</v>
      </c>
      <c r="L84" s="12">
        <f>IFERROR($J84/100*INDEX(Продукты!$H$6:$H$66,MATCH($E84,Продукты!$A$6:$A$66,0)),0)</f>
        <v>0</v>
      </c>
      <c r="M84" s="12">
        <f>IFERROR($J84/100*INDEX(Продукты!$I$6:$I$66,MATCH($E84,Продукты!$A$6:$A$66,0)),0)</f>
        <v>0</v>
      </c>
      <c r="N84" s="12">
        <f>IFERROR($J84/100*INDEX(Продукты!$J$6:$J$66,MATCH($E84,Продукты!$A$6:$A$66,0)),0)</f>
        <v>0</v>
      </c>
      <c r="O84" s="3" t="str">
        <f>IFERROR(IF(IFERROR(INDEX(Рецепты!$H$6:$H$85,MATCH(Меню!$D$9,Рецепты!$H$6:$H$85,0)+3)=Меню!$D$9,FALSE),INDEX(Рецепты!$N$6:$N$85,MATCH(Меню!$D$9,Рецепты!$H$6:$H$85,0)+3),""),"")</f>
        <v/>
      </c>
    </row>
    <row r="85" spans="1:15">
      <c r="A85" s="3" t="str">
        <f>IF($E85="","",Меню!$A$9)</f>
        <v/>
      </c>
      <c r="B85" s="3" t="str">
        <f>IF($E85="","",Меню!$B$9)</f>
        <v/>
      </c>
      <c r="C85" s="3" t="str">
        <f>IF($E85="","",Меню!$C$9)</f>
        <v/>
      </c>
      <c r="D85" s="3" t="str">
        <f>IF($E85="","",Меню!$D$9)</f>
        <v/>
      </c>
      <c r="E85" s="3" t="str">
        <f>IFERROR(IF(IFERROR(INDEX(Рецепты!$H$6:$H$85,MATCH(Меню!$D$9,Рецепты!$H$6:$H$85,0)+4)=Меню!$D$9,FALSE),INDEX(Рецепты!$J$6:$J$85,MATCH(Меню!$D$9,Рецепты!$H$6:$H$85,0)+4),""),"")</f>
        <v/>
      </c>
      <c r="F85" s="3" t="str">
        <f>IF($E85="","",INDEX(Рецепты!$K$6:$K$85,MATCH(Меню!$D$9,Рецепты!$H$6:$H$85,0)+4))</f>
        <v/>
      </c>
      <c r="G85" s="3" t="str">
        <f>IF($E85="","",INDEX(Рецепты!$M$6:$M$85,MATCH(Меню!$D$9,Рецепты!$H$6:$H$85,0)+4))</f>
        <v/>
      </c>
      <c r="H85" s="12">
        <f>IFERROR(IF(IFERROR(INDEX(Рецепты!$H$6:$H$85,MATCH(Меню!$D$9,Рецепты!$H$6:$H$85,0)+4)=Меню!$D$9,FALSE),INDEX(Рецепты!$L$6:$L$85,MATCH(Меню!$D$9,Рецепты!$H$6:$H$85,0)+4),0),0)</f>
        <v>0</v>
      </c>
      <c r="I85" s="12" t="str">
        <f>IF($F85="","",Меню!$E$9)</f>
        <v/>
      </c>
      <c r="J85" s="12">
        <f t="shared" si="1"/>
        <v>0</v>
      </c>
      <c r="K85" s="12">
        <f>IFERROR($J85/100*INDEX(Продукты!$G$6:$G$66,MATCH($E85,Продукты!$A$6:$A$66,0)),0)</f>
        <v>0</v>
      </c>
      <c r="L85" s="12">
        <f>IFERROR($J85/100*INDEX(Продукты!$H$6:$H$66,MATCH($E85,Продукты!$A$6:$A$66,0)),0)</f>
        <v>0</v>
      </c>
      <c r="M85" s="12">
        <f>IFERROR($J85/100*INDEX(Продукты!$I$6:$I$66,MATCH($E85,Продукты!$A$6:$A$66,0)),0)</f>
        <v>0</v>
      </c>
      <c r="N85" s="12">
        <f>IFERROR($J85/100*INDEX(Продукты!$J$6:$J$66,MATCH($E85,Продукты!$A$6:$A$66,0)),0)</f>
        <v>0</v>
      </c>
      <c r="O85" s="3" t="str">
        <f>IFERROR(IF(IFERROR(INDEX(Рецепты!$H$6:$H$85,MATCH(Меню!$D$9,Рецепты!$H$6:$H$85,0)+4)=Меню!$D$9,FALSE),INDEX(Рецепты!$N$6:$N$85,MATCH(Меню!$D$9,Рецепты!$H$6:$H$85,0)+4),""),"")</f>
        <v/>
      </c>
    </row>
    <row r="86" spans="1:15">
      <c r="A86" s="3" t="str">
        <f>IF($E86="","",Меню!$A$9)</f>
        <v/>
      </c>
      <c r="B86" s="3" t="str">
        <f>IF($E86="","",Меню!$B$9)</f>
        <v/>
      </c>
      <c r="C86" s="3" t="str">
        <f>IF($E86="","",Меню!$C$9)</f>
        <v/>
      </c>
      <c r="D86" s="3" t="str">
        <f>IF($E86="","",Меню!$D$9)</f>
        <v/>
      </c>
      <c r="E86" s="3" t="str">
        <f>IFERROR(IF(IFERROR(INDEX(Рецепты!$H$6:$H$85,MATCH(Меню!$D$9,Рецепты!$H$6:$H$85,0)+5)=Меню!$D$9,FALSE),INDEX(Рецепты!$J$6:$J$85,MATCH(Меню!$D$9,Рецепты!$H$6:$H$85,0)+5),""),"")</f>
        <v/>
      </c>
      <c r="F86" s="3" t="str">
        <f>IF($E86="","",INDEX(Рецепты!$K$6:$K$85,MATCH(Меню!$D$9,Рецепты!$H$6:$H$85,0)+5))</f>
        <v/>
      </c>
      <c r="G86" s="3" t="str">
        <f>IF($E86="","",INDEX(Рецепты!$M$6:$M$85,MATCH(Меню!$D$9,Рецепты!$H$6:$H$85,0)+5))</f>
        <v/>
      </c>
      <c r="H86" s="12">
        <f>IFERROR(IF(IFERROR(INDEX(Рецепты!$H$6:$H$85,MATCH(Меню!$D$9,Рецепты!$H$6:$H$85,0)+5)=Меню!$D$9,FALSE),INDEX(Рецепты!$L$6:$L$85,MATCH(Меню!$D$9,Рецепты!$H$6:$H$85,0)+5),0),0)</f>
        <v>0</v>
      </c>
      <c r="I86" s="12" t="str">
        <f>IF($F86="","",Меню!$E$9)</f>
        <v/>
      </c>
      <c r="J86" s="12">
        <f t="shared" si="1"/>
        <v>0</v>
      </c>
      <c r="K86" s="12">
        <f>IFERROR($J86/100*INDEX(Продукты!$G$6:$G$66,MATCH($E86,Продукты!$A$6:$A$66,0)),0)</f>
        <v>0</v>
      </c>
      <c r="L86" s="12">
        <f>IFERROR($J86/100*INDEX(Продукты!$H$6:$H$66,MATCH($E86,Продукты!$A$6:$A$66,0)),0)</f>
        <v>0</v>
      </c>
      <c r="M86" s="12">
        <f>IFERROR($J86/100*INDEX(Продукты!$I$6:$I$66,MATCH($E86,Продукты!$A$6:$A$66,0)),0)</f>
        <v>0</v>
      </c>
      <c r="N86" s="12">
        <f>IFERROR($J86/100*INDEX(Продукты!$J$6:$J$66,MATCH($E86,Продукты!$A$6:$A$66,0)),0)</f>
        <v>0</v>
      </c>
      <c r="O86" s="3" t="str">
        <f>IFERROR(IF(IFERROR(INDEX(Рецепты!$H$6:$H$85,MATCH(Меню!$D$9,Рецепты!$H$6:$H$85,0)+5)=Меню!$D$9,FALSE),INDEX(Рецепты!$N$6:$N$85,MATCH(Меню!$D$9,Рецепты!$H$6:$H$85,0)+5),""),"")</f>
        <v/>
      </c>
    </row>
    <row r="87" spans="1:15">
      <c r="A87" s="3" t="str">
        <f>IF($E87="","",Меню!$A$9)</f>
        <v/>
      </c>
      <c r="B87" s="3" t="str">
        <f>IF($E87="","",Меню!$B$9)</f>
        <v/>
      </c>
      <c r="C87" s="3" t="str">
        <f>IF($E87="","",Меню!$C$9)</f>
        <v/>
      </c>
      <c r="D87" s="3" t="str">
        <f>IF($E87="","",Меню!$D$9)</f>
        <v/>
      </c>
      <c r="E87" s="3" t="str">
        <f>IFERROR(IF(IFERROR(INDEX(Рецепты!$H$6:$H$85,MATCH(Меню!$D$9,Рецепты!$H$6:$H$85,0)+6)=Меню!$D$9,FALSE),INDEX(Рецепты!$J$6:$J$85,MATCH(Меню!$D$9,Рецепты!$H$6:$H$85,0)+6),""),"")</f>
        <v/>
      </c>
      <c r="F87" s="3" t="str">
        <f>IF($E87="","",INDEX(Рецепты!$K$6:$K$85,MATCH(Меню!$D$9,Рецепты!$H$6:$H$85,0)+6))</f>
        <v/>
      </c>
      <c r="G87" s="3" t="str">
        <f>IF($E87="","",INDEX(Рецепты!$M$6:$M$85,MATCH(Меню!$D$9,Рецепты!$H$6:$H$85,0)+6))</f>
        <v/>
      </c>
      <c r="H87" s="12">
        <f>IFERROR(IF(IFERROR(INDEX(Рецепты!$H$6:$H$85,MATCH(Меню!$D$9,Рецепты!$H$6:$H$85,0)+6)=Меню!$D$9,FALSE),INDEX(Рецепты!$L$6:$L$85,MATCH(Меню!$D$9,Рецепты!$H$6:$H$85,0)+6),0),0)</f>
        <v>0</v>
      </c>
      <c r="I87" s="12" t="str">
        <f>IF($F87="","",Меню!$E$9)</f>
        <v/>
      </c>
      <c r="J87" s="12">
        <f t="shared" si="1"/>
        <v>0</v>
      </c>
      <c r="K87" s="12">
        <f>IFERROR($J87/100*INDEX(Продукты!$G$6:$G$66,MATCH($E87,Продукты!$A$6:$A$66,0)),0)</f>
        <v>0</v>
      </c>
      <c r="L87" s="12">
        <f>IFERROR($J87/100*INDEX(Продукты!$H$6:$H$66,MATCH($E87,Продукты!$A$6:$A$66,0)),0)</f>
        <v>0</v>
      </c>
      <c r="M87" s="12">
        <f>IFERROR($J87/100*INDEX(Продукты!$I$6:$I$66,MATCH($E87,Продукты!$A$6:$A$66,0)),0)</f>
        <v>0</v>
      </c>
      <c r="N87" s="12">
        <f>IFERROR($J87/100*INDEX(Продукты!$J$6:$J$66,MATCH($E87,Продукты!$A$6:$A$66,0)),0)</f>
        <v>0</v>
      </c>
      <c r="O87" s="3" t="str">
        <f>IFERROR(IF(IFERROR(INDEX(Рецепты!$H$6:$H$85,MATCH(Меню!$D$9,Рецепты!$H$6:$H$85,0)+6)=Меню!$D$9,FALSE),INDEX(Рецепты!$N$6:$N$85,MATCH(Меню!$D$9,Рецепты!$H$6:$H$85,0)+6),""),"")</f>
        <v/>
      </c>
    </row>
    <row r="88" spans="1:15">
      <c r="A88" s="3" t="str">
        <f>IF($E88="","",Меню!$A$9)</f>
        <v/>
      </c>
      <c r="B88" s="3" t="str">
        <f>IF($E88="","",Меню!$B$9)</f>
        <v/>
      </c>
      <c r="C88" s="3" t="str">
        <f>IF($E88="","",Меню!$C$9)</f>
        <v/>
      </c>
      <c r="D88" s="3" t="str">
        <f>IF($E88="","",Меню!$D$9)</f>
        <v/>
      </c>
      <c r="E88" s="3" t="str">
        <f>IFERROR(IF(IFERROR(INDEX(Рецепты!$H$6:$H$85,MATCH(Меню!$D$9,Рецепты!$H$6:$H$85,0)+7)=Меню!$D$9,FALSE),INDEX(Рецепты!$J$6:$J$85,MATCH(Меню!$D$9,Рецепты!$H$6:$H$85,0)+7),""),"")</f>
        <v/>
      </c>
      <c r="F88" s="3" t="str">
        <f>IF($E88="","",INDEX(Рецепты!$K$6:$K$85,MATCH(Меню!$D$9,Рецепты!$H$6:$H$85,0)+7))</f>
        <v/>
      </c>
      <c r="G88" s="3" t="str">
        <f>IF($E88="","",INDEX(Рецепты!$M$6:$M$85,MATCH(Меню!$D$9,Рецепты!$H$6:$H$85,0)+7))</f>
        <v/>
      </c>
      <c r="H88" s="12">
        <f>IFERROR(IF(IFERROR(INDEX(Рецепты!$H$6:$H$85,MATCH(Меню!$D$9,Рецепты!$H$6:$H$85,0)+7)=Меню!$D$9,FALSE),INDEX(Рецепты!$L$6:$L$85,MATCH(Меню!$D$9,Рецепты!$H$6:$H$85,0)+7),0),0)</f>
        <v>0</v>
      </c>
      <c r="I88" s="12" t="str">
        <f>IF($F88="","",Меню!$E$9)</f>
        <v/>
      </c>
      <c r="J88" s="12">
        <f t="shared" si="1"/>
        <v>0</v>
      </c>
      <c r="K88" s="12">
        <f>IFERROR($J88/100*INDEX(Продукты!$G$6:$G$66,MATCH($E88,Продукты!$A$6:$A$66,0)),0)</f>
        <v>0</v>
      </c>
      <c r="L88" s="12">
        <f>IFERROR($J88/100*INDEX(Продукты!$H$6:$H$66,MATCH($E88,Продукты!$A$6:$A$66,0)),0)</f>
        <v>0</v>
      </c>
      <c r="M88" s="12">
        <f>IFERROR($J88/100*INDEX(Продукты!$I$6:$I$66,MATCH($E88,Продукты!$A$6:$A$66,0)),0)</f>
        <v>0</v>
      </c>
      <c r="N88" s="12">
        <f>IFERROR($J88/100*INDEX(Продукты!$J$6:$J$66,MATCH($E88,Продукты!$A$6:$A$66,0)),0)</f>
        <v>0</v>
      </c>
      <c r="O88" s="3" t="str">
        <f>IFERROR(IF(IFERROR(INDEX(Рецепты!$H$6:$H$85,MATCH(Меню!$D$9,Рецепты!$H$6:$H$85,0)+7)=Меню!$D$9,FALSE),INDEX(Рецепты!$N$6:$N$85,MATCH(Меню!$D$9,Рецепты!$H$6:$H$85,0)+7),""),"")</f>
        <v/>
      </c>
    </row>
    <row r="89" spans="1:15">
      <c r="A89" s="3" t="str">
        <f>IF($E89="","",Меню!$A$9)</f>
        <v/>
      </c>
      <c r="B89" s="3" t="str">
        <f>IF($E89="","",Меню!$B$9)</f>
        <v/>
      </c>
      <c r="C89" s="3" t="str">
        <f>IF($E89="","",Меню!$C$9)</f>
        <v/>
      </c>
      <c r="D89" s="3" t="str">
        <f>IF($E89="","",Меню!$D$9)</f>
        <v/>
      </c>
      <c r="E89" s="3" t="str">
        <f>IFERROR(IF(IFERROR(INDEX(Рецепты!$H$6:$H$85,MATCH(Меню!$D$9,Рецепты!$H$6:$H$85,0)+8)=Меню!$D$9,FALSE),INDEX(Рецепты!$J$6:$J$85,MATCH(Меню!$D$9,Рецепты!$H$6:$H$85,0)+8),""),"")</f>
        <v/>
      </c>
      <c r="F89" s="3" t="str">
        <f>IF($E89="","",INDEX(Рецепты!$K$6:$K$85,MATCH(Меню!$D$9,Рецепты!$H$6:$H$85,0)+8))</f>
        <v/>
      </c>
      <c r="G89" s="3" t="str">
        <f>IF($E89="","",INDEX(Рецепты!$M$6:$M$85,MATCH(Меню!$D$9,Рецепты!$H$6:$H$85,0)+8))</f>
        <v/>
      </c>
      <c r="H89" s="12">
        <f>IFERROR(IF(IFERROR(INDEX(Рецепты!$H$6:$H$85,MATCH(Меню!$D$9,Рецепты!$H$6:$H$85,0)+8)=Меню!$D$9,FALSE),INDEX(Рецепты!$L$6:$L$85,MATCH(Меню!$D$9,Рецепты!$H$6:$H$85,0)+8),0),0)</f>
        <v>0</v>
      </c>
      <c r="I89" s="12" t="str">
        <f>IF($F89="","",Меню!$E$9)</f>
        <v/>
      </c>
      <c r="J89" s="12">
        <f t="shared" si="1"/>
        <v>0</v>
      </c>
      <c r="K89" s="12">
        <f>IFERROR($J89/100*INDEX(Продукты!$G$6:$G$66,MATCH($E89,Продукты!$A$6:$A$66,0)),0)</f>
        <v>0</v>
      </c>
      <c r="L89" s="12">
        <f>IFERROR($J89/100*INDEX(Продукты!$H$6:$H$66,MATCH($E89,Продукты!$A$6:$A$66,0)),0)</f>
        <v>0</v>
      </c>
      <c r="M89" s="12">
        <f>IFERROR($J89/100*INDEX(Продукты!$I$6:$I$66,MATCH($E89,Продукты!$A$6:$A$66,0)),0)</f>
        <v>0</v>
      </c>
      <c r="N89" s="12">
        <f>IFERROR($J89/100*INDEX(Продукты!$J$6:$J$66,MATCH($E89,Продукты!$A$6:$A$66,0)),0)</f>
        <v>0</v>
      </c>
      <c r="O89" s="3" t="str">
        <f>IFERROR(IF(IFERROR(INDEX(Рецепты!$H$6:$H$85,MATCH(Меню!$D$9,Рецепты!$H$6:$H$85,0)+8)=Меню!$D$9,FALSE),INDEX(Рецепты!$N$6:$N$85,MATCH(Меню!$D$9,Рецепты!$H$6:$H$85,0)+8),""),"")</f>
        <v/>
      </c>
    </row>
    <row r="90" spans="1:15">
      <c r="A90" s="3" t="str">
        <f>IF($E90="","",Меню!$A$9)</f>
        <v/>
      </c>
      <c r="B90" s="3" t="str">
        <f>IF($E90="","",Меню!$B$9)</f>
        <v/>
      </c>
      <c r="C90" s="3" t="str">
        <f>IF($E90="","",Меню!$C$9)</f>
        <v/>
      </c>
      <c r="D90" s="3" t="str">
        <f>IF($E90="","",Меню!$D$9)</f>
        <v/>
      </c>
      <c r="E90" s="3" t="str">
        <f>IFERROR(IF(IFERROR(INDEX(Рецепты!$H$6:$H$85,MATCH(Меню!$D$9,Рецепты!$H$6:$H$85,0)+9)=Меню!$D$9,FALSE),INDEX(Рецепты!$J$6:$J$85,MATCH(Меню!$D$9,Рецепты!$H$6:$H$85,0)+9),""),"")</f>
        <v/>
      </c>
      <c r="F90" s="3" t="str">
        <f>IF($E90="","",INDEX(Рецепты!$K$6:$K$85,MATCH(Меню!$D$9,Рецепты!$H$6:$H$85,0)+9))</f>
        <v/>
      </c>
      <c r="G90" s="3" t="str">
        <f>IF($E90="","",INDEX(Рецепты!$M$6:$M$85,MATCH(Меню!$D$9,Рецепты!$H$6:$H$85,0)+9))</f>
        <v/>
      </c>
      <c r="H90" s="12">
        <f>IFERROR(IF(IFERROR(INDEX(Рецепты!$H$6:$H$85,MATCH(Меню!$D$9,Рецепты!$H$6:$H$85,0)+9)=Меню!$D$9,FALSE),INDEX(Рецепты!$L$6:$L$85,MATCH(Меню!$D$9,Рецепты!$H$6:$H$85,0)+9),0),0)</f>
        <v>0</v>
      </c>
      <c r="I90" s="12" t="str">
        <f>IF($F90="","",Меню!$E$9)</f>
        <v/>
      </c>
      <c r="J90" s="12">
        <f t="shared" si="1"/>
        <v>0</v>
      </c>
      <c r="K90" s="12">
        <f>IFERROR($J90/100*INDEX(Продукты!$G$6:$G$66,MATCH($E90,Продукты!$A$6:$A$66,0)),0)</f>
        <v>0</v>
      </c>
      <c r="L90" s="12">
        <f>IFERROR($J90/100*INDEX(Продукты!$H$6:$H$66,MATCH($E90,Продукты!$A$6:$A$66,0)),0)</f>
        <v>0</v>
      </c>
      <c r="M90" s="12">
        <f>IFERROR($J90/100*INDEX(Продукты!$I$6:$I$66,MATCH($E90,Продукты!$A$6:$A$66,0)),0)</f>
        <v>0</v>
      </c>
      <c r="N90" s="12">
        <f>IFERROR($J90/100*INDEX(Продукты!$J$6:$J$66,MATCH($E90,Продукты!$A$6:$A$66,0)),0)</f>
        <v>0</v>
      </c>
      <c r="O90" s="3" t="str">
        <f>IFERROR(IF(IFERROR(INDEX(Рецепты!$H$6:$H$85,MATCH(Меню!$D$9,Рецепты!$H$6:$H$85,0)+9)=Меню!$D$9,FALSE),INDEX(Рецепты!$N$6:$N$85,MATCH(Меню!$D$9,Рецепты!$H$6:$H$85,0)+9),""),"")</f>
        <v/>
      </c>
    </row>
    <row r="91" spans="1:15">
      <c r="A91" s="3" t="str">
        <f>IF($E91="","",Меню!$A$9)</f>
        <v/>
      </c>
      <c r="B91" s="3" t="str">
        <f>IF($E91="","",Меню!$B$9)</f>
        <v/>
      </c>
      <c r="C91" s="3" t="str">
        <f>IF($E91="","",Меню!$C$9)</f>
        <v/>
      </c>
      <c r="D91" s="3" t="str">
        <f>IF($E91="","",Меню!$D$9)</f>
        <v/>
      </c>
      <c r="E91" s="3" t="str">
        <f>IFERROR(IF(IFERROR(INDEX(Рецепты!$H$6:$H$85,MATCH(Меню!$D$9,Рецепты!$H$6:$H$85,0)+10)=Меню!$D$9,FALSE),INDEX(Рецепты!$J$6:$J$85,MATCH(Меню!$D$9,Рецепты!$H$6:$H$85,0)+10),""),"")</f>
        <v/>
      </c>
      <c r="F91" s="3" t="str">
        <f>IF($E91="","",INDEX(Рецепты!$K$6:$K$85,MATCH(Меню!$D$9,Рецепты!$H$6:$H$85,0)+10))</f>
        <v/>
      </c>
      <c r="G91" s="3" t="str">
        <f>IF($E91="","",INDEX(Рецепты!$M$6:$M$85,MATCH(Меню!$D$9,Рецепты!$H$6:$H$85,0)+10))</f>
        <v/>
      </c>
      <c r="H91" s="12">
        <f>IFERROR(IF(IFERROR(INDEX(Рецепты!$H$6:$H$85,MATCH(Меню!$D$9,Рецепты!$H$6:$H$85,0)+10)=Меню!$D$9,FALSE),INDEX(Рецепты!$L$6:$L$85,MATCH(Меню!$D$9,Рецепты!$H$6:$H$85,0)+10),0),0)</f>
        <v>0</v>
      </c>
      <c r="I91" s="12" t="str">
        <f>IF($F91="","",Меню!$E$9)</f>
        <v/>
      </c>
      <c r="J91" s="12">
        <f t="shared" si="1"/>
        <v>0</v>
      </c>
      <c r="K91" s="12">
        <f>IFERROR($J91/100*INDEX(Продукты!$G$6:$G$66,MATCH($E91,Продукты!$A$6:$A$66,0)),0)</f>
        <v>0</v>
      </c>
      <c r="L91" s="12">
        <f>IFERROR($J91/100*INDEX(Продукты!$H$6:$H$66,MATCH($E91,Продукты!$A$6:$A$66,0)),0)</f>
        <v>0</v>
      </c>
      <c r="M91" s="12">
        <f>IFERROR($J91/100*INDEX(Продукты!$I$6:$I$66,MATCH($E91,Продукты!$A$6:$A$66,0)),0)</f>
        <v>0</v>
      </c>
      <c r="N91" s="12">
        <f>IFERROR($J91/100*INDEX(Продукты!$J$6:$J$66,MATCH($E91,Продукты!$A$6:$A$66,0)),0)</f>
        <v>0</v>
      </c>
      <c r="O91" s="3" t="str">
        <f>IFERROR(IF(IFERROR(INDEX(Рецепты!$H$6:$H$85,MATCH(Меню!$D$9,Рецепты!$H$6:$H$85,0)+10)=Меню!$D$9,FALSE),INDEX(Рецепты!$N$6:$N$85,MATCH(Меню!$D$9,Рецепты!$H$6:$H$85,0)+10),""),"")</f>
        <v/>
      </c>
    </row>
    <row r="92" spans="1:15">
      <c r="A92" s="3" t="str">
        <f>IF($E92="","",Меню!$A$9)</f>
        <v/>
      </c>
      <c r="B92" s="3" t="str">
        <f>IF($E92="","",Меню!$B$9)</f>
        <v/>
      </c>
      <c r="C92" s="3" t="str">
        <f>IF($E92="","",Меню!$C$9)</f>
        <v/>
      </c>
      <c r="D92" s="3" t="str">
        <f>IF($E92="","",Меню!$D$9)</f>
        <v/>
      </c>
      <c r="E92" s="3" t="str">
        <f>IFERROR(IF(IFERROR(INDEX(Рецепты!$H$6:$H$85,MATCH(Меню!$D$9,Рецепты!$H$6:$H$85,0)+11)=Меню!$D$9,FALSE),INDEX(Рецепты!$J$6:$J$85,MATCH(Меню!$D$9,Рецепты!$H$6:$H$85,0)+11),""),"")</f>
        <v/>
      </c>
      <c r="F92" s="3" t="str">
        <f>IF($E92="","",INDEX(Рецепты!$K$6:$K$85,MATCH(Меню!$D$9,Рецепты!$H$6:$H$85,0)+11))</f>
        <v/>
      </c>
      <c r="G92" s="3" t="str">
        <f>IF($E92="","",INDEX(Рецепты!$M$6:$M$85,MATCH(Меню!$D$9,Рецепты!$H$6:$H$85,0)+11))</f>
        <v/>
      </c>
      <c r="H92" s="12">
        <f>IFERROR(IF(IFERROR(INDEX(Рецепты!$H$6:$H$85,MATCH(Меню!$D$9,Рецепты!$H$6:$H$85,0)+11)=Меню!$D$9,FALSE),INDEX(Рецепты!$L$6:$L$85,MATCH(Меню!$D$9,Рецепты!$H$6:$H$85,0)+11),0),0)</f>
        <v>0</v>
      </c>
      <c r="I92" s="12" t="str">
        <f>IF($F92="","",Меню!$E$9)</f>
        <v/>
      </c>
      <c r="J92" s="12">
        <f t="shared" si="1"/>
        <v>0</v>
      </c>
      <c r="K92" s="12">
        <f>IFERROR($J92/100*INDEX(Продукты!$G$6:$G$66,MATCH($E92,Продукты!$A$6:$A$66,0)),0)</f>
        <v>0</v>
      </c>
      <c r="L92" s="12">
        <f>IFERROR($J92/100*INDEX(Продукты!$H$6:$H$66,MATCH($E92,Продукты!$A$6:$A$66,0)),0)</f>
        <v>0</v>
      </c>
      <c r="M92" s="12">
        <f>IFERROR($J92/100*INDEX(Продукты!$I$6:$I$66,MATCH($E92,Продукты!$A$6:$A$66,0)),0)</f>
        <v>0</v>
      </c>
      <c r="N92" s="12">
        <f>IFERROR($J92/100*INDEX(Продукты!$J$6:$J$66,MATCH($E92,Продукты!$A$6:$A$66,0)),0)</f>
        <v>0</v>
      </c>
      <c r="O92" s="3" t="str">
        <f>IFERROR(IF(IFERROR(INDEX(Рецепты!$H$6:$H$85,MATCH(Меню!$D$9,Рецепты!$H$6:$H$85,0)+11)=Меню!$D$9,FALSE),INDEX(Рецепты!$N$6:$N$85,MATCH(Меню!$D$9,Рецепты!$H$6:$H$85,0)+11),""),"")</f>
        <v/>
      </c>
    </row>
    <row r="93" spans="1:15">
      <c r="A93" s="3" t="str">
        <f>IF($E93="","",Меню!$A$9)</f>
        <v/>
      </c>
      <c r="B93" s="3" t="str">
        <f>IF($E93="","",Меню!$B$9)</f>
        <v/>
      </c>
      <c r="C93" s="3" t="str">
        <f>IF($E93="","",Меню!$C$9)</f>
        <v/>
      </c>
      <c r="D93" s="3" t="str">
        <f>IF($E93="","",Меню!$D$9)</f>
        <v/>
      </c>
      <c r="E93" s="3" t="str">
        <f>IFERROR(IF(IFERROR(INDEX(Рецепты!$H$6:$H$85,MATCH(Меню!$D$9,Рецепты!$H$6:$H$85,0)+12)=Меню!$D$9,FALSE),INDEX(Рецепты!$J$6:$J$85,MATCH(Меню!$D$9,Рецепты!$H$6:$H$85,0)+12),""),"")</f>
        <v/>
      </c>
      <c r="F93" s="3" t="str">
        <f>IF($E93="","",INDEX(Рецепты!$K$6:$K$85,MATCH(Меню!$D$9,Рецепты!$H$6:$H$85,0)+12))</f>
        <v/>
      </c>
      <c r="G93" s="3" t="str">
        <f>IF($E93="","",INDEX(Рецепты!$M$6:$M$85,MATCH(Меню!$D$9,Рецепты!$H$6:$H$85,0)+12))</f>
        <v/>
      </c>
      <c r="H93" s="12">
        <f>IFERROR(IF(IFERROR(INDEX(Рецепты!$H$6:$H$85,MATCH(Меню!$D$9,Рецепты!$H$6:$H$85,0)+12)=Меню!$D$9,FALSE),INDEX(Рецепты!$L$6:$L$85,MATCH(Меню!$D$9,Рецепты!$H$6:$H$85,0)+12),0),0)</f>
        <v>0</v>
      </c>
      <c r="I93" s="12" t="str">
        <f>IF($F93="","",Меню!$E$9)</f>
        <v/>
      </c>
      <c r="J93" s="12">
        <f t="shared" si="1"/>
        <v>0</v>
      </c>
      <c r="K93" s="12">
        <f>IFERROR($J93/100*INDEX(Продукты!$G$6:$G$66,MATCH($E93,Продукты!$A$6:$A$66,0)),0)</f>
        <v>0</v>
      </c>
      <c r="L93" s="12">
        <f>IFERROR($J93/100*INDEX(Продукты!$H$6:$H$66,MATCH($E93,Продукты!$A$6:$A$66,0)),0)</f>
        <v>0</v>
      </c>
      <c r="M93" s="12">
        <f>IFERROR($J93/100*INDEX(Продукты!$I$6:$I$66,MATCH($E93,Продукты!$A$6:$A$66,0)),0)</f>
        <v>0</v>
      </c>
      <c r="N93" s="12">
        <f>IFERROR($J93/100*INDEX(Продукты!$J$6:$J$66,MATCH($E93,Продукты!$A$6:$A$66,0)),0)</f>
        <v>0</v>
      </c>
      <c r="O93" s="3" t="str">
        <f>IFERROR(IF(IFERROR(INDEX(Рецепты!$H$6:$H$85,MATCH(Меню!$D$9,Рецепты!$H$6:$H$85,0)+12)=Меню!$D$9,FALSE),INDEX(Рецепты!$N$6:$N$85,MATCH(Меню!$D$9,Рецепты!$H$6:$H$85,0)+12),""),"")</f>
        <v/>
      </c>
    </row>
    <row r="94" spans="1:15">
      <c r="A94" s="3" t="str">
        <f>IF($E94="","",Меню!$A$9)</f>
        <v/>
      </c>
      <c r="B94" s="3" t="str">
        <f>IF($E94="","",Меню!$B$9)</f>
        <v/>
      </c>
      <c r="C94" s="3" t="str">
        <f>IF($E94="","",Меню!$C$9)</f>
        <v/>
      </c>
      <c r="D94" s="3" t="str">
        <f>IF($E94="","",Меню!$D$9)</f>
        <v/>
      </c>
      <c r="E94" s="3" t="str">
        <f>IFERROR(IF(IFERROR(INDEX(Рецепты!$H$6:$H$85,MATCH(Меню!$D$9,Рецепты!$H$6:$H$85,0)+13)=Меню!$D$9,FALSE),INDEX(Рецепты!$J$6:$J$85,MATCH(Меню!$D$9,Рецепты!$H$6:$H$85,0)+13),""),"")</f>
        <v/>
      </c>
      <c r="F94" s="3" t="str">
        <f>IF($E94="","",INDEX(Рецепты!$K$6:$K$85,MATCH(Меню!$D$9,Рецепты!$H$6:$H$85,0)+13))</f>
        <v/>
      </c>
      <c r="G94" s="3" t="str">
        <f>IF($E94="","",INDEX(Рецепты!$M$6:$M$85,MATCH(Меню!$D$9,Рецепты!$H$6:$H$85,0)+13))</f>
        <v/>
      </c>
      <c r="H94" s="12">
        <f>IFERROR(IF(IFERROR(INDEX(Рецепты!$H$6:$H$85,MATCH(Меню!$D$9,Рецепты!$H$6:$H$85,0)+13)=Меню!$D$9,FALSE),INDEX(Рецепты!$L$6:$L$85,MATCH(Меню!$D$9,Рецепты!$H$6:$H$85,0)+13),0),0)</f>
        <v>0</v>
      </c>
      <c r="I94" s="12" t="str">
        <f>IF($F94="","",Меню!$E$9)</f>
        <v/>
      </c>
      <c r="J94" s="12">
        <f t="shared" si="1"/>
        <v>0</v>
      </c>
      <c r="K94" s="12">
        <f>IFERROR($J94/100*INDEX(Продукты!$G$6:$G$66,MATCH($E94,Продукты!$A$6:$A$66,0)),0)</f>
        <v>0</v>
      </c>
      <c r="L94" s="12">
        <f>IFERROR($J94/100*INDEX(Продукты!$H$6:$H$66,MATCH($E94,Продукты!$A$6:$A$66,0)),0)</f>
        <v>0</v>
      </c>
      <c r="M94" s="12">
        <f>IFERROR($J94/100*INDEX(Продукты!$I$6:$I$66,MATCH($E94,Продукты!$A$6:$A$66,0)),0)</f>
        <v>0</v>
      </c>
      <c r="N94" s="12">
        <f>IFERROR($J94/100*INDEX(Продукты!$J$6:$J$66,MATCH($E94,Продукты!$A$6:$A$66,0)),0)</f>
        <v>0</v>
      </c>
      <c r="O94" s="3" t="str">
        <f>IFERROR(IF(IFERROR(INDEX(Рецепты!$H$6:$H$85,MATCH(Меню!$D$9,Рецепты!$H$6:$H$85,0)+13)=Меню!$D$9,FALSE),INDEX(Рецепты!$N$6:$N$85,MATCH(Меню!$D$9,Рецепты!$H$6:$H$85,0)+13),""),"")</f>
        <v/>
      </c>
    </row>
    <row r="95" spans="1:15">
      <c r="A95" s="3" t="str">
        <f>IF($E95="","",Меню!$A$9)</f>
        <v/>
      </c>
      <c r="B95" s="3" t="str">
        <f>IF($E95="","",Меню!$B$9)</f>
        <v/>
      </c>
      <c r="C95" s="3" t="str">
        <f>IF($E95="","",Меню!$C$9)</f>
        <v/>
      </c>
      <c r="D95" s="3" t="str">
        <f>IF($E95="","",Меню!$D$9)</f>
        <v/>
      </c>
      <c r="E95" s="3" t="str">
        <f>IFERROR(IF(IFERROR(INDEX(Рецепты!$H$6:$H$85,MATCH(Меню!$D$9,Рецепты!$H$6:$H$85,0)+14)=Меню!$D$9,FALSE),INDEX(Рецепты!$J$6:$J$85,MATCH(Меню!$D$9,Рецепты!$H$6:$H$85,0)+14),""),"")</f>
        <v/>
      </c>
      <c r="F95" s="3" t="str">
        <f>IF($E95="","",INDEX(Рецепты!$K$6:$K$85,MATCH(Меню!$D$9,Рецепты!$H$6:$H$85,0)+14))</f>
        <v/>
      </c>
      <c r="G95" s="3" t="str">
        <f>IF($E95="","",INDEX(Рецепты!$M$6:$M$85,MATCH(Меню!$D$9,Рецепты!$H$6:$H$85,0)+14))</f>
        <v/>
      </c>
      <c r="H95" s="12">
        <f>IFERROR(IF(IFERROR(INDEX(Рецепты!$H$6:$H$85,MATCH(Меню!$D$9,Рецепты!$H$6:$H$85,0)+14)=Меню!$D$9,FALSE),INDEX(Рецепты!$L$6:$L$85,MATCH(Меню!$D$9,Рецепты!$H$6:$H$85,0)+14),0),0)</f>
        <v>0</v>
      </c>
      <c r="I95" s="12" t="str">
        <f>IF($F95="","",Меню!$E$9)</f>
        <v/>
      </c>
      <c r="J95" s="12">
        <f t="shared" si="1"/>
        <v>0</v>
      </c>
      <c r="K95" s="12">
        <f>IFERROR($J95/100*INDEX(Продукты!$G$6:$G$66,MATCH($E95,Продукты!$A$6:$A$66,0)),0)</f>
        <v>0</v>
      </c>
      <c r="L95" s="12">
        <f>IFERROR($J95/100*INDEX(Продукты!$H$6:$H$66,MATCH($E95,Продукты!$A$6:$A$66,0)),0)</f>
        <v>0</v>
      </c>
      <c r="M95" s="12">
        <f>IFERROR($J95/100*INDEX(Продукты!$I$6:$I$66,MATCH($E95,Продукты!$A$6:$A$66,0)),0)</f>
        <v>0</v>
      </c>
      <c r="N95" s="12">
        <f>IFERROR($J95/100*INDEX(Продукты!$J$6:$J$66,MATCH($E95,Продукты!$A$6:$A$66,0)),0)</f>
        <v>0</v>
      </c>
      <c r="O95" s="3" t="str">
        <f>IFERROR(IF(IFERROR(INDEX(Рецепты!$H$6:$H$85,MATCH(Меню!$D$9,Рецепты!$H$6:$H$85,0)+14)=Меню!$D$9,FALSE),INDEX(Рецепты!$N$6:$N$85,MATCH(Меню!$D$9,Рецепты!$H$6:$H$85,0)+14),""),"")</f>
        <v/>
      </c>
    </row>
    <row r="96" spans="1:15">
      <c r="A96" s="3" t="str">
        <f>IF($E96="","",Меню!$A$9)</f>
        <v/>
      </c>
      <c r="B96" s="3" t="str">
        <f>IF($E96="","",Меню!$B$9)</f>
        <v/>
      </c>
      <c r="C96" s="3" t="str">
        <f>IF($E96="","",Меню!$C$9)</f>
        <v/>
      </c>
      <c r="D96" s="3" t="str">
        <f>IF($E96="","",Меню!$D$9)</f>
        <v/>
      </c>
      <c r="E96" s="3" t="str">
        <f>IFERROR(IF(IFERROR(INDEX(Рецепты!$H$6:$H$85,MATCH(Меню!$D$9,Рецепты!$H$6:$H$85,0)+15)=Меню!$D$9,FALSE),INDEX(Рецепты!$J$6:$J$85,MATCH(Меню!$D$9,Рецепты!$H$6:$H$85,0)+15),""),"")</f>
        <v/>
      </c>
      <c r="F96" s="3" t="str">
        <f>IF($E96="","",INDEX(Рецепты!$K$6:$K$85,MATCH(Меню!$D$9,Рецепты!$H$6:$H$85,0)+15))</f>
        <v/>
      </c>
      <c r="G96" s="3" t="str">
        <f>IF($E96="","",INDEX(Рецепты!$M$6:$M$85,MATCH(Меню!$D$9,Рецепты!$H$6:$H$85,0)+15))</f>
        <v/>
      </c>
      <c r="H96" s="12">
        <f>IFERROR(IF(IFERROR(INDEX(Рецепты!$H$6:$H$85,MATCH(Меню!$D$9,Рецепты!$H$6:$H$85,0)+15)=Меню!$D$9,FALSE),INDEX(Рецепты!$L$6:$L$85,MATCH(Меню!$D$9,Рецепты!$H$6:$H$85,0)+15),0),0)</f>
        <v>0</v>
      </c>
      <c r="I96" s="12" t="str">
        <f>IF($F96="","",Меню!$E$9)</f>
        <v/>
      </c>
      <c r="J96" s="12">
        <f t="shared" si="1"/>
        <v>0</v>
      </c>
      <c r="K96" s="12">
        <f>IFERROR($J96/100*INDEX(Продукты!$G$6:$G$66,MATCH($E96,Продукты!$A$6:$A$66,0)),0)</f>
        <v>0</v>
      </c>
      <c r="L96" s="12">
        <f>IFERROR($J96/100*INDEX(Продукты!$H$6:$H$66,MATCH($E96,Продукты!$A$6:$A$66,0)),0)</f>
        <v>0</v>
      </c>
      <c r="M96" s="12">
        <f>IFERROR($J96/100*INDEX(Продукты!$I$6:$I$66,MATCH($E96,Продукты!$A$6:$A$66,0)),0)</f>
        <v>0</v>
      </c>
      <c r="N96" s="12">
        <f>IFERROR($J96/100*INDEX(Продукты!$J$6:$J$66,MATCH($E96,Продукты!$A$6:$A$66,0)),0)</f>
        <v>0</v>
      </c>
      <c r="O96" s="3" t="str">
        <f>IFERROR(IF(IFERROR(INDEX(Рецепты!$H$6:$H$85,MATCH(Меню!$D$9,Рецепты!$H$6:$H$85,0)+15)=Меню!$D$9,FALSE),INDEX(Рецепты!$N$6:$N$85,MATCH(Меню!$D$9,Рецепты!$H$6:$H$85,0)+15),""),"")</f>
        <v/>
      </c>
    </row>
    <row r="97" spans="1:15">
      <c r="A97" s="3" t="str">
        <f>IF($E97="","",Меню!$A$9)</f>
        <v/>
      </c>
      <c r="B97" s="3" t="str">
        <f>IF($E97="","",Меню!$B$9)</f>
        <v/>
      </c>
      <c r="C97" s="3" t="str">
        <f>IF($E97="","",Меню!$C$9)</f>
        <v/>
      </c>
      <c r="D97" s="3" t="str">
        <f>IF($E97="","",Меню!$D$9)</f>
        <v/>
      </c>
      <c r="E97" s="3" t="str">
        <f>IFERROR(IF(IFERROR(INDEX(Рецепты!$H$6:$H$85,MATCH(Меню!$D$9,Рецепты!$H$6:$H$85,0)+16)=Меню!$D$9,FALSE),INDEX(Рецепты!$J$6:$J$85,MATCH(Меню!$D$9,Рецепты!$H$6:$H$85,0)+16),""),"")</f>
        <v/>
      </c>
      <c r="F97" s="3" t="str">
        <f>IF($E97="","",INDEX(Рецепты!$K$6:$K$85,MATCH(Меню!$D$9,Рецепты!$H$6:$H$85,0)+16))</f>
        <v/>
      </c>
      <c r="G97" s="3" t="str">
        <f>IF($E97="","",INDEX(Рецепты!$M$6:$M$85,MATCH(Меню!$D$9,Рецепты!$H$6:$H$85,0)+16))</f>
        <v/>
      </c>
      <c r="H97" s="12">
        <f>IFERROR(IF(IFERROR(INDEX(Рецепты!$H$6:$H$85,MATCH(Меню!$D$9,Рецепты!$H$6:$H$85,0)+16)=Меню!$D$9,FALSE),INDEX(Рецепты!$L$6:$L$85,MATCH(Меню!$D$9,Рецепты!$H$6:$H$85,0)+16),0),0)</f>
        <v>0</v>
      </c>
      <c r="I97" s="12" t="str">
        <f>IF($F97="","",Меню!$E$9)</f>
        <v/>
      </c>
      <c r="J97" s="12">
        <f t="shared" si="1"/>
        <v>0</v>
      </c>
      <c r="K97" s="12">
        <f>IFERROR($J97/100*INDEX(Продукты!$G$6:$G$66,MATCH($E97,Продукты!$A$6:$A$66,0)),0)</f>
        <v>0</v>
      </c>
      <c r="L97" s="12">
        <f>IFERROR($J97/100*INDEX(Продукты!$H$6:$H$66,MATCH($E97,Продукты!$A$6:$A$66,0)),0)</f>
        <v>0</v>
      </c>
      <c r="M97" s="12">
        <f>IFERROR($J97/100*INDEX(Продукты!$I$6:$I$66,MATCH($E97,Продукты!$A$6:$A$66,0)),0)</f>
        <v>0</v>
      </c>
      <c r="N97" s="12">
        <f>IFERROR($J97/100*INDEX(Продукты!$J$6:$J$66,MATCH($E97,Продукты!$A$6:$A$66,0)),0)</f>
        <v>0</v>
      </c>
      <c r="O97" s="3" t="str">
        <f>IFERROR(IF(IFERROR(INDEX(Рецепты!$H$6:$H$85,MATCH(Меню!$D$9,Рецепты!$H$6:$H$85,0)+16)=Меню!$D$9,FALSE),INDEX(Рецепты!$N$6:$N$85,MATCH(Меню!$D$9,Рецепты!$H$6:$H$85,0)+16),""),"")</f>
        <v/>
      </c>
    </row>
    <row r="98" spans="1:15">
      <c r="A98" s="3" t="str">
        <f>IF($E98="","",Меню!$A$9)</f>
        <v/>
      </c>
      <c r="B98" s="3" t="str">
        <f>IF($E98="","",Меню!$B$9)</f>
        <v/>
      </c>
      <c r="C98" s="3" t="str">
        <f>IF($E98="","",Меню!$C$9)</f>
        <v/>
      </c>
      <c r="D98" s="3" t="str">
        <f>IF($E98="","",Меню!$D$9)</f>
        <v/>
      </c>
      <c r="E98" s="3" t="str">
        <f>IFERROR(IF(IFERROR(INDEX(Рецепты!$H$6:$H$85,MATCH(Меню!$D$9,Рецепты!$H$6:$H$85,0)+17)=Меню!$D$9,FALSE),INDEX(Рецепты!$J$6:$J$85,MATCH(Меню!$D$9,Рецепты!$H$6:$H$85,0)+17),""),"")</f>
        <v/>
      </c>
      <c r="F98" s="3" t="str">
        <f>IF($E98="","",INDEX(Рецепты!$K$6:$K$85,MATCH(Меню!$D$9,Рецепты!$H$6:$H$85,0)+17))</f>
        <v/>
      </c>
      <c r="G98" s="3" t="str">
        <f>IF($E98="","",INDEX(Рецепты!$M$6:$M$85,MATCH(Меню!$D$9,Рецепты!$H$6:$H$85,0)+17))</f>
        <v/>
      </c>
      <c r="H98" s="12">
        <f>IFERROR(IF(IFERROR(INDEX(Рецепты!$H$6:$H$85,MATCH(Меню!$D$9,Рецепты!$H$6:$H$85,0)+17)=Меню!$D$9,FALSE),INDEX(Рецепты!$L$6:$L$85,MATCH(Меню!$D$9,Рецепты!$H$6:$H$85,0)+17),0),0)</f>
        <v>0</v>
      </c>
      <c r="I98" s="12" t="str">
        <f>IF($F98="","",Меню!$E$9)</f>
        <v/>
      </c>
      <c r="J98" s="12">
        <f t="shared" si="1"/>
        <v>0</v>
      </c>
      <c r="K98" s="12">
        <f>IFERROR($J98/100*INDEX(Продукты!$G$6:$G$66,MATCH($E98,Продукты!$A$6:$A$66,0)),0)</f>
        <v>0</v>
      </c>
      <c r="L98" s="12">
        <f>IFERROR($J98/100*INDEX(Продукты!$H$6:$H$66,MATCH($E98,Продукты!$A$6:$A$66,0)),0)</f>
        <v>0</v>
      </c>
      <c r="M98" s="12">
        <f>IFERROR($J98/100*INDEX(Продукты!$I$6:$I$66,MATCH($E98,Продукты!$A$6:$A$66,0)),0)</f>
        <v>0</v>
      </c>
      <c r="N98" s="12">
        <f>IFERROR($J98/100*INDEX(Продукты!$J$6:$J$66,MATCH($E98,Продукты!$A$6:$A$66,0)),0)</f>
        <v>0</v>
      </c>
      <c r="O98" s="3" t="str">
        <f>IFERROR(IF(IFERROR(INDEX(Рецепты!$H$6:$H$85,MATCH(Меню!$D$9,Рецепты!$H$6:$H$85,0)+17)=Меню!$D$9,FALSE),INDEX(Рецепты!$N$6:$N$85,MATCH(Меню!$D$9,Рецепты!$H$6:$H$85,0)+17),""),"")</f>
        <v/>
      </c>
    </row>
    <row r="99" spans="1:15">
      <c r="A99" s="3" t="str">
        <f>IF($E99="","",Меню!$A$9)</f>
        <v/>
      </c>
      <c r="B99" s="3" t="str">
        <f>IF($E99="","",Меню!$B$9)</f>
        <v/>
      </c>
      <c r="C99" s="3" t="str">
        <f>IF($E99="","",Меню!$C$9)</f>
        <v/>
      </c>
      <c r="D99" s="3" t="str">
        <f>IF($E99="","",Меню!$D$9)</f>
        <v/>
      </c>
      <c r="E99" s="3" t="str">
        <f>IFERROR(IF(IFERROR(INDEX(Рецепты!$H$6:$H$85,MATCH(Меню!$D$9,Рецепты!$H$6:$H$85,0)+18)=Меню!$D$9,FALSE),INDEX(Рецепты!$J$6:$J$85,MATCH(Меню!$D$9,Рецепты!$H$6:$H$85,0)+18),""),"")</f>
        <v/>
      </c>
      <c r="F99" s="3" t="str">
        <f>IF($E99="","",INDEX(Рецепты!$K$6:$K$85,MATCH(Меню!$D$9,Рецепты!$H$6:$H$85,0)+18))</f>
        <v/>
      </c>
      <c r="G99" s="3" t="str">
        <f>IF($E99="","",INDEX(Рецепты!$M$6:$M$85,MATCH(Меню!$D$9,Рецепты!$H$6:$H$85,0)+18))</f>
        <v/>
      </c>
      <c r="H99" s="12">
        <f>IFERROR(IF(IFERROR(INDEX(Рецепты!$H$6:$H$85,MATCH(Меню!$D$9,Рецепты!$H$6:$H$85,0)+18)=Меню!$D$9,FALSE),INDEX(Рецепты!$L$6:$L$85,MATCH(Меню!$D$9,Рецепты!$H$6:$H$85,0)+18),0),0)</f>
        <v>0</v>
      </c>
      <c r="I99" s="12" t="str">
        <f>IF($F99="","",Меню!$E$9)</f>
        <v/>
      </c>
      <c r="J99" s="12">
        <f t="shared" si="1"/>
        <v>0</v>
      </c>
      <c r="K99" s="12">
        <f>IFERROR($J99/100*INDEX(Продукты!$G$6:$G$66,MATCH($E99,Продукты!$A$6:$A$66,0)),0)</f>
        <v>0</v>
      </c>
      <c r="L99" s="12">
        <f>IFERROR($J99/100*INDEX(Продукты!$H$6:$H$66,MATCH($E99,Продукты!$A$6:$A$66,0)),0)</f>
        <v>0</v>
      </c>
      <c r="M99" s="12">
        <f>IFERROR($J99/100*INDEX(Продукты!$I$6:$I$66,MATCH($E99,Продукты!$A$6:$A$66,0)),0)</f>
        <v>0</v>
      </c>
      <c r="N99" s="12">
        <f>IFERROR($J99/100*INDEX(Продукты!$J$6:$J$66,MATCH($E99,Продукты!$A$6:$A$66,0)),0)</f>
        <v>0</v>
      </c>
      <c r="O99" s="3" t="str">
        <f>IFERROR(IF(IFERROR(INDEX(Рецепты!$H$6:$H$85,MATCH(Меню!$D$9,Рецепты!$H$6:$H$85,0)+18)=Меню!$D$9,FALSE),INDEX(Рецепты!$N$6:$N$85,MATCH(Меню!$D$9,Рецепты!$H$6:$H$85,0)+18),""),"")</f>
        <v/>
      </c>
    </row>
    <row r="100" spans="1:15">
      <c r="A100" s="3" t="str">
        <f>IF($E100="","",Меню!$A$9)</f>
        <v/>
      </c>
      <c r="B100" s="3" t="str">
        <f>IF($E100="","",Меню!$B$9)</f>
        <v/>
      </c>
      <c r="C100" s="3" t="str">
        <f>IF($E100="","",Меню!$C$9)</f>
        <v/>
      </c>
      <c r="D100" s="3" t="str">
        <f>IF($E100="","",Меню!$D$9)</f>
        <v/>
      </c>
      <c r="E100" s="3" t="str">
        <f>IFERROR(IF(IFERROR(INDEX(Рецепты!$H$6:$H$85,MATCH(Меню!$D$9,Рецепты!$H$6:$H$85,0)+19)=Меню!$D$9,FALSE),INDEX(Рецепты!$J$6:$J$85,MATCH(Меню!$D$9,Рецепты!$H$6:$H$85,0)+19),""),"")</f>
        <v/>
      </c>
      <c r="F100" s="3" t="str">
        <f>IF($E100="","",INDEX(Рецепты!$K$6:$K$85,MATCH(Меню!$D$9,Рецепты!$H$6:$H$85,0)+19))</f>
        <v/>
      </c>
      <c r="G100" s="3" t="str">
        <f>IF($E100="","",INDEX(Рецепты!$M$6:$M$85,MATCH(Меню!$D$9,Рецепты!$H$6:$H$85,0)+19))</f>
        <v/>
      </c>
      <c r="H100" s="12">
        <f>IFERROR(IF(IFERROR(INDEX(Рецепты!$H$6:$H$85,MATCH(Меню!$D$9,Рецепты!$H$6:$H$85,0)+19)=Меню!$D$9,FALSE),INDEX(Рецепты!$L$6:$L$85,MATCH(Меню!$D$9,Рецепты!$H$6:$H$85,0)+19),0),0)</f>
        <v>0</v>
      </c>
      <c r="I100" s="12" t="str">
        <f>IF($F100="","",Меню!$E$9)</f>
        <v/>
      </c>
      <c r="J100" s="12">
        <f t="shared" si="1"/>
        <v>0</v>
      </c>
      <c r="K100" s="12">
        <f>IFERROR($J100/100*INDEX(Продукты!$G$6:$G$66,MATCH($E100,Продукты!$A$6:$A$66,0)),0)</f>
        <v>0</v>
      </c>
      <c r="L100" s="12">
        <f>IFERROR($J100/100*INDEX(Продукты!$H$6:$H$66,MATCH($E100,Продукты!$A$6:$A$66,0)),0)</f>
        <v>0</v>
      </c>
      <c r="M100" s="12">
        <f>IFERROR($J100/100*INDEX(Продукты!$I$6:$I$66,MATCH($E100,Продукты!$A$6:$A$66,0)),0)</f>
        <v>0</v>
      </c>
      <c r="N100" s="12">
        <f>IFERROR($J100/100*INDEX(Продукты!$J$6:$J$66,MATCH($E100,Продукты!$A$6:$A$66,0)),0)</f>
        <v>0</v>
      </c>
      <c r="O100" s="3" t="str">
        <f>IFERROR(IF(IFERROR(INDEX(Рецепты!$H$6:$H$85,MATCH(Меню!$D$9,Рецепты!$H$6:$H$85,0)+19)=Меню!$D$9,FALSE),INDEX(Рецепты!$N$6:$N$85,MATCH(Меню!$D$9,Рецепты!$H$6:$H$85,0)+19),""),"")</f>
        <v/>
      </c>
    </row>
    <row r="101" spans="1:15">
      <c r="A101" s="3" t="str">
        <f>IF($E101="","",Меню!$A$9)</f>
        <v/>
      </c>
      <c r="B101" s="3" t="str">
        <f>IF($E101="","",Меню!$B$9)</f>
        <v/>
      </c>
      <c r="C101" s="3" t="str">
        <f>IF($E101="","",Меню!$C$9)</f>
        <v/>
      </c>
      <c r="D101" s="3" t="str">
        <f>IF($E101="","",Меню!$D$9)</f>
        <v/>
      </c>
      <c r="E101" s="3" t="str">
        <f>IFERROR(IF(IFERROR(INDEX(Рецепты!$H$6:$H$85,MATCH(Меню!$D$9,Рецепты!$H$6:$H$85,0)+20)=Меню!$D$9,FALSE),INDEX(Рецепты!$J$6:$J$85,MATCH(Меню!$D$9,Рецепты!$H$6:$H$85,0)+20),""),"")</f>
        <v/>
      </c>
      <c r="F101" s="3" t="str">
        <f>IF($E101="","",INDEX(Рецепты!$K$6:$K$85,MATCH(Меню!$D$9,Рецепты!$H$6:$H$85,0)+20))</f>
        <v/>
      </c>
      <c r="G101" s="3" t="str">
        <f>IF($E101="","",INDEX(Рецепты!$M$6:$M$85,MATCH(Меню!$D$9,Рецепты!$H$6:$H$85,0)+20))</f>
        <v/>
      </c>
      <c r="H101" s="12">
        <f>IFERROR(IF(IFERROR(INDEX(Рецепты!$H$6:$H$85,MATCH(Меню!$D$9,Рецепты!$H$6:$H$85,0)+20)=Меню!$D$9,FALSE),INDEX(Рецепты!$L$6:$L$85,MATCH(Меню!$D$9,Рецепты!$H$6:$H$85,0)+20),0),0)</f>
        <v>0</v>
      </c>
      <c r="I101" s="12" t="str">
        <f>IF($F101="","",Меню!$E$9)</f>
        <v/>
      </c>
      <c r="J101" s="12">
        <f t="shared" si="1"/>
        <v>0</v>
      </c>
      <c r="K101" s="12">
        <f>IFERROR($J101/100*INDEX(Продукты!$G$6:$G$66,MATCH($E101,Продукты!$A$6:$A$66,0)),0)</f>
        <v>0</v>
      </c>
      <c r="L101" s="12">
        <f>IFERROR($J101/100*INDEX(Продукты!$H$6:$H$66,MATCH($E101,Продукты!$A$6:$A$66,0)),0)</f>
        <v>0</v>
      </c>
      <c r="M101" s="12">
        <f>IFERROR($J101/100*INDEX(Продукты!$I$6:$I$66,MATCH($E101,Продукты!$A$6:$A$66,0)),0)</f>
        <v>0</v>
      </c>
      <c r="N101" s="12">
        <f>IFERROR($J101/100*INDEX(Продукты!$J$6:$J$66,MATCH($E101,Продукты!$A$6:$A$66,0)),0)</f>
        <v>0</v>
      </c>
      <c r="O101" s="3" t="str">
        <f>IFERROR(IF(IFERROR(INDEX(Рецепты!$H$6:$H$85,MATCH(Меню!$D$9,Рецепты!$H$6:$H$85,0)+20)=Меню!$D$9,FALSE),INDEX(Рецепты!$N$6:$N$85,MATCH(Меню!$D$9,Рецепты!$H$6:$H$85,0)+20),""),"")</f>
        <v/>
      </c>
    </row>
    <row r="102" spans="1:15">
      <c r="A102" s="3" t="str">
        <f>IF($E102="","",Меню!$A$9)</f>
        <v/>
      </c>
      <c r="B102" s="3" t="str">
        <f>IF($E102="","",Меню!$B$9)</f>
        <v/>
      </c>
      <c r="C102" s="3" t="str">
        <f>IF($E102="","",Меню!$C$9)</f>
        <v/>
      </c>
      <c r="D102" s="3" t="str">
        <f>IF($E102="","",Меню!$D$9)</f>
        <v/>
      </c>
      <c r="E102" s="3" t="str">
        <f>IFERROR(IF(IFERROR(INDEX(Рецепты!$H$6:$H$85,MATCH(Меню!$D$9,Рецепты!$H$6:$H$85,0)+21)=Меню!$D$9,FALSE),INDEX(Рецепты!$J$6:$J$85,MATCH(Меню!$D$9,Рецепты!$H$6:$H$85,0)+21),""),"")</f>
        <v/>
      </c>
      <c r="F102" s="3" t="str">
        <f>IF($E102="","",INDEX(Рецепты!$K$6:$K$85,MATCH(Меню!$D$9,Рецепты!$H$6:$H$85,0)+21))</f>
        <v/>
      </c>
      <c r="G102" s="3" t="str">
        <f>IF($E102="","",INDEX(Рецепты!$M$6:$M$85,MATCH(Меню!$D$9,Рецепты!$H$6:$H$85,0)+21))</f>
        <v/>
      </c>
      <c r="H102" s="12">
        <f>IFERROR(IF(IFERROR(INDEX(Рецепты!$H$6:$H$85,MATCH(Меню!$D$9,Рецепты!$H$6:$H$85,0)+21)=Меню!$D$9,FALSE),INDEX(Рецепты!$L$6:$L$85,MATCH(Меню!$D$9,Рецепты!$H$6:$H$85,0)+21),0),0)</f>
        <v>0</v>
      </c>
      <c r="I102" s="12" t="str">
        <f>IF($F102="","",Меню!$E$9)</f>
        <v/>
      </c>
      <c r="J102" s="12">
        <f t="shared" si="1"/>
        <v>0</v>
      </c>
      <c r="K102" s="12">
        <f>IFERROR($J102/100*INDEX(Продукты!$G$6:$G$66,MATCH($E102,Продукты!$A$6:$A$66,0)),0)</f>
        <v>0</v>
      </c>
      <c r="L102" s="12">
        <f>IFERROR($J102/100*INDEX(Продукты!$H$6:$H$66,MATCH($E102,Продукты!$A$6:$A$66,0)),0)</f>
        <v>0</v>
      </c>
      <c r="M102" s="12">
        <f>IFERROR($J102/100*INDEX(Продукты!$I$6:$I$66,MATCH($E102,Продукты!$A$6:$A$66,0)),0)</f>
        <v>0</v>
      </c>
      <c r="N102" s="12">
        <f>IFERROR($J102/100*INDEX(Продукты!$J$6:$J$66,MATCH($E102,Продукты!$A$6:$A$66,0)),0)</f>
        <v>0</v>
      </c>
      <c r="O102" s="3" t="str">
        <f>IFERROR(IF(IFERROR(INDEX(Рецепты!$H$6:$H$85,MATCH(Меню!$D$9,Рецепты!$H$6:$H$85,0)+21)=Меню!$D$9,FALSE),INDEX(Рецепты!$N$6:$N$85,MATCH(Меню!$D$9,Рецепты!$H$6:$H$85,0)+21),""),"")</f>
        <v/>
      </c>
    </row>
    <row r="103" spans="1:15">
      <c r="A103" s="3" t="str">
        <f>IF($E103="","",Меню!$A$9)</f>
        <v/>
      </c>
      <c r="B103" s="3" t="str">
        <f>IF($E103="","",Меню!$B$9)</f>
        <v/>
      </c>
      <c r="C103" s="3" t="str">
        <f>IF($E103="","",Меню!$C$9)</f>
        <v/>
      </c>
      <c r="D103" s="3" t="str">
        <f>IF($E103="","",Меню!$D$9)</f>
        <v/>
      </c>
      <c r="E103" s="3" t="str">
        <f>IFERROR(IF(IFERROR(INDEX(Рецепты!$H$6:$H$85,MATCH(Меню!$D$9,Рецепты!$H$6:$H$85,0)+22)=Меню!$D$9,FALSE),INDEX(Рецепты!$J$6:$J$85,MATCH(Меню!$D$9,Рецепты!$H$6:$H$85,0)+22),""),"")</f>
        <v/>
      </c>
      <c r="F103" s="3" t="str">
        <f>IF($E103="","",INDEX(Рецепты!$K$6:$K$85,MATCH(Меню!$D$9,Рецепты!$H$6:$H$85,0)+22))</f>
        <v/>
      </c>
      <c r="G103" s="3" t="str">
        <f>IF($E103="","",INDEX(Рецепты!$M$6:$M$85,MATCH(Меню!$D$9,Рецепты!$H$6:$H$85,0)+22))</f>
        <v/>
      </c>
      <c r="H103" s="12">
        <f>IFERROR(IF(IFERROR(INDEX(Рецепты!$H$6:$H$85,MATCH(Меню!$D$9,Рецепты!$H$6:$H$85,0)+22)=Меню!$D$9,FALSE),INDEX(Рецепты!$L$6:$L$85,MATCH(Меню!$D$9,Рецепты!$H$6:$H$85,0)+22),0),0)</f>
        <v>0</v>
      </c>
      <c r="I103" s="12" t="str">
        <f>IF($F103="","",Меню!$E$9)</f>
        <v/>
      </c>
      <c r="J103" s="12">
        <f t="shared" si="1"/>
        <v>0</v>
      </c>
      <c r="K103" s="12">
        <f>IFERROR($J103/100*INDEX(Продукты!$G$6:$G$66,MATCH($E103,Продукты!$A$6:$A$66,0)),0)</f>
        <v>0</v>
      </c>
      <c r="L103" s="12">
        <f>IFERROR($J103/100*INDEX(Продукты!$H$6:$H$66,MATCH($E103,Продукты!$A$6:$A$66,0)),0)</f>
        <v>0</v>
      </c>
      <c r="M103" s="12">
        <f>IFERROR($J103/100*INDEX(Продукты!$I$6:$I$66,MATCH($E103,Продукты!$A$6:$A$66,0)),0)</f>
        <v>0</v>
      </c>
      <c r="N103" s="12">
        <f>IFERROR($J103/100*INDEX(Продукты!$J$6:$J$66,MATCH($E103,Продукты!$A$6:$A$66,0)),0)</f>
        <v>0</v>
      </c>
      <c r="O103" s="3" t="str">
        <f>IFERROR(IF(IFERROR(INDEX(Рецепты!$H$6:$H$85,MATCH(Меню!$D$9,Рецепты!$H$6:$H$85,0)+22)=Меню!$D$9,FALSE),INDEX(Рецепты!$N$6:$N$85,MATCH(Меню!$D$9,Рецепты!$H$6:$H$85,0)+22),""),"")</f>
        <v/>
      </c>
    </row>
    <row r="104" spans="1:15">
      <c r="A104" s="3" t="str">
        <f>IF($E104="","",Меню!$A$9)</f>
        <v/>
      </c>
      <c r="B104" s="3" t="str">
        <f>IF($E104="","",Меню!$B$9)</f>
        <v/>
      </c>
      <c r="C104" s="3" t="str">
        <f>IF($E104="","",Меню!$C$9)</f>
        <v/>
      </c>
      <c r="D104" s="3" t="str">
        <f>IF($E104="","",Меню!$D$9)</f>
        <v/>
      </c>
      <c r="E104" s="3" t="str">
        <f>IFERROR(IF(IFERROR(INDEX(Рецепты!$H$6:$H$85,MATCH(Меню!$D$9,Рецепты!$H$6:$H$85,0)+23)=Меню!$D$9,FALSE),INDEX(Рецепты!$J$6:$J$85,MATCH(Меню!$D$9,Рецепты!$H$6:$H$85,0)+23),""),"")</f>
        <v/>
      </c>
      <c r="F104" s="3" t="str">
        <f>IF($E104="","",INDEX(Рецепты!$K$6:$K$85,MATCH(Меню!$D$9,Рецепты!$H$6:$H$85,0)+23))</f>
        <v/>
      </c>
      <c r="G104" s="3" t="str">
        <f>IF($E104="","",INDEX(Рецепты!$M$6:$M$85,MATCH(Меню!$D$9,Рецепты!$H$6:$H$85,0)+23))</f>
        <v/>
      </c>
      <c r="H104" s="12">
        <f>IFERROR(IF(IFERROR(INDEX(Рецепты!$H$6:$H$85,MATCH(Меню!$D$9,Рецепты!$H$6:$H$85,0)+23)=Меню!$D$9,FALSE),INDEX(Рецепты!$L$6:$L$85,MATCH(Меню!$D$9,Рецепты!$H$6:$H$85,0)+23),0),0)</f>
        <v>0</v>
      </c>
      <c r="I104" s="12" t="str">
        <f>IF($F104="","",Меню!$E$9)</f>
        <v/>
      </c>
      <c r="J104" s="12">
        <f t="shared" si="1"/>
        <v>0</v>
      </c>
      <c r="K104" s="12">
        <f>IFERROR($J104/100*INDEX(Продукты!$G$6:$G$66,MATCH($E104,Продукты!$A$6:$A$66,0)),0)</f>
        <v>0</v>
      </c>
      <c r="L104" s="12">
        <f>IFERROR($J104/100*INDEX(Продукты!$H$6:$H$66,MATCH($E104,Продукты!$A$6:$A$66,0)),0)</f>
        <v>0</v>
      </c>
      <c r="M104" s="12">
        <f>IFERROR($J104/100*INDEX(Продукты!$I$6:$I$66,MATCH($E104,Продукты!$A$6:$A$66,0)),0)</f>
        <v>0</v>
      </c>
      <c r="N104" s="12">
        <f>IFERROR($J104/100*INDEX(Продукты!$J$6:$J$66,MATCH($E104,Продукты!$A$6:$A$66,0)),0)</f>
        <v>0</v>
      </c>
      <c r="O104" s="3" t="str">
        <f>IFERROR(IF(IFERROR(INDEX(Рецепты!$H$6:$H$85,MATCH(Меню!$D$9,Рецепты!$H$6:$H$85,0)+23)=Меню!$D$9,FALSE),INDEX(Рецепты!$N$6:$N$85,MATCH(Меню!$D$9,Рецепты!$H$6:$H$85,0)+23),""),"")</f>
        <v/>
      </c>
    </row>
    <row r="105" spans="1:15">
      <c r="A105" s="3" t="str">
        <f>IF($E105="","",Меню!$A$9)</f>
        <v/>
      </c>
      <c r="B105" s="3" t="str">
        <f>IF($E105="","",Меню!$B$9)</f>
        <v/>
      </c>
      <c r="C105" s="3" t="str">
        <f>IF($E105="","",Меню!$C$9)</f>
        <v/>
      </c>
      <c r="D105" s="3" t="str">
        <f>IF($E105="","",Меню!$D$9)</f>
        <v/>
      </c>
      <c r="E105" s="3" t="str">
        <f>IFERROR(IF(IFERROR(INDEX(Рецепты!$H$6:$H$85,MATCH(Меню!$D$9,Рецепты!$H$6:$H$85,0)+24)=Меню!$D$9,FALSE),INDEX(Рецепты!$J$6:$J$85,MATCH(Меню!$D$9,Рецепты!$H$6:$H$85,0)+24),""),"")</f>
        <v/>
      </c>
      <c r="F105" s="3" t="str">
        <f>IF($E105="","",INDEX(Рецепты!$K$6:$K$85,MATCH(Меню!$D$9,Рецепты!$H$6:$H$85,0)+24))</f>
        <v/>
      </c>
      <c r="G105" s="3" t="str">
        <f>IF($E105="","",INDEX(Рецепты!$M$6:$M$85,MATCH(Меню!$D$9,Рецепты!$H$6:$H$85,0)+24))</f>
        <v/>
      </c>
      <c r="H105" s="12">
        <f>IFERROR(IF(IFERROR(INDEX(Рецепты!$H$6:$H$85,MATCH(Меню!$D$9,Рецепты!$H$6:$H$85,0)+24)=Меню!$D$9,FALSE),INDEX(Рецепты!$L$6:$L$85,MATCH(Меню!$D$9,Рецепты!$H$6:$H$85,0)+24),0),0)</f>
        <v>0</v>
      </c>
      <c r="I105" s="12" t="str">
        <f>IF($F105="","",Меню!$E$9)</f>
        <v/>
      </c>
      <c r="J105" s="12">
        <f t="shared" si="1"/>
        <v>0</v>
      </c>
      <c r="K105" s="12">
        <f>IFERROR($J105/100*INDEX(Продукты!$G$6:$G$66,MATCH($E105,Продукты!$A$6:$A$66,0)),0)</f>
        <v>0</v>
      </c>
      <c r="L105" s="12">
        <f>IFERROR($J105/100*INDEX(Продукты!$H$6:$H$66,MATCH($E105,Продукты!$A$6:$A$66,0)),0)</f>
        <v>0</v>
      </c>
      <c r="M105" s="12">
        <f>IFERROR($J105/100*INDEX(Продукты!$I$6:$I$66,MATCH($E105,Продукты!$A$6:$A$66,0)),0)</f>
        <v>0</v>
      </c>
      <c r="N105" s="12">
        <f>IFERROR($J105/100*INDEX(Продукты!$J$6:$J$66,MATCH($E105,Продукты!$A$6:$A$66,0)),0)</f>
        <v>0</v>
      </c>
      <c r="O105" s="3" t="str">
        <f>IFERROR(IF(IFERROR(INDEX(Рецепты!$H$6:$H$85,MATCH(Меню!$D$9,Рецепты!$H$6:$H$85,0)+24)=Меню!$D$9,FALSE),INDEX(Рецепты!$N$6:$N$85,MATCH(Меню!$D$9,Рецепты!$H$6:$H$85,0)+24),""),"")</f>
        <v/>
      </c>
    </row>
    <row r="106" spans="1:15">
      <c r="A106" s="3" t="str">
        <f>IF($E106="","",Меню!$A$10)</f>
        <v/>
      </c>
      <c r="B106" s="3" t="str">
        <f>IF($E106="","",Меню!$B$10)</f>
        <v/>
      </c>
      <c r="C106" s="3" t="str">
        <f>IF($E106="","",Меню!$C$10)</f>
        <v/>
      </c>
      <c r="D106" s="3" t="str">
        <f>IF($E106="","",Меню!$D$10)</f>
        <v/>
      </c>
      <c r="E106" s="3" t="str">
        <f>IFERROR(IF(IFERROR(INDEX(Рецепты!$H$6:$H$85,MATCH(Меню!$D$10,Рецепты!$H$6:$H$85,0)+0)=Меню!$D$10,FALSE),INDEX(Рецепты!$J$6:$J$85,MATCH(Меню!$D$10,Рецепты!$H$6:$H$85,0)+0),""),"")</f>
        <v/>
      </c>
      <c r="F106" s="3" t="str">
        <f>IF($E106="","",INDEX(Рецепты!$K$6:$K$85,MATCH(Меню!$D$10,Рецепты!$H$6:$H$85,0)+0))</f>
        <v/>
      </c>
      <c r="G106" s="3" t="str">
        <f>IF($E106="","",INDEX(Рецепты!$M$6:$M$85,MATCH(Меню!$D$10,Рецепты!$H$6:$H$85,0)+0))</f>
        <v/>
      </c>
      <c r="H106" s="12">
        <f>IFERROR(IF(IFERROR(INDEX(Рецепты!$H$6:$H$85,MATCH(Меню!$D$10,Рецепты!$H$6:$H$85,0)+0)=Меню!$D$10,FALSE),INDEX(Рецепты!$L$6:$L$85,MATCH(Меню!$D$10,Рецепты!$H$6:$H$85,0)+0),0),0)</f>
        <v>0</v>
      </c>
      <c r="I106" s="12" t="str">
        <f>IF($F106="","",Меню!$E$10)</f>
        <v/>
      </c>
      <c r="J106" s="12">
        <f t="shared" si="1"/>
        <v>0</v>
      </c>
      <c r="K106" s="12">
        <f>IFERROR($J106/100*INDEX(Продукты!$G$6:$G$66,MATCH($E106,Продукты!$A$6:$A$66,0)),0)</f>
        <v>0</v>
      </c>
      <c r="L106" s="12">
        <f>IFERROR($J106/100*INDEX(Продукты!$H$6:$H$66,MATCH($E106,Продукты!$A$6:$A$66,0)),0)</f>
        <v>0</v>
      </c>
      <c r="M106" s="12">
        <f>IFERROR($J106/100*INDEX(Продукты!$I$6:$I$66,MATCH($E106,Продукты!$A$6:$A$66,0)),0)</f>
        <v>0</v>
      </c>
      <c r="N106" s="12">
        <f>IFERROR($J106/100*INDEX(Продукты!$J$6:$J$66,MATCH($E106,Продукты!$A$6:$A$66,0)),0)</f>
        <v>0</v>
      </c>
      <c r="O106" s="3" t="str">
        <f>IFERROR(IF(IFERROR(INDEX(Рецепты!$H$6:$H$85,MATCH(Меню!$D$10,Рецепты!$H$6:$H$85,0)+0)=Меню!$D$10,FALSE),INDEX(Рецепты!$N$6:$N$85,MATCH(Меню!$D$10,Рецепты!$H$6:$H$85,0)+0),""),"")</f>
        <v/>
      </c>
    </row>
    <row r="107" spans="1:15">
      <c r="A107" s="3" t="str">
        <f>IF($E107="","",Меню!$A$10)</f>
        <v/>
      </c>
      <c r="B107" s="3" t="str">
        <f>IF($E107="","",Меню!$B$10)</f>
        <v/>
      </c>
      <c r="C107" s="3" t="str">
        <f>IF($E107="","",Меню!$C$10)</f>
        <v/>
      </c>
      <c r="D107" s="3" t="str">
        <f>IF($E107="","",Меню!$D$10)</f>
        <v/>
      </c>
      <c r="E107" s="3" t="str">
        <f>IFERROR(IF(IFERROR(INDEX(Рецепты!$H$6:$H$85,MATCH(Меню!$D$10,Рецепты!$H$6:$H$85,0)+1)=Меню!$D$10,FALSE),INDEX(Рецепты!$J$6:$J$85,MATCH(Меню!$D$10,Рецепты!$H$6:$H$85,0)+1),""),"")</f>
        <v/>
      </c>
      <c r="F107" s="3" t="str">
        <f>IF($E107="","",INDEX(Рецепты!$K$6:$K$85,MATCH(Меню!$D$10,Рецепты!$H$6:$H$85,0)+1))</f>
        <v/>
      </c>
      <c r="G107" s="3" t="str">
        <f>IF($E107="","",INDEX(Рецепты!$M$6:$M$85,MATCH(Меню!$D$10,Рецепты!$H$6:$H$85,0)+1))</f>
        <v/>
      </c>
      <c r="H107" s="12">
        <f>IFERROR(IF(IFERROR(INDEX(Рецепты!$H$6:$H$85,MATCH(Меню!$D$10,Рецепты!$H$6:$H$85,0)+1)=Меню!$D$10,FALSE),INDEX(Рецепты!$L$6:$L$85,MATCH(Меню!$D$10,Рецепты!$H$6:$H$85,0)+1),0),0)</f>
        <v>0</v>
      </c>
      <c r="I107" s="12" t="str">
        <f>IF($F107="","",Меню!$E$10)</f>
        <v/>
      </c>
      <c r="J107" s="12">
        <f t="shared" si="1"/>
        <v>0</v>
      </c>
      <c r="K107" s="12">
        <f>IFERROR($J107/100*INDEX(Продукты!$G$6:$G$66,MATCH($E107,Продукты!$A$6:$A$66,0)),0)</f>
        <v>0</v>
      </c>
      <c r="L107" s="12">
        <f>IFERROR($J107/100*INDEX(Продукты!$H$6:$H$66,MATCH($E107,Продукты!$A$6:$A$66,0)),0)</f>
        <v>0</v>
      </c>
      <c r="M107" s="12">
        <f>IFERROR($J107/100*INDEX(Продукты!$I$6:$I$66,MATCH($E107,Продукты!$A$6:$A$66,0)),0)</f>
        <v>0</v>
      </c>
      <c r="N107" s="12">
        <f>IFERROR($J107/100*INDEX(Продукты!$J$6:$J$66,MATCH($E107,Продукты!$A$6:$A$66,0)),0)</f>
        <v>0</v>
      </c>
      <c r="O107" s="3" t="str">
        <f>IFERROR(IF(IFERROR(INDEX(Рецепты!$H$6:$H$85,MATCH(Меню!$D$10,Рецепты!$H$6:$H$85,0)+1)=Меню!$D$10,FALSE),INDEX(Рецепты!$N$6:$N$85,MATCH(Меню!$D$10,Рецепты!$H$6:$H$85,0)+1),""),"")</f>
        <v/>
      </c>
    </row>
    <row r="108" spans="1:15">
      <c r="A108" s="3" t="str">
        <f>IF($E108="","",Меню!$A$10)</f>
        <v/>
      </c>
      <c r="B108" s="3" t="str">
        <f>IF($E108="","",Меню!$B$10)</f>
        <v/>
      </c>
      <c r="C108" s="3" t="str">
        <f>IF($E108="","",Меню!$C$10)</f>
        <v/>
      </c>
      <c r="D108" s="3" t="str">
        <f>IF($E108="","",Меню!$D$10)</f>
        <v/>
      </c>
      <c r="E108" s="3" t="str">
        <f>IFERROR(IF(IFERROR(INDEX(Рецепты!$H$6:$H$85,MATCH(Меню!$D$10,Рецепты!$H$6:$H$85,0)+2)=Меню!$D$10,FALSE),INDEX(Рецепты!$J$6:$J$85,MATCH(Меню!$D$10,Рецепты!$H$6:$H$85,0)+2),""),"")</f>
        <v/>
      </c>
      <c r="F108" s="3" t="str">
        <f>IF($E108="","",INDEX(Рецепты!$K$6:$K$85,MATCH(Меню!$D$10,Рецепты!$H$6:$H$85,0)+2))</f>
        <v/>
      </c>
      <c r="G108" s="3" t="str">
        <f>IF($E108="","",INDEX(Рецепты!$M$6:$M$85,MATCH(Меню!$D$10,Рецепты!$H$6:$H$85,0)+2))</f>
        <v/>
      </c>
      <c r="H108" s="12">
        <f>IFERROR(IF(IFERROR(INDEX(Рецепты!$H$6:$H$85,MATCH(Меню!$D$10,Рецепты!$H$6:$H$85,0)+2)=Меню!$D$10,FALSE),INDEX(Рецепты!$L$6:$L$85,MATCH(Меню!$D$10,Рецепты!$H$6:$H$85,0)+2),0),0)</f>
        <v>0</v>
      </c>
      <c r="I108" s="12" t="str">
        <f>IF($F108="","",Меню!$E$10)</f>
        <v/>
      </c>
      <c r="J108" s="12">
        <f t="shared" si="1"/>
        <v>0</v>
      </c>
      <c r="K108" s="12">
        <f>IFERROR($J108/100*INDEX(Продукты!$G$6:$G$66,MATCH($E108,Продукты!$A$6:$A$66,0)),0)</f>
        <v>0</v>
      </c>
      <c r="L108" s="12">
        <f>IFERROR($J108/100*INDEX(Продукты!$H$6:$H$66,MATCH($E108,Продукты!$A$6:$A$66,0)),0)</f>
        <v>0</v>
      </c>
      <c r="M108" s="12">
        <f>IFERROR($J108/100*INDEX(Продукты!$I$6:$I$66,MATCH($E108,Продукты!$A$6:$A$66,0)),0)</f>
        <v>0</v>
      </c>
      <c r="N108" s="12">
        <f>IFERROR($J108/100*INDEX(Продукты!$J$6:$J$66,MATCH($E108,Продукты!$A$6:$A$66,0)),0)</f>
        <v>0</v>
      </c>
      <c r="O108" s="3" t="str">
        <f>IFERROR(IF(IFERROR(INDEX(Рецепты!$H$6:$H$85,MATCH(Меню!$D$10,Рецепты!$H$6:$H$85,0)+2)=Меню!$D$10,FALSE),INDEX(Рецепты!$N$6:$N$85,MATCH(Меню!$D$10,Рецепты!$H$6:$H$85,0)+2),""),"")</f>
        <v/>
      </c>
    </row>
    <row r="109" spans="1:15">
      <c r="A109" s="3" t="str">
        <f>IF($E109="","",Меню!$A$10)</f>
        <v/>
      </c>
      <c r="B109" s="3" t="str">
        <f>IF($E109="","",Меню!$B$10)</f>
        <v/>
      </c>
      <c r="C109" s="3" t="str">
        <f>IF($E109="","",Меню!$C$10)</f>
        <v/>
      </c>
      <c r="D109" s="3" t="str">
        <f>IF($E109="","",Меню!$D$10)</f>
        <v/>
      </c>
      <c r="E109" s="3" t="str">
        <f>IFERROR(IF(IFERROR(INDEX(Рецепты!$H$6:$H$85,MATCH(Меню!$D$10,Рецепты!$H$6:$H$85,0)+3)=Меню!$D$10,FALSE),INDEX(Рецепты!$J$6:$J$85,MATCH(Меню!$D$10,Рецепты!$H$6:$H$85,0)+3),""),"")</f>
        <v/>
      </c>
      <c r="F109" s="3" t="str">
        <f>IF($E109="","",INDEX(Рецепты!$K$6:$K$85,MATCH(Меню!$D$10,Рецепты!$H$6:$H$85,0)+3))</f>
        <v/>
      </c>
      <c r="G109" s="3" t="str">
        <f>IF($E109="","",INDEX(Рецепты!$M$6:$M$85,MATCH(Меню!$D$10,Рецепты!$H$6:$H$85,0)+3))</f>
        <v/>
      </c>
      <c r="H109" s="12">
        <f>IFERROR(IF(IFERROR(INDEX(Рецепты!$H$6:$H$85,MATCH(Меню!$D$10,Рецепты!$H$6:$H$85,0)+3)=Меню!$D$10,FALSE),INDEX(Рецепты!$L$6:$L$85,MATCH(Меню!$D$10,Рецепты!$H$6:$H$85,0)+3),0),0)</f>
        <v>0</v>
      </c>
      <c r="I109" s="12" t="str">
        <f>IF($F109="","",Меню!$E$10)</f>
        <v/>
      </c>
      <c r="J109" s="12">
        <f t="shared" si="1"/>
        <v>0</v>
      </c>
      <c r="K109" s="12">
        <f>IFERROR($J109/100*INDEX(Продукты!$G$6:$G$66,MATCH($E109,Продукты!$A$6:$A$66,0)),0)</f>
        <v>0</v>
      </c>
      <c r="L109" s="12">
        <f>IFERROR($J109/100*INDEX(Продукты!$H$6:$H$66,MATCH($E109,Продукты!$A$6:$A$66,0)),0)</f>
        <v>0</v>
      </c>
      <c r="M109" s="12">
        <f>IFERROR($J109/100*INDEX(Продукты!$I$6:$I$66,MATCH($E109,Продукты!$A$6:$A$66,0)),0)</f>
        <v>0</v>
      </c>
      <c r="N109" s="12">
        <f>IFERROR($J109/100*INDEX(Продукты!$J$6:$J$66,MATCH($E109,Продукты!$A$6:$A$66,0)),0)</f>
        <v>0</v>
      </c>
      <c r="O109" s="3" t="str">
        <f>IFERROR(IF(IFERROR(INDEX(Рецепты!$H$6:$H$85,MATCH(Меню!$D$10,Рецепты!$H$6:$H$85,0)+3)=Меню!$D$10,FALSE),INDEX(Рецепты!$N$6:$N$85,MATCH(Меню!$D$10,Рецепты!$H$6:$H$85,0)+3),""),"")</f>
        <v/>
      </c>
    </row>
    <row r="110" spans="1:15">
      <c r="A110" s="3" t="str">
        <f>IF($E110="","",Меню!$A$10)</f>
        <v/>
      </c>
      <c r="B110" s="3" t="str">
        <f>IF($E110="","",Меню!$B$10)</f>
        <v/>
      </c>
      <c r="C110" s="3" t="str">
        <f>IF($E110="","",Меню!$C$10)</f>
        <v/>
      </c>
      <c r="D110" s="3" t="str">
        <f>IF($E110="","",Меню!$D$10)</f>
        <v/>
      </c>
      <c r="E110" s="3" t="str">
        <f>IFERROR(IF(IFERROR(INDEX(Рецепты!$H$6:$H$85,MATCH(Меню!$D$10,Рецепты!$H$6:$H$85,0)+4)=Меню!$D$10,FALSE),INDEX(Рецепты!$J$6:$J$85,MATCH(Меню!$D$10,Рецепты!$H$6:$H$85,0)+4),""),"")</f>
        <v/>
      </c>
      <c r="F110" s="3" t="str">
        <f>IF($E110="","",INDEX(Рецепты!$K$6:$K$85,MATCH(Меню!$D$10,Рецепты!$H$6:$H$85,0)+4))</f>
        <v/>
      </c>
      <c r="G110" s="3" t="str">
        <f>IF($E110="","",INDEX(Рецепты!$M$6:$M$85,MATCH(Меню!$D$10,Рецепты!$H$6:$H$85,0)+4))</f>
        <v/>
      </c>
      <c r="H110" s="12">
        <f>IFERROR(IF(IFERROR(INDEX(Рецепты!$H$6:$H$85,MATCH(Меню!$D$10,Рецепты!$H$6:$H$85,0)+4)=Меню!$D$10,FALSE),INDEX(Рецепты!$L$6:$L$85,MATCH(Меню!$D$10,Рецепты!$H$6:$H$85,0)+4),0),0)</f>
        <v>0</v>
      </c>
      <c r="I110" s="12" t="str">
        <f>IF($F110="","",Меню!$E$10)</f>
        <v/>
      </c>
      <c r="J110" s="12">
        <f t="shared" si="1"/>
        <v>0</v>
      </c>
      <c r="K110" s="12">
        <f>IFERROR($J110/100*INDEX(Продукты!$G$6:$G$66,MATCH($E110,Продукты!$A$6:$A$66,0)),0)</f>
        <v>0</v>
      </c>
      <c r="L110" s="12">
        <f>IFERROR($J110/100*INDEX(Продукты!$H$6:$H$66,MATCH($E110,Продукты!$A$6:$A$66,0)),0)</f>
        <v>0</v>
      </c>
      <c r="M110" s="12">
        <f>IFERROR($J110/100*INDEX(Продукты!$I$6:$I$66,MATCH($E110,Продукты!$A$6:$A$66,0)),0)</f>
        <v>0</v>
      </c>
      <c r="N110" s="12">
        <f>IFERROR($J110/100*INDEX(Продукты!$J$6:$J$66,MATCH($E110,Продукты!$A$6:$A$66,0)),0)</f>
        <v>0</v>
      </c>
      <c r="O110" s="3" t="str">
        <f>IFERROR(IF(IFERROR(INDEX(Рецепты!$H$6:$H$85,MATCH(Меню!$D$10,Рецепты!$H$6:$H$85,0)+4)=Меню!$D$10,FALSE),INDEX(Рецепты!$N$6:$N$85,MATCH(Меню!$D$10,Рецепты!$H$6:$H$85,0)+4),""),"")</f>
        <v/>
      </c>
    </row>
    <row r="111" spans="1:15">
      <c r="A111" s="3" t="str">
        <f>IF($E111="","",Меню!$A$10)</f>
        <v/>
      </c>
      <c r="B111" s="3" t="str">
        <f>IF($E111="","",Меню!$B$10)</f>
        <v/>
      </c>
      <c r="C111" s="3" t="str">
        <f>IF($E111="","",Меню!$C$10)</f>
        <v/>
      </c>
      <c r="D111" s="3" t="str">
        <f>IF($E111="","",Меню!$D$10)</f>
        <v/>
      </c>
      <c r="E111" s="3" t="str">
        <f>IFERROR(IF(IFERROR(INDEX(Рецепты!$H$6:$H$85,MATCH(Меню!$D$10,Рецепты!$H$6:$H$85,0)+5)=Меню!$D$10,FALSE),INDEX(Рецепты!$J$6:$J$85,MATCH(Меню!$D$10,Рецепты!$H$6:$H$85,0)+5),""),"")</f>
        <v/>
      </c>
      <c r="F111" s="3" t="str">
        <f>IF($E111="","",INDEX(Рецепты!$K$6:$K$85,MATCH(Меню!$D$10,Рецепты!$H$6:$H$85,0)+5))</f>
        <v/>
      </c>
      <c r="G111" s="3" t="str">
        <f>IF($E111="","",INDEX(Рецепты!$M$6:$M$85,MATCH(Меню!$D$10,Рецепты!$H$6:$H$85,0)+5))</f>
        <v/>
      </c>
      <c r="H111" s="12">
        <f>IFERROR(IF(IFERROR(INDEX(Рецепты!$H$6:$H$85,MATCH(Меню!$D$10,Рецепты!$H$6:$H$85,0)+5)=Меню!$D$10,FALSE),INDEX(Рецепты!$L$6:$L$85,MATCH(Меню!$D$10,Рецепты!$H$6:$H$85,0)+5),0),0)</f>
        <v>0</v>
      </c>
      <c r="I111" s="12" t="str">
        <f>IF($F111="","",Меню!$E$10)</f>
        <v/>
      </c>
      <c r="J111" s="12">
        <f t="shared" si="1"/>
        <v>0</v>
      </c>
      <c r="K111" s="12">
        <f>IFERROR($J111/100*INDEX(Продукты!$G$6:$G$66,MATCH($E111,Продукты!$A$6:$A$66,0)),0)</f>
        <v>0</v>
      </c>
      <c r="L111" s="12">
        <f>IFERROR($J111/100*INDEX(Продукты!$H$6:$H$66,MATCH($E111,Продукты!$A$6:$A$66,0)),0)</f>
        <v>0</v>
      </c>
      <c r="M111" s="12">
        <f>IFERROR($J111/100*INDEX(Продукты!$I$6:$I$66,MATCH($E111,Продукты!$A$6:$A$66,0)),0)</f>
        <v>0</v>
      </c>
      <c r="N111" s="12">
        <f>IFERROR($J111/100*INDEX(Продукты!$J$6:$J$66,MATCH($E111,Продукты!$A$6:$A$66,0)),0)</f>
        <v>0</v>
      </c>
      <c r="O111" s="3" t="str">
        <f>IFERROR(IF(IFERROR(INDEX(Рецепты!$H$6:$H$85,MATCH(Меню!$D$10,Рецепты!$H$6:$H$85,0)+5)=Меню!$D$10,FALSE),INDEX(Рецепты!$N$6:$N$85,MATCH(Меню!$D$10,Рецепты!$H$6:$H$85,0)+5),""),"")</f>
        <v/>
      </c>
    </row>
    <row r="112" spans="1:15">
      <c r="A112" s="3" t="str">
        <f>IF($E112="","",Меню!$A$10)</f>
        <v/>
      </c>
      <c r="B112" s="3" t="str">
        <f>IF($E112="","",Меню!$B$10)</f>
        <v/>
      </c>
      <c r="C112" s="3" t="str">
        <f>IF($E112="","",Меню!$C$10)</f>
        <v/>
      </c>
      <c r="D112" s="3" t="str">
        <f>IF($E112="","",Меню!$D$10)</f>
        <v/>
      </c>
      <c r="E112" s="3" t="str">
        <f>IFERROR(IF(IFERROR(INDEX(Рецепты!$H$6:$H$85,MATCH(Меню!$D$10,Рецепты!$H$6:$H$85,0)+6)=Меню!$D$10,FALSE),INDEX(Рецепты!$J$6:$J$85,MATCH(Меню!$D$10,Рецепты!$H$6:$H$85,0)+6),""),"")</f>
        <v/>
      </c>
      <c r="F112" s="3" t="str">
        <f>IF($E112="","",INDEX(Рецепты!$K$6:$K$85,MATCH(Меню!$D$10,Рецепты!$H$6:$H$85,0)+6))</f>
        <v/>
      </c>
      <c r="G112" s="3" t="str">
        <f>IF($E112="","",INDEX(Рецепты!$M$6:$M$85,MATCH(Меню!$D$10,Рецепты!$H$6:$H$85,0)+6))</f>
        <v/>
      </c>
      <c r="H112" s="12">
        <f>IFERROR(IF(IFERROR(INDEX(Рецепты!$H$6:$H$85,MATCH(Меню!$D$10,Рецепты!$H$6:$H$85,0)+6)=Меню!$D$10,FALSE),INDEX(Рецепты!$L$6:$L$85,MATCH(Меню!$D$10,Рецепты!$H$6:$H$85,0)+6),0),0)</f>
        <v>0</v>
      </c>
      <c r="I112" s="12" t="str">
        <f>IF($F112="","",Меню!$E$10)</f>
        <v/>
      </c>
      <c r="J112" s="12">
        <f t="shared" si="1"/>
        <v>0</v>
      </c>
      <c r="K112" s="12">
        <f>IFERROR($J112/100*INDEX(Продукты!$G$6:$G$66,MATCH($E112,Продукты!$A$6:$A$66,0)),0)</f>
        <v>0</v>
      </c>
      <c r="L112" s="12">
        <f>IFERROR($J112/100*INDEX(Продукты!$H$6:$H$66,MATCH($E112,Продукты!$A$6:$A$66,0)),0)</f>
        <v>0</v>
      </c>
      <c r="M112" s="12">
        <f>IFERROR($J112/100*INDEX(Продукты!$I$6:$I$66,MATCH($E112,Продукты!$A$6:$A$66,0)),0)</f>
        <v>0</v>
      </c>
      <c r="N112" s="12">
        <f>IFERROR($J112/100*INDEX(Продукты!$J$6:$J$66,MATCH($E112,Продукты!$A$6:$A$66,0)),0)</f>
        <v>0</v>
      </c>
      <c r="O112" s="3" t="str">
        <f>IFERROR(IF(IFERROR(INDEX(Рецепты!$H$6:$H$85,MATCH(Меню!$D$10,Рецепты!$H$6:$H$85,0)+6)=Меню!$D$10,FALSE),INDEX(Рецепты!$N$6:$N$85,MATCH(Меню!$D$10,Рецепты!$H$6:$H$85,0)+6),""),"")</f>
        <v/>
      </c>
    </row>
    <row r="113" spans="1:15">
      <c r="A113" s="3" t="str">
        <f>IF($E113="","",Меню!$A$10)</f>
        <v/>
      </c>
      <c r="B113" s="3" t="str">
        <f>IF($E113="","",Меню!$B$10)</f>
        <v/>
      </c>
      <c r="C113" s="3" t="str">
        <f>IF($E113="","",Меню!$C$10)</f>
        <v/>
      </c>
      <c r="D113" s="3" t="str">
        <f>IF($E113="","",Меню!$D$10)</f>
        <v/>
      </c>
      <c r="E113" s="3" t="str">
        <f>IFERROR(IF(IFERROR(INDEX(Рецепты!$H$6:$H$85,MATCH(Меню!$D$10,Рецепты!$H$6:$H$85,0)+7)=Меню!$D$10,FALSE),INDEX(Рецепты!$J$6:$J$85,MATCH(Меню!$D$10,Рецепты!$H$6:$H$85,0)+7),""),"")</f>
        <v/>
      </c>
      <c r="F113" s="3" t="str">
        <f>IF($E113="","",INDEX(Рецепты!$K$6:$K$85,MATCH(Меню!$D$10,Рецепты!$H$6:$H$85,0)+7))</f>
        <v/>
      </c>
      <c r="G113" s="3" t="str">
        <f>IF($E113="","",INDEX(Рецепты!$M$6:$M$85,MATCH(Меню!$D$10,Рецепты!$H$6:$H$85,0)+7))</f>
        <v/>
      </c>
      <c r="H113" s="12">
        <f>IFERROR(IF(IFERROR(INDEX(Рецепты!$H$6:$H$85,MATCH(Меню!$D$10,Рецепты!$H$6:$H$85,0)+7)=Меню!$D$10,FALSE),INDEX(Рецепты!$L$6:$L$85,MATCH(Меню!$D$10,Рецепты!$H$6:$H$85,0)+7),0),0)</f>
        <v>0</v>
      </c>
      <c r="I113" s="12" t="str">
        <f>IF($F113="","",Меню!$E$10)</f>
        <v/>
      </c>
      <c r="J113" s="12">
        <f t="shared" si="1"/>
        <v>0</v>
      </c>
      <c r="K113" s="12">
        <f>IFERROR($J113/100*INDEX(Продукты!$G$6:$G$66,MATCH($E113,Продукты!$A$6:$A$66,0)),0)</f>
        <v>0</v>
      </c>
      <c r="L113" s="12">
        <f>IFERROR($J113/100*INDEX(Продукты!$H$6:$H$66,MATCH($E113,Продукты!$A$6:$A$66,0)),0)</f>
        <v>0</v>
      </c>
      <c r="M113" s="12">
        <f>IFERROR($J113/100*INDEX(Продукты!$I$6:$I$66,MATCH($E113,Продукты!$A$6:$A$66,0)),0)</f>
        <v>0</v>
      </c>
      <c r="N113" s="12">
        <f>IFERROR($J113/100*INDEX(Продукты!$J$6:$J$66,MATCH($E113,Продукты!$A$6:$A$66,0)),0)</f>
        <v>0</v>
      </c>
      <c r="O113" s="3" t="str">
        <f>IFERROR(IF(IFERROR(INDEX(Рецепты!$H$6:$H$85,MATCH(Меню!$D$10,Рецепты!$H$6:$H$85,0)+7)=Меню!$D$10,FALSE),INDEX(Рецепты!$N$6:$N$85,MATCH(Меню!$D$10,Рецепты!$H$6:$H$85,0)+7),""),"")</f>
        <v/>
      </c>
    </row>
    <row r="114" spans="1:15">
      <c r="A114" s="3" t="str">
        <f>IF($E114="","",Меню!$A$10)</f>
        <v/>
      </c>
      <c r="B114" s="3" t="str">
        <f>IF($E114="","",Меню!$B$10)</f>
        <v/>
      </c>
      <c r="C114" s="3" t="str">
        <f>IF($E114="","",Меню!$C$10)</f>
        <v/>
      </c>
      <c r="D114" s="3" t="str">
        <f>IF($E114="","",Меню!$D$10)</f>
        <v/>
      </c>
      <c r="E114" s="3" t="str">
        <f>IFERROR(IF(IFERROR(INDEX(Рецепты!$H$6:$H$85,MATCH(Меню!$D$10,Рецепты!$H$6:$H$85,0)+8)=Меню!$D$10,FALSE),INDEX(Рецепты!$J$6:$J$85,MATCH(Меню!$D$10,Рецепты!$H$6:$H$85,0)+8),""),"")</f>
        <v/>
      </c>
      <c r="F114" s="3" t="str">
        <f>IF($E114="","",INDEX(Рецепты!$K$6:$K$85,MATCH(Меню!$D$10,Рецепты!$H$6:$H$85,0)+8))</f>
        <v/>
      </c>
      <c r="G114" s="3" t="str">
        <f>IF($E114="","",INDEX(Рецепты!$M$6:$M$85,MATCH(Меню!$D$10,Рецепты!$H$6:$H$85,0)+8))</f>
        <v/>
      </c>
      <c r="H114" s="12">
        <f>IFERROR(IF(IFERROR(INDEX(Рецепты!$H$6:$H$85,MATCH(Меню!$D$10,Рецепты!$H$6:$H$85,0)+8)=Меню!$D$10,FALSE),INDEX(Рецепты!$L$6:$L$85,MATCH(Меню!$D$10,Рецепты!$H$6:$H$85,0)+8),0),0)</f>
        <v>0</v>
      </c>
      <c r="I114" s="12" t="str">
        <f>IF($F114="","",Меню!$E$10)</f>
        <v/>
      </c>
      <c r="J114" s="12">
        <f t="shared" si="1"/>
        <v>0</v>
      </c>
      <c r="K114" s="12">
        <f>IFERROR($J114/100*INDEX(Продукты!$G$6:$G$66,MATCH($E114,Продукты!$A$6:$A$66,0)),0)</f>
        <v>0</v>
      </c>
      <c r="L114" s="12">
        <f>IFERROR($J114/100*INDEX(Продукты!$H$6:$H$66,MATCH($E114,Продукты!$A$6:$A$66,0)),0)</f>
        <v>0</v>
      </c>
      <c r="M114" s="12">
        <f>IFERROR($J114/100*INDEX(Продукты!$I$6:$I$66,MATCH($E114,Продукты!$A$6:$A$66,0)),0)</f>
        <v>0</v>
      </c>
      <c r="N114" s="12">
        <f>IFERROR($J114/100*INDEX(Продукты!$J$6:$J$66,MATCH($E114,Продукты!$A$6:$A$66,0)),0)</f>
        <v>0</v>
      </c>
      <c r="O114" s="3" t="str">
        <f>IFERROR(IF(IFERROR(INDEX(Рецепты!$H$6:$H$85,MATCH(Меню!$D$10,Рецепты!$H$6:$H$85,0)+8)=Меню!$D$10,FALSE),INDEX(Рецепты!$N$6:$N$85,MATCH(Меню!$D$10,Рецепты!$H$6:$H$85,0)+8),""),"")</f>
        <v/>
      </c>
    </row>
    <row r="115" spans="1:15">
      <c r="A115" s="3" t="str">
        <f>IF($E115="","",Меню!$A$10)</f>
        <v/>
      </c>
      <c r="B115" s="3" t="str">
        <f>IF($E115="","",Меню!$B$10)</f>
        <v/>
      </c>
      <c r="C115" s="3" t="str">
        <f>IF($E115="","",Меню!$C$10)</f>
        <v/>
      </c>
      <c r="D115" s="3" t="str">
        <f>IF($E115="","",Меню!$D$10)</f>
        <v/>
      </c>
      <c r="E115" s="3" t="str">
        <f>IFERROR(IF(IFERROR(INDEX(Рецепты!$H$6:$H$85,MATCH(Меню!$D$10,Рецепты!$H$6:$H$85,0)+9)=Меню!$D$10,FALSE),INDEX(Рецепты!$J$6:$J$85,MATCH(Меню!$D$10,Рецепты!$H$6:$H$85,0)+9),""),"")</f>
        <v/>
      </c>
      <c r="F115" s="3" t="str">
        <f>IF($E115="","",INDEX(Рецепты!$K$6:$K$85,MATCH(Меню!$D$10,Рецепты!$H$6:$H$85,0)+9))</f>
        <v/>
      </c>
      <c r="G115" s="3" t="str">
        <f>IF($E115="","",INDEX(Рецепты!$M$6:$M$85,MATCH(Меню!$D$10,Рецепты!$H$6:$H$85,0)+9))</f>
        <v/>
      </c>
      <c r="H115" s="12">
        <f>IFERROR(IF(IFERROR(INDEX(Рецепты!$H$6:$H$85,MATCH(Меню!$D$10,Рецепты!$H$6:$H$85,0)+9)=Меню!$D$10,FALSE),INDEX(Рецепты!$L$6:$L$85,MATCH(Меню!$D$10,Рецепты!$H$6:$H$85,0)+9),0),0)</f>
        <v>0</v>
      </c>
      <c r="I115" s="12" t="str">
        <f>IF($F115="","",Меню!$E$10)</f>
        <v/>
      </c>
      <c r="J115" s="12">
        <f t="shared" si="1"/>
        <v>0</v>
      </c>
      <c r="K115" s="12">
        <f>IFERROR($J115/100*INDEX(Продукты!$G$6:$G$66,MATCH($E115,Продукты!$A$6:$A$66,0)),0)</f>
        <v>0</v>
      </c>
      <c r="L115" s="12">
        <f>IFERROR($J115/100*INDEX(Продукты!$H$6:$H$66,MATCH($E115,Продукты!$A$6:$A$66,0)),0)</f>
        <v>0</v>
      </c>
      <c r="M115" s="12">
        <f>IFERROR($J115/100*INDEX(Продукты!$I$6:$I$66,MATCH($E115,Продукты!$A$6:$A$66,0)),0)</f>
        <v>0</v>
      </c>
      <c r="N115" s="12">
        <f>IFERROR($J115/100*INDEX(Продукты!$J$6:$J$66,MATCH($E115,Продукты!$A$6:$A$66,0)),0)</f>
        <v>0</v>
      </c>
      <c r="O115" s="3" t="str">
        <f>IFERROR(IF(IFERROR(INDEX(Рецепты!$H$6:$H$85,MATCH(Меню!$D$10,Рецепты!$H$6:$H$85,0)+9)=Меню!$D$10,FALSE),INDEX(Рецепты!$N$6:$N$85,MATCH(Меню!$D$10,Рецепты!$H$6:$H$85,0)+9),""),"")</f>
        <v/>
      </c>
    </row>
    <row r="116" spans="1:15">
      <c r="A116" s="3" t="str">
        <f>IF($E116="","",Меню!$A$10)</f>
        <v/>
      </c>
      <c r="B116" s="3" t="str">
        <f>IF($E116="","",Меню!$B$10)</f>
        <v/>
      </c>
      <c r="C116" s="3" t="str">
        <f>IF($E116="","",Меню!$C$10)</f>
        <v/>
      </c>
      <c r="D116" s="3" t="str">
        <f>IF($E116="","",Меню!$D$10)</f>
        <v/>
      </c>
      <c r="E116" s="3" t="str">
        <f>IFERROR(IF(IFERROR(INDEX(Рецепты!$H$6:$H$85,MATCH(Меню!$D$10,Рецепты!$H$6:$H$85,0)+10)=Меню!$D$10,FALSE),INDEX(Рецепты!$J$6:$J$85,MATCH(Меню!$D$10,Рецепты!$H$6:$H$85,0)+10),""),"")</f>
        <v/>
      </c>
      <c r="F116" s="3" t="str">
        <f>IF($E116="","",INDEX(Рецепты!$K$6:$K$85,MATCH(Меню!$D$10,Рецепты!$H$6:$H$85,0)+10))</f>
        <v/>
      </c>
      <c r="G116" s="3" t="str">
        <f>IF($E116="","",INDEX(Рецепты!$M$6:$M$85,MATCH(Меню!$D$10,Рецепты!$H$6:$H$85,0)+10))</f>
        <v/>
      </c>
      <c r="H116" s="12">
        <f>IFERROR(IF(IFERROR(INDEX(Рецепты!$H$6:$H$85,MATCH(Меню!$D$10,Рецепты!$H$6:$H$85,0)+10)=Меню!$D$10,FALSE),INDEX(Рецепты!$L$6:$L$85,MATCH(Меню!$D$10,Рецепты!$H$6:$H$85,0)+10),0),0)</f>
        <v>0</v>
      </c>
      <c r="I116" s="12" t="str">
        <f>IF($F116="","",Меню!$E$10)</f>
        <v/>
      </c>
      <c r="J116" s="12">
        <f t="shared" si="1"/>
        <v>0</v>
      </c>
      <c r="K116" s="12">
        <f>IFERROR($J116/100*INDEX(Продукты!$G$6:$G$66,MATCH($E116,Продукты!$A$6:$A$66,0)),0)</f>
        <v>0</v>
      </c>
      <c r="L116" s="12">
        <f>IFERROR($J116/100*INDEX(Продукты!$H$6:$H$66,MATCH($E116,Продукты!$A$6:$A$66,0)),0)</f>
        <v>0</v>
      </c>
      <c r="M116" s="12">
        <f>IFERROR($J116/100*INDEX(Продукты!$I$6:$I$66,MATCH($E116,Продукты!$A$6:$A$66,0)),0)</f>
        <v>0</v>
      </c>
      <c r="N116" s="12">
        <f>IFERROR($J116/100*INDEX(Продукты!$J$6:$J$66,MATCH($E116,Продукты!$A$6:$A$66,0)),0)</f>
        <v>0</v>
      </c>
      <c r="O116" s="3" t="str">
        <f>IFERROR(IF(IFERROR(INDEX(Рецепты!$H$6:$H$85,MATCH(Меню!$D$10,Рецепты!$H$6:$H$85,0)+10)=Меню!$D$10,FALSE),INDEX(Рецепты!$N$6:$N$85,MATCH(Меню!$D$10,Рецепты!$H$6:$H$85,0)+10),""),"")</f>
        <v/>
      </c>
    </row>
    <row r="117" spans="1:15">
      <c r="A117" s="3" t="str">
        <f>IF($E117="","",Меню!$A$10)</f>
        <v/>
      </c>
      <c r="B117" s="3" t="str">
        <f>IF($E117="","",Меню!$B$10)</f>
        <v/>
      </c>
      <c r="C117" s="3" t="str">
        <f>IF($E117="","",Меню!$C$10)</f>
        <v/>
      </c>
      <c r="D117" s="3" t="str">
        <f>IF($E117="","",Меню!$D$10)</f>
        <v/>
      </c>
      <c r="E117" s="3" t="str">
        <f>IFERROR(IF(IFERROR(INDEX(Рецепты!$H$6:$H$85,MATCH(Меню!$D$10,Рецепты!$H$6:$H$85,0)+11)=Меню!$D$10,FALSE),INDEX(Рецепты!$J$6:$J$85,MATCH(Меню!$D$10,Рецепты!$H$6:$H$85,0)+11),""),"")</f>
        <v/>
      </c>
      <c r="F117" s="3" t="str">
        <f>IF($E117="","",INDEX(Рецепты!$K$6:$K$85,MATCH(Меню!$D$10,Рецепты!$H$6:$H$85,0)+11))</f>
        <v/>
      </c>
      <c r="G117" s="3" t="str">
        <f>IF($E117="","",INDEX(Рецепты!$M$6:$M$85,MATCH(Меню!$D$10,Рецепты!$H$6:$H$85,0)+11))</f>
        <v/>
      </c>
      <c r="H117" s="12">
        <f>IFERROR(IF(IFERROR(INDEX(Рецепты!$H$6:$H$85,MATCH(Меню!$D$10,Рецепты!$H$6:$H$85,0)+11)=Меню!$D$10,FALSE),INDEX(Рецепты!$L$6:$L$85,MATCH(Меню!$D$10,Рецепты!$H$6:$H$85,0)+11),0),0)</f>
        <v>0</v>
      </c>
      <c r="I117" s="12" t="str">
        <f>IF($F117="","",Меню!$E$10)</f>
        <v/>
      </c>
      <c r="J117" s="12">
        <f t="shared" si="1"/>
        <v>0</v>
      </c>
      <c r="K117" s="12">
        <f>IFERROR($J117/100*INDEX(Продукты!$G$6:$G$66,MATCH($E117,Продукты!$A$6:$A$66,0)),0)</f>
        <v>0</v>
      </c>
      <c r="L117" s="12">
        <f>IFERROR($J117/100*INDEX(Продукты!$H$6:$H$66,MATCH($E117,Продукты!$A$6:$A$66,0)),0)</f>
        <v>0</v>
      </c>
      <c r="M117" s="12">
        <f>IFERROR($J117/100*INDEX(Продукты!$I$6:$I$66,MATCH($E117,Продукты!$A$6:$A$66,0)),0)</f>
        <v>0</v>
      </c>
      <c r="N117" s="12">
        <f>IFERROR($J117/100*INDEX(Продукты!$J$6:$J$66,MATCH($E117,Продукты!$A$6:$A$66,0)),0)</f>
        <v>0</v>
      </c>
      <c r="O117" s="3" t="str">
        <f>IFERROR(IF(IFERROR(INDEX(Рецепты!$H$6:$H$85,MATCH(Меню!$D$10,Рецепты!$H$6:$H$85,0)+11)=Меню!$D$10,FALSE),INDEX(Рецепты!$N$6:$N$85,MATCH(Меню!$D$10,Рецепты!$H$6:$H$85,0)+11),""),"")</f>
        <v/>
      </c>
    </row>
    <row r="118" spans="1:15">
      <c r="A118" s="3" t="str">
        <f>IF($E118="","",Меню!$A$10)</f>
        <v/>
      </c>
      <c r="B118" s="3" t="str">
        <f>IF($E118="","",Меню!$B$10)</f>
        <v/>
      </c>
      <c r="C118" s="3" t="str">
        <f>IF($E118="","",Меню!$C$10)</f>
        <v/>
      </c>
      <c r="D118" s="3" t="str">
        <f>IF($E118="","",Меню!$D$10)</f>
        <v/>
      </c>
      <c r="E118" s="3" t="str">
        <f>IFERROR(IF(IFERROR(INDEX(Рецепты!$H$6:$H$85,MATCH(Меню!$D$10,Рецепты!$H$6:$H$85,0)+12)=Меню!$D$10,FALSE),INDEX(Рецепты!$J$6:$J$85,MATCH(Меню!$D$10,Рецепты!$H$6:$H$85,0)+12),""),"")</f>
        <v/>
      </c>
      <c r="F118" s="3" t="str">
        <f>IF($E118="","",INDEX(Рецепты!$K$6:$K$85,MATCH(Меню!$D$10,Рецепты!$H$6:$H$85,0)+12))</f>
        <v/>
      </c>
      <c r="G118" s="3" t="str">
        <f>IF($E118="","",INDEX(Рецепты!$M$6:$M$85,MATCH(Меню!$D$10,Рецепты!$H$6:$H$85,0)+12))</f>
        <v/>
      </c>
      <c r="H118" s="12">
        <f>IFERROR(IF(IFERROR(INDEX(Рецепты!$H$6:$H$85,MATCH(Меню!$D$10,Рецепты!$H$6:$H$85,0)+12)=Меню!$D$10,FALSE),INDEX(Рецепты!$L$6:$L$85,MATCH(Меню!$D$10,Рецепты!$H$6:$H$85,0)+12),0),0)</f>
        <v>0</v>
      </c>
      <c r="I118" s="12" t="str">
        <f>IF($F118="","",Меню!$E$10)</f>
        <v/>
      </c>
      <c r="J118" s="12">
        <f t="shared" si="1"/>
        <v>0</v>
      </c>
      <c r="K118" s="12">
        <f>IFERROR($J118/100*INDEX(Продукты!$G$6:$G$66,MATCH($E118,Продукты!$A$6:$A$66,0)),0)</f>
        <v>0</v>
      </c>
      <c r="L118" s="12">
        <f>IFERROR($J118/100*INDEX(Продукты!$H$6:$H$66,MATCH($E118,Продукты!$A$6:$A$66,0)),0)</f>
        <v>0</v>
      </c>
      <c r="M118" s="12">
        <f>IFERROR($J118/100*INDEX(Продукты!$I$6:$I$66,MATCH($E118,Продукты!$A$6:$A$66,0)),0)</f>
        <v>0</v>
      </c>
      <c r="N118" s="12">
        <f>IFERROR($J118/100*INDEX(Продукты!$J$6:$J$66,MATCH($E118,Продукты!$A$6:$A$66,0)),0)</f>
        <v>0</v>
      </c>
      <c r="O118" s="3" t="str">
        <f>IFERROR(IF(IFERROR(INDEX(Рецепты!$H$6:$H$85,MATCH(Меню!$D$10,Рецепты!$H$6:$H$85,0)+12)=Меню!$D$10,FALSE),INDEX(Рецепты!$N$6:$N$85,MATCH(Меню!$D$10,Рецепты!$H$6:$H$85,0)+12),""),"")</f>
        <v/>
      </c>
    </row>
    <row r="119" spans="1:15">
      <c r="A119" s="3" t="str">
        <f>IF($E119="","",Меню!$A$10)</f>
        <v/>
      </c>
      <c r="B119" s="3" t="str">
        <f>IF($E119="","",Меню!$B$10)</f>
        <v/>
      </c>
      <c r="C119" s="3" t="str">
        <f>IF($E119="","",Меню!$C$10)</f>
        <v/>
      </c>
      <c r="D119" s="3" t="str">
        <f>IF($E119="","",Меню!$D$10)</f>
        <v/>
      </c>
      <c r="E119" s="3" t="str">
        <f>IFERROR(IF(IFERROR(INDEX(Рецепты!$H$6:$H$85,MATCH(Меню!$D$10,Рецепты!$H$6:$H$85,0)+13)=Меню!$D$10,FALSE),INDEX(Рецепты!$J$6:$J$85,MATCH(Меню!$D$10,Рецепты!$H$6:$H$85,0)+13),""),"")</f>
        <v/>
      </c>
      <c r="F119" s="3" t="str">
        <f>IF($E119="","",INDEX(Рецепты!$K$6:$K$85,MATCH(Меню!$D$10,Рецепты!$H$6:$H$85,0)+13))</f>
        <v/>
      </c>
      <c r="G119" s="3" t="str">
        <f>IF($E119="","",INDEX(Рецепты!$M$6:$M$85,MATCH(Меню!$D$10,Рецепты!$H$6:$H$85,0)+13))</f>
        <v/>
      </c>
      <c r="H119" s="12">
        <f>IFERROR(IF(IFERROR(INDEX(Рецепты!$H$6:$H$85,MATCH(Меню!$D$10,Рецепты!$H$6:$H$85,0)+13)=Меню!$D$10,FALSE),INDEX(Рецепты!$L$6:$L$85,MATCH(Меню!$D$10,Рецепты!$H$6:$H$85,0)+13),0),0)</f>
        <v>0</v>
      </c>
      <c r="I119" s="12" t="str">
        <f>IF($F119="","",Меню!$E$10)</f>
        <v/>
      </c>
      <c r="J119" s="12">
        <f t="shared" si="1"/>
        <v>0</v>
      </c>
      <c r="K119" s="12">
        <f>IFERROR($J119/100*INDEX(Продукты!$G$6:$G$66,MATCH($E119,Продукты!$A$6:$A$66,0)),0)</f>
        <v>0</v>
      </c>
      <c r="L119" s="12">
        <f>IFERROR($J119/100*INDEX(Продукты!$H$6:$H$66,MATCH($E119,Продукты!$A$6:$A$66,0)),0)</f>
        <v>0</v>
      </c>
      <c r="M119" s="12">
        <f>IFERROR($J119/100*INDEX(Продукты!$I$6:$I$66,MATCH($E119,Продукты!$A$6:$A$66,0)),0)</f>
        <v>0</v>
      </c>
      <c r="N119" s="12">
        <f>IFERROR($J119/100*INDEX(Продукты!$J$6:$J$66,MATCH($E119,Продукты!$A$6:$A$66,0)),0)</f>
        <v>0</v>
      </c>
      <c r="O119" s="3" t="str">
        <f>IFERROR(IF(IFERROR(INDEX(Рецепты!$H$6:$H$85,MATCH(Меню!$D$10,Рецепты!$H$6:$H$85,0)+13)=Меню!$D$10,FALSE),INDEX(Рецепты!$N$6:$N$85,MATCH(Меню!$D$10,Рецепты!$H$6:$H$85,0)+13),""),"")</f>
        <v/>
      </c>
    </row>
    <row r="120" spans="1:15">
      <c r="A120" s="3" t="str">
        <f>IF($E120="","",Меню!$A$10)</f>
        <v/>
      </c>
      <c r="B120" s="3" t="str">
        <f>IF($E120="","",Меню!$B$10)</f>
        <v/>
      </c>
      <c r="C120" s="3" t="str">
        <f>IF($E120="","",Меню!$C$10)</f>
        <v/>
      </c>
      <c r="D120" s="3" t="str">
        <f>IF($E120="","",Меню!$D$10)</f>
        <v/>
      </c>
      <c r="E120" s="3" t="str">
        <f>IFERROR(IF(IFERROR(INDEX(Рецепты!$H$6:$H$85,MATCH(Меню!$D$10,Рецепты!$H$6:$H$85,0)+14)=Меню!$D$10,FALSE),INDEX(Рецепты!$J$6:$J$85,MATCH(Меню!$D$10,Рецепты!$H$6:$H$85,0)+14),""),"")</f>
        <v/>
      </c>
      <c r="F120" s="3" t="str">
        <f>IF($E120="","",INDEX(Рецепты!$K$6:$K$85,MATCH(Меню!$D$10,Рецепты!$H$6:$H$85,0)+14))</f>
        <v/>
      </c>
      <c r="G120" s="3" t="str">
        <f>IF($E120="","",INDEX(Рецепты!$M$6:$M$85,MATCH(Меню!$D$10,Рецепты!$H$6:$H$85,0)+14))</f>
        <v/>
      </c>
      <c r="H120" s="12">
        <f>IFERROR(IF(IFERROR(INDEX(Рецепты!$H$6:$H$85,MATCH(Меню!$D$10,Рецепты!$H$6:$H$85,0)+14)=Меню!$D$10,FALSE),INDEX(Рецепты!$L$6:$L$85,MATCH(Меню!$D$10,Рецепты!$H$6:$H$85,0)+14),0),0)</f>
        <v>0</v>
      </c>
      <c r="I120" s="12" t="str">
        <f>IF($F120="","",Меню!$E$10)</f>
        <v/>
      </c>
      <c r="J120" s="12">
        <f t="shared" si="1"/>
        <v>0</v>
      </c>
      <c r="K120" s="12">
        <f>IFERROR($J120/100*INDEX(Продукты!$G$6:$G$66,MATCH($E120,Продукты!$A$6:$A$66,0)),0)</f>
        <v>0</v>
      </c>
      <c r="L120" s="12">
        <f>IFERROR($J120/100*INDEX(Продукты!$H$6:$H$66,MATCH($E120,Продукты!$A$6:$A$66,0)),0)</f>
        <v>0</v>
      </c>
      <c r="M120" s="12">
        <f>IFERROR($J120/100*INDEX(Продукты!$I$6:$I$66,MATCH($E120,Продукты!$A$6:$A$66,0)),0)</f>
        <v>0</v>
      </c>
      <c r="N120" s="12">
        <f>IFERROR($J120/100*INDEX(Продукты!$J$6:$J$66,MATCH($E120,Продукты!$A$6:$A$66,0)),0)</f>
        <v>0</v>
      </c>
      <c r="O120" s="3" t="str">
        <f>IFERROR(IF(IFERROR(INDEX(Рецепты!$H$6:$H$85,MATCH(Меню!$D$10,Рецепты!$H$6:$H$85,0)+14)=Меню!$D$10,FALSE),INDEX(Рецепты!$N$6:$N$85,MATCH(Меню!$D$10,Рецепты!$H$6:$H$85,0)+14),""),"")</f>
        <v/>
      </c>
    </row>
    <row r="121" spans="1:15">
      <c r="A121" s="3" t="str">
        <f>IF($E121="","",Меню!$A$10)</f>
        <v/>
      </c>
      <c r="B121" s="3" t="str">
        <f>IF($E121="","",Меню!$B$10)</f>
        <v/>
      </c>
      <c r="C121" s="3" t="str">
        <f>IF($E121="","",Меню!$C$10)</f>
        <v/>
      </c>
      <c r="D121" s="3" t="str">
        <f>IF($E121="","",Меню!$D$10)</f>
        <v/>
      </c>
      <c r="E121" s="3" t="str">
        <f>IFERROR(IF(IFERROR(INDEX(Рецепты!$H$6:$H$85,MATCH(Меню!$D$10,Рецепты!$H$6:$H$85,0)+15)=Меню!$D$10,FALSE),INDEX(Рецепты!$J$6:$J$85,MATCH(Меню!$D$10,Рецепты!$H$6:$H$85,0)+15),""),"")</f>
        <v/>
      </c>
      <c r="F121" s="3" t="str">
        <f>IF($E121="","",INDEX(Рецепты!$K$6:$K$85,MATCH(Меню!$D$10,Рецепты!$H$6:$H$85,0)+15))</f>
        <v/>
      </c>
      <c r="G121" s="3" t="str">
        <f>IF($E121="","",INDEX(Рецепты!$M$6:$M$85,MATCH(Меню!$D$10,Рецепты!$H$6:$H$85,0)+15))</f>
        <v/>
      </c>
      <c r="H121" s="12">
        <f>IFERROR(IF(IFERROR(INDEX(Рецепты!$H$6:$H$85,MATCH(Меню!$D$10,Рецепты!$H$6:$H$85,0)+15)=Меню!$D$10,FALSE),INDEX(Рецепты!$L$6:$L$85,MATCH(Меню!$D$10,Рецепты!$H$6:$H$85,0)+15),0),0)</f>
        <v>0</v>
      </c>
      <c r="I121" s="12" t="str">
        <f>IF($F121="","",Меню!$E$10)</f>
        <v/>
      </c>
      <c r="J121" s="12">
        <f t="shared" si="1"/>
        <v>0</v>
      </c>
      <c r="K121" s="12">
        <f>IFERROR($J121/100*INDEX(Продукты!$G$6:$G$66,MATCH($E121,Продукты!$A$6:$A$66,0)),0)</f>
        <v>0</v>
      </c>
      <c r="L121" s="12">
        <f>IFERROR($J121/100*INDEX(Продукты!$H$6:$H$66,MATCH($E121,Продукты!$A$6:$A$66,0)),0)</f>
        <v>0</v>
      </c>
      <c r="M121" s="12">
        <f>IFERROR($J121/100*INDEX(Продукты!$I$6:$I$66,MATCH($E121,Продукты!$A$6:$A$66,0)),0)</f>
        <v>0</v>
      </c>
      <c r="N121" s="12">
        <f>IFERROR($J121/100*INDEX(Продукты!$J$6:$J$66,MATCH($E121,Продукты!$A$6:$A$66,0)),0)</f>
        <v>0</v>
      </c>
      <c r="O121" s="3" t="str">
        <f>IFERROR(IF(IFERROR(INDEX(Рецепты!$H$6:$H$85,MATCH(Меню!$D$10,Рецепты!$H$6:$H$85,0)+15)=Меню!$D$10,FALSE),INDEX(Рецепты!$N$6:$N$85,MATCH(Меню!$D$10,Рецепты!$H$6:$H$85,0)+15),""),"")</f>
        <v/>
      </c>
    </row>
    <row r="122" spans="1:15">
      <c r="A122" s="3" t="str">
        <f>IF($E122="","",Меню!$A$10)</f>
        <v/>
      </c>
      <c r="B122" s="3" t="str">
        <f>IF($E122="","",Меню!$B$10)</f>
        <v/>
      </c>
      <c r="C122" s="3" t="str">
        <f>IF($E122="","",Меню!$C$10)</f>
        <v/>
      </c>
      <c r="D122" s="3" t="str">
        <f>IF($E122="","",Меню!$D$10)</f>
        <v/>
      </c>
      <c r="E122" s="3" t="str">
        <f>IFERROR(IF(IFERROR(INDEX(Рецепты!$H$6:$H$85,MATCH(Меню!$D$10,Рецепты!$H$6:$H$85,0)+16)=Меню!$D$10,FALSE),INDEX(Рецепты!$J$6:$J$85,MATCH(Меню!$D$10,Рецепты!$H$6:$H$85,0)+16),""),"")</f>
        <v/>
      </c>
      <c r="F122" s="3" t="str">
        <f>IF($E122="","",INDEX(Рецепты!$K$6:$K$85,MATCH(Меню!$D$10,Рецепты!$H$6:$H$85,0)+16))</f>
        <v/>
      </c>
      <c r="G122" s="3" t="str">
        <f>IF($E122="","",INDEX(Рецепты!$M$6:$M$85,MATCH(Меню!$D$10,Рецепты!$H$6:$H$85,0)+16))</f>
        <v/>
      </c>
      <c r="H122" s="12">
        <f>IFERROR(IF(IFERROR(INDEX(Рецепты!$H$6:$H$85,MATCH(Меню!$D$10,Рецепты!$H$6:$H$85,0)+16)=Меню!$D$10,FALSE),INDEX(Рецепты!$L$6:$L$85,MATCH(Меню!$D$10,Рецепты!$H$6:$H$85,0)+16),0),0)</f>
        <v>0</v>
      </c>
      <c r="I122" s="12" t="str">
        <f>IF($F122="","",Меню!$E$10)</f>
        <v/>
      </c>
      <c r="J122" s="12">
        <f t="shared" si="1"/>
        <v>0</v>
      </c>
      <c r="K122" s="12">
        <f>IFERROR($J122/100*INDEX(Продукты!$G$6:$G$66,MATCH($E122,Продукты!$A$6:$A$66,0)),0)</f>
        <v>0</v>
      </c>
      <c r="L122" s="12">
        <f>IFERROR($J122/100*INDEX(Продукты!$H$6:$H$66,MATCH($E122,Продукты!$A$6:$A$66,0)),0)</f>
        <v>0</v>
      </c>
      <c r="M122" s="12">
        <f>IFERROR($J122/100*INDEX(Продукты!$I$6:$I$66,MATCH($E122,Продукты!$A$6:$A$66,0)),0)</f>
        <v>0</v>
      </c>
      <c r="N122" s="12">
        <f>IFERROR($J122/100*INDEX(Продукты!$J$6:$J$66,MATCH($E122,Продукты!$A$6:$A$66,0)),0)</f>
        <v>0</v>
      </c>
      <c r="O122" s="3" t="str">
        <f>IFERROR(IF(IFERROR(INDEX(Рецепты!$H$6:$H$85,MATCH(Меню!$D$10,Рецепты!$H$6:$H$85,0)+16)=Меню!$D$10,FALSE),INDEX(Рецепты!$N$6:$N$85,MATCH(Меню!$D$10,Рецепты!$H$6:$H$85,0)+16),""),"")</f>
        <v/>
      </c>
    </row>
    <row r="123" spans="1:15">
      <c r="A123" s="3" t="str">
        <f>IF($E123="","",Меню!$A$10)</f>
        <v/>
      </c>
      <c r="B123" s="3" t="str">
        <f>IF($E123="","",Меню!$B$10)</f>
        <v/>
      </c>
      <c r="C123" s="3" t="str">
        <f>IF($E123="","",Меню!$C$10)</f>
        <v/>
      </c>
      <c r="D123" s="3" t="str">
        <f>IF($E123="","",Меню!$D$10)</f>
        <v/>
      </c>
      <c r="E123" s="3" t="str">
        <f>IFERROR(IF(IFERROR(INDEX(Рецепты!$H$6:$H$85,MATCH(Меню!$D$10,Рецепты!$H$6:$H$85,0)+17)=Меню!$D$10,FALSE),INDEX(Рецепты!$J$6:$J$85,MATCH(Меню!$D$10,Рецепты!$H$6:$H$85,0)+17),""),"")</f>
        <v/>
      </c>
      <c r="F123" s="3" t="str">
        <f>IF($E123="","",INDEX(Рецепты!$K$6:$K$85,MATCH(Меню!$D$10,Рецепты!$H$6:$H$85,0)+17))</f>
        <v/>
      </c>
      <c r="G123" s="3" t="str">
        <f>IF($E123="","",INDEX(Рецепты!$M$6:$M$85,MATCH(Меню!$D$10,Рецепты!$H$6:$H$85,0)+17))</f>
        <v/>
      </c>
      <c r="H123" s="12">
        <f>IFERROR(IF(IFERROR(INDEX(Рецепты!$H$6:$H$85,MATCH(Меню!$D$10,Рецепты!$H$6:$H$85,0)+17)=Меню!$D$10,FALSE),INDEX(Рецепты!$L$6:$L$85,MATCH(Меню!$D$10,Рецепты!$H$6:$H$85,0)+17),0),0)</f>
        <v>0</v>
      </c>
      <c r="I123" s="12" t="str">
        <f>IF($F123="","",Меню!$E$10)</f>
        <v/>
      </c>
      <c r="J123" s="12">
        <f t="shared" si="1"/>
        <v>0</v>
      </c>
      <c r="K123" s="12">
        <f>IFERROR($J123/100*INDEX(Продукты!$G$6:$G$66,MATCH($E123,Продукты!$A$6:$A$66,0)),0)</f>
        <v>0</v>
      </c>
      <c r="L123" s="12">
        <f>IFERROR($J123/100*INDEX(Продукты!$H$6:$H$66,MATCH($E123,Продукты!$A$6:$A$66,0)),0)</f>
        <v>0</v>
      </c>
      <c r="M123" s="12">
        <f>IFERROR($J123/100*INDEX(Продукты!$I$6:$I$66,MATCH($E123,Продукты!$A$6:$A$66,0)),0)</f>
        <v>0</v>
      </c>
      <c r="N123" s="12">
        <f>IFERROR($J123/100*INDEX(Продукты!$J$6:$J$66,MATCH($E123,Продукты!$A$6:$A$66,0)),0)</f>
        <v>0</v>
      </c>
      <c r="O123" s="3" t="str">
        <f>IFERROR(IF(IFERROR(INDEX(Рецепты!$H$6:$H$85,MATCH(Меню!$D$10,Рецепты!$H$6:$H$85,0)+17)=Меню!$D$10,FALSE),INDEX(Рецепты!$N$6:$N$85,MATCH(Меню!$D$10,Рецепты!$H$6:$H$85,0)+17),""),"")</f>
        <v/>
      </c>
    </row>
    <row r="124" spans="1:15">
      <c r="A124" s="3" t="str">
        <f>IF($E124="","",Меню!$A$10)</f>
        <v/>
      </c>
      <c r="B124" s="3" t="str">
        <f>IF($E124="","",Меню!$B$10)</f>
        <v/>
      </c>
      <c r="C124" s="3" t="str">
        <f>IF($E124="","",Меню!$C$10)</f>
        <v/>
      </c>
      <c r="D124" s="3" t="str">
        <f>IF($E124="","",Меню!$D$10)</f>
        <v/>
      </c>
      <c r="E124" s="3" t="str">
        <f>IFERROR(IF(IFERROR(INDEX(Рецепты!$H$6:$H$85,MATCH(Меню!$D$10,Рецепты!$H$6:$H$85,0)+18)=Меню!$D$10,FALSE),INDEX(Рецепты!$J$6:$J$85,MATCH(Меню!$D$10,Рецепты!$H$6:$H$85,0)+18),""),"")</f>
        <v/>
      </c>
      <c r="F124" s="3" t="str">
        <f>IF($E124="","",INDEX(Рецепты!$K$6:$K$85,MATCH(Меню!$D$10,Рецепты!$H$6:$H$85,0)+18))</f>
        <v/>
      </c>
      <c r="G124" s="3" t="str">
        <f>IF($E124="","",INDEX(Рецепты!$M$6:$M$85,MATCH(Меню!$D$10,Рецепты!$H$6:$H$85,0)+18))</f>
        <v/>
      </c>
      <c r="H124" s="12">
        <f>IFERROR(IF(IFERROR(INDEX(Рецепты!$H$6:$H$85,MATCH(Меню!$D$10,Рецепты!$H$6:$H$85,0)+18)=Меню!$D$10,FALSE),INDEX(Рецепты!$L$6:$L$85,MATCH(Меню!$D$10,Рецепты!$H$6:$H$85,0)+18),0),0)</f>
        <v>0</v>
      </c>
      <c r="I124" s="12" t="str">
        <f>IF($F124="","",Меню!$E$10)</f>
        <v/>
      </c>
      <c r="J124" s="12">
        <f t="shared" si="1"/>
        <v>0</v>
      </c>
      <c r="K124" s="12">
        <f>IFERROR($J124/100*INDEX(Продукты!$G$6:$G$66,MATCH($E124,Продукты!$A$6:$A$66,0)),0)</f>
        <v>0</v>
      </c>
      <c r="L124" s="12">
        <f>IFERROR($J124/100*INDEX(Продукты!$H$6:$H$66,MATCH($E124,Продукты!$A$6:$A$66,0)),0)</f>
        <v>0</v>
      </c>
      <c r="M124" s="12">
        <f>IFERROR($J124/100*INDEX(Продукты!$I$6:$I$66,MATCH($E124,Продукты!$A$6:$A$66,0)),0)</f>
        <v>0</v>
      </c>
      <c r="N124" s="12">
        <f>IFERROR($J124/100*INDEX(Продукты!$J$6:$J$66,MATCH($E124,Продукты!$A$6:$A$66,0)),0)</f>
        <v>0</v>
      </c>
      <c r="O124" s="3" t="str">
        <f>IFERROR(IF(IFERROR(INDEX(Рецепты!$H$6:$H$85,MATCH(Меню!$D$10,Рецепты!$H$6:$H$85,0)+18)=Меню!$D$10,FALSE),INDEX(Рецепты!$N$6:$N$85,MATCH(Меню!$D$10,Рецепты!$H$6:$H$85,0)+18),""),"")</f>
        <v/>
      </c>
    </row>
    <row r="125" spans="1:15">
      <c r="A125" s="3" t="str">
        <f>IF($E125="","",Меню!$A$10)</f>
        <v/>
      </c>
      <c r="B125" s="3" t="str">
        <f>IF($E125="","",Меню!$B$10)</f>
        <v/>
      </c>
      <c r="C125" s="3" t="str">
        <f>IF($E125="","",Меню!$C$10)</f>
        <v/>
      </c>
      <c r="D125" s="3" t="str">
        <f>IF($E125="","",Меню!$D$10)</f>
        <v/>
      </c>
      <c r="E125" s="3" t="str">
        <f>IFERROR(IF(IFERROR(INDEX(Рецепты!$H$6:$H$85,MATCH(Меню!$D$10,Рецепты!$H$6:$H$85,0)+19)=Меню!$D$10,FALSE),INDEX(Рецепты!$J$6:$J$85,MATCH(Меню!$D$10,Рецепты!$H$6:$H$85,0)+19),""),"")</f>
        <v/>
      </c>
      <c r="F125" s="3" t="str">
        <f>IF($E125="","",INDEX(Рецепты!$K$6:$K$85,MATCH(Меню!$D$10,Рецепты!$H$6:$H$85,0)+19))</f>
        <v/>
      </c>
      <c r="G125" s="3" t="str">
        <f>IF($E125="","",INDEX(Рецепты!$M$6:$M$85,MATCH(Меню!$D$10,Рецепты!$H$6:$H$85,0)+19))</f>
        <v/>
      </c>
      <c r="H125" s="12">
        <f>IFERROR(IF(IFERROR(INDEX(Рецепты!$H$6:$H$85,MATCH(Меню!$D$10,Рецепты!$H$6:$H$85,0)+19)=Меню!$D$10,FALSE),INDEX(Рецепты!$L$6:$L$85,MATCH(Меню!$D$10,Рецепты!$H$6:$H$85,0)+19),0),0)</f>
        <v>0</v>
      </c>
      <c r="I125" s="12" t="str">
        <f>IF($F125="","",Меню!$E$10)</f>
        <v/>
      </c>
      <c r="J125" s="12">
        <f t="shared" si="1"/>
        <v>0</v>
      </c>
      <c r="K125" s="12">
        <f>IFERROR($J125/100*INDEX(Продукты!$G$6:$G$66,MATCH($E125,Продукты!$A$6:$A$66,0)),0)</f>
        <v>0</v>
      </c>
      <c r="L125" s="12">
        <f>IFERROR($J125/100*INDEX(Продукты!$H$6:$H$66,MATCH($E125,Продукты!$A$6:$A$66,0)),0)</f>
        <v>0</v>
      </c>
      <c r="M125" s="12">
        <f>IFERROR($J125/100*INDEX(Продукты!$I$6:$I$66,MATCH($E125,Продукты!$A$6:$A$66,0)),0)</f>
        <v>0</v>
      </c>
      <c r="N125" s="12">
        <f>IFERROR($J125/100*INDEX(Продукты!$J$6:$J$66,MATCH($E125,Продукты!$A$6:$A$66,0)),0)</f>
        <v>0</v>
      </c>
      <c r="O125" s="3" t="str">
        <f>IFERROR(IF(IFERROR(INDEX(Рецепты!$H$6:$H$85,MATCH(Меню!$D$10,Рецепты!$H$6:$H$85,0)+19)=Меню!$D$10,FALSE),INDEX(Рецепты!$N$6:$N$85,MATCH(Меню!$D$10,Рецепты!$H$6:$H$85,0)+19),""),"")</f>
        <v/>
      </c>
    </row>
    <row r="126" spans="1:15">
      <c r="A126" s="3" t="str">
        <f>IF($E126="","",Меню!$A$10)</f>
        <v/>
      </c>
      <c r="B126" s="3" t="str">
        <f>IF($E126="","",Меню!$B$10)</f>
        <v/>
      </c>
      <c r="C126" s="3" t="str">
        <f>IF($E126="","",Меню!$C$10)</f>
        <v/>
      </c>
      <c r="D126" s="3" t="str">
        <f>IF($E126="","",Меню!$D$10)</f>
        <v/>
      </c>
      <c r="E126" s="3" t="str">
        <f>IFERROR(IF(IFERROR(INDEX(Рецепты!$H$6:$H$85,MATCH(Меню!$D$10,Рецепты!$H$6:$H$85,0)+20)=Меню!$D$10,FALSE),INDEX(Рецепты!$J$6:$J$85,MATCH(Меню!$D$10,Рецепты!$H$6:$H$85,0)+20),""),"")</f>
        <v/>
      </c>
      <c r="F126" s="3" t="str">
        <f>IF($E126="","",INDEX(Рецепты!$K$6:$K$85,MATCH(Меню!$D$10,Рецепты!$H$6:$H$85,0)+20))</f>
        <v/>
      </c>
      <c r="G126" s="3" t="str">
        <f>IF($E126="","",INDEX(Рецепты!$M$6:$M$85,MATCH(Меню!$D$10,Рецепты!$H$6:$H$85,0)+20))</f>
        <v/>
      </c>
      <c r="H126" s="12">
        <f>IFERROR(IF(IFERROR(INDEX(Рецепты!$H$6:$H$85,MATCH(Меню!$D$10,Рецепты!$H$6:$H$85,0)+20)=Меню!$D$10,FALSE),INDEX(Рецепты!$L$6:$L$85,MATCH(Меню!$D$10,Рецепты!$H$6:$H$85,0)+20),0),0)</f>
        <v>0</v>
      </c>
      <c r="I126" s="12" t="str">
        <f>IF($F126="","",Меню!$E$10)</f>
        <v/>
      </c>
      <c r="J126" s="12">
        <f t="shared" si="1"/>
        <v>0</v>
      </c>
      <c r="K126" s="12">
        <f>IFERROR($J126/100*INDEX(Продукты!$G$6:$G$66,MATCH($E126,Продукты!$A$6:$A$66,0)),0)</f>
        <v>0</v>
      </c>
      <c r="L126" s="12">
        <f>IFERROR($J126/100*INDEX(Продукты!$H$6:$H$66,MATCH($E126,Продукты!$A$6:$A$66,0)),0)</f>
        <v>0</v>
      </c>
      <c r="M126" s="12">
        <f>IFERROR($J126/100*INDEX(Продукты!$I$6:$I$66,MATCH($E126,Продукты!$A$6:$A$66,0)),0)</f>
        <v>0</v>
      </c>
      <c r="N126" s="12">
        <f>IFERROR($J126/100*INDEX(Продукты!$J$6:$J$66,MATCH($E126,Продукты!$A$6:$A$66,0)),0)</f>
        <v>0</v>
      </c>
      <c r="O126" s="3" t="str">
        <f>IFERROR(IF(IFERROR(INDEX(Рецепты!$H$6:$H$85,MATCH(Меню!$D$10,Рецепты!$H$6:$H$85,0)+20)=Меню!$D$10,FALSE),INDEX(Рецепты!$N$6:$N$85,MATCH(Меню!$D$10,Рецепты!$H$6:$H$85,0)+20),""),"")</f>
        <v/>
      </c>
    </row>
    <row r="127" spans="1:15">
      <c r="A127" s="3" t="str">
        <f>IF($E127="","",Меню!$A$10)</f>
        <v/>
      </c>
      <c r="B127" s="3" t="str">
        <f>IF($E127="","",Меню!$B$10)</f>
        <v/>
      </c>
      <c r="C127" s="3" t="str">
        <f>IF($E127="","",Меню!$C$10)</f>
        <v/>
      </c>
      <c r="D127" s="3" t="str">
        <f>IF($E127="","",Меню!$D$10)</f>
        <v/>
      </c>
      <c r="E127" s="3" t="str">
        <f>IFERROR(IF(IFERROR(INDEX(Рецепты!$H$6:$H$85,MATCH(Меню!$D$10,Рецепты!$H$6:$H$85,0)+21)=Меню!$D$10,FALSE),INDEX(Рецепты!$J$6:$J$85,MATCH(Меню!$D$10,Рецепты!$H$6:$H$85,0)+21),""),"")</f>
        <v/>
      </c>
      <c r="F127" s="3" t="str">
        <f>IF($E127="","",INDEX(Рецепты!$K$6:$K$85,MATCH(Меню!$D$10,Рецепты!$H$6:$H$85,0)+21))</f>
        <v/>
      </c>
      <c r="G127" s="3" t="str">
        <f>IF($E127="","",INDEX(Рецепты!$M$6:$M$85,MATCH(Меню!$D$10,Рецепты!$H$6:$H$85,0)+21))</f>
        <v/>
      </c>
      <c r="H127" s="12">
        <f>IFERROR(IF(IFERROR(INDEX(Рецепты!$H$6:$H$85,MATCH(Меню!$D$10,Рецепты!$H$6:$H$85,0)+21)=Меню!$D$10,FALSE),INDEX(Рецепты!$L$6:$L$85,MATCH(Меню!$D$10,Рецепты!$H$6:$H$85,0)+21),0),0)</f>
        <v>0</v>
      </c>
      <c r="I127" s="12" t="str">
        <f>IF($F127="","",Меню!$E$10)</f>
        <v/>
      </c>
      <c r="J127" s="12">
        <f t="shared" si="1"/>
        <v>0</v>
      </c>
      <c r="K127" s="12">
        <f>IFERROR($J127/100*INDEX(Продукты!$G$6:$G$66,MATCH($E127,Продукты!$A$6:$A$66,0)),0)</f>
        <v>0</v>
      </c>
      <c r="L127" s="12">
        <f>IFERROR($J127/100*INDEX(Продукты!$H$6:$H$66,MATCH($E127,Продукты!$A$6:$A$66,0)),0)</f>
        <v>0</v>
      </c>
      <c r="M127" s="12">
        <f>IFERROR($J127/100*INDEX(Продукты!$I$6:$I$66,MATCH($E127,Продукты!$A$6:$A$66,0)),0)</f>
        <v>0</v>
      </c>
      <c r="N127" s="12">
        <f>IFERROR($J127/100*INDEX(Продукты!$J$6:$J$66,MATCH($E127,Продукты!$A$6:$A$66,0)),0)</f>
        <v>0</v>
      </c>
      <c r="O127" s="3" t="str">
        <f>IFERROR(IF(IFERROR(INDEX(Рецепты!$H$6:$H$85,MATCH(Меню!$D$10,Рецепты!$H$6:$H$85,0)+21)=Меню!$D$10,FALSE),INDEX(Рецепты!$N$6:$N$85,MATCH(Меню!$D$10,Рецепты!$H$6:$H$85,0)+21),""),"")</f>
        <v/>
      </c>
    </row>
    <row r="128" spans="1:15">
      <c r="A128" s="3" t="str">
        <f>IF($E128="","",Меню!$A$10)</f>
        <v/>
      </c>
      <c r="B128" s="3" t="str">
        <f>IF($E128="","",Меню!$B$10)</f>
        <v/>
      </c>
      <c r="C128" s="3" t="str">
        <f>IF($E128="","",Меню!$C$10)</f>
        <v/>
      </c>
      <c r="D128" s="3" t="str">
        <f>IF($E128="","",Меню!$D$10)</f>
        <v/>
      </c>
      <c r="E128" s="3" t="str">
        <f>IFERROR(IF(IFERROR(INDEX(Рецепты!$H$6:$H$85,MATCH(Меню!$D$10,Рецепты!$H$6:$H$85,0)+22)=Меню!$D$10,FALSE),INDEX(Рецепты!$J$6:$J$85,MATCH(Меню!$D$10,Рецепты!$H$6:$H$85,0)+22),""),"")</f>
        <v/>
      </c>
      <c r="F128" s="3" t="str">
        <f>IF($E128="","",INDEX(Рецепты!$K$6:$K$85,MATCH(Меню!$D$10,Рецепты!$H$6:$H$85,0)+22))</f>
        <v/>
      </c>
      <c r="G128" s="3" t="str">
        <f>IF($E128="","",INDEX(Рецепты!$M$6:$M$85,MATCH(Меню!$D$10,Рецепты!$H$6:$H$85,0)+22))</f>
        <v/>
      </c>
      <c r="H128" s="12">
        <f>IFERROR(IF(IFERROR(INDEX(Рецепты!$H$6:$H$85,MATCH(Меню!$D$10,Рецепты!$H$6:$H$85,0)+22)=Меню!$D$10,FALSE),INDEX(Рецепты!$L$6:$L$85,MATCH(Меню!$D$10,Рецепты!$H$6:$H$85,0)+22),0),0)</f>
        <v>0</v>
      </c>
      <c r="I128" s="12" t="str">
        <f>IF($F128="","",Меню!$E$10)</f>
        <v/>
      </c>
      <c r="J128" s="12">
        <f t="shared" si="1"/>
        <v>0</v>
      </c>
      <c r="K128" s="12">
        <f>IFERROR($J128/100*INDEX(Продукты!$G$6:$G$66,MATCH($E128,Продукты!$A$6:$A$66,0)),0)</f>
        <v>0</v>
      </c>
      <c r="L128" s="12">
        <f>IFERROR($J128/100*INDEX(Продукты!$H$6:$H$66,MATCH($E128,Продукты!$A$6:$A$66,0)),0)</f>
        <v>0</v>
      </c>
      <c r="M128" s="12">
        <f>IFERROR($J128/100*INDEX(Продукты!$I$6:$I$66,MATCH($E128,Продукты!$A$6:$A$66,0)),0)</f>
        <v>0</v>
      </c>
      <c r="N128" s="12">
        <f>IFERROR($J128/100*INDEX(Продукты!$J$6:$J$66,MATCH($E128,Продукты!$A$6:$A$66,0)),0)</f>
        <v>0</v>
      </c>
      <c r="O128" s="3" t="str">
        <f>IFERROR(IF(IFERROR(INDEX(Рецепты!$H$6:$H$85,MATCH(Меню!$D$10,Рецепты!$H$6:$H$85,0)+22)=Меню!$D$10,FALSE),INDEX(Рецепты!$N$6:$N$85,MATCH(Меню!$D$10,Рецепты!$H$6:$H$85,0)+22),""),"")</f>
        <v/>
      </c>
    </row>
    <row r="129" spans="1:15">
      <c r="A129" s="3" t="str">
        <f>IF($E129="","",Меню!$A$10)</f>
        <v/>
      </c>
      <c r="B129" s="3" t="str">
        <f>IF($E129="","",Меню!$B$10)</f>
        <v/>
      </c>
      <c r="C129" s="3" t="str">
        <f>IF($E129="","",Меню!$C$10)</f>
        <v/>
      </c>
      <c r="D129" s="3" t="str">
        <f>IF($E129="","",Меню!$D$10)</f>
        <v/>
      </c>
      <c r="E129" s="3" t="str">
        <f>IFERROR(IF(IFERROR(INDEX(Рецепты!$H$6:$H$85,MATCH(Меню!$D$10,Рецепты!$H$6:$H$85,0)+23)=Меню!$D$10,FALSE),INDEX(Рецепты!$J$6:$J$85,MATCH(Меню!$D$10,Рецепты!$H$6:$H$85,0)+23),""),"")</f>
        <v/>
      </c>
      <c r="F129" s="3" t="str">
        <f>IF($E129="","",INDEX(Рецепты!$K$6:$K$85,MATCH(Меню!$D$10,Рецепты!$H$6:$H$85,0)+23))</f>
        <v/>
      </c>
      <c r="G129" s="3" t="str">
        <f>IF($E129="","",INDEX(Рецепты!$M$6:$M$85,MATCH(Меню!$D$10,Рецепты!$H$6:$H$85,0)+23))</f>
        <v/>
      </c>
      <c r="H129" s="12">
        <f>IFERROR(IF(IFERROR(INDEX(Рецепты!$H$6:$H$85,MATCH(Меню!$D$10,Рецепты!$H$6:$H$85,0)+23)=Меню!$D$10,FALSE),INDEX(Рецепты!$L$6:$L$85,MATCH(Меню!$D$10,Рецепты!$H$6:$H$85,0)+23),0),0)</f>
        <v>0</v>
      </c>
      <c r="I129" s="12" t="str">
        <f>IF($F129="","",Меню!$E$10)</f>
        <v/>
      </c>
      <c r="J129" s="12">
        <f t="shared" si="1"/>
        <v>0</v>
      </c>
      <c r="K129" s="12">
        <f>IFERROR($J129/100*INDEX(Продукты!$G$6:$G$66,MATCH($E129,Продукты!$A$6:$A$66,0)),0)</f>
        <v>0</v>
      </c>
      <c r="L129" s="12">
        <f>IFERROR($J129/100*INDEX(Продукты!$H$6:$H$66,MATCH($E129,Продукты!$A$6:$A$66,0)),0)</f>
        <v>0</v>
      </c>
      <c r="M129" s="12">
        <f>IFERROR($J129/100*INDEX(Продукты!$I$6:$I$66,MATCH($E129,Продукты!$A$6:$A$66,0)),0)</f>
        <v>0</v>
      </c>
      <c r="N129" s="12">
        <f>IFERROR($J129/100*INDEX(Продукты!$J$6:$J$66,MATCH($E129,Продукты!$A$6:$A$66,0)),0)</f>
        <v>0</v>
      </c>
      <c r="O129" s="3" t="str">
        <f>IFERROR(IF(IFERROR(INDEX(Рецепты!$H$6:$H$85,MATCH(Меню!$D$10,Рецепты!$H$6:$H$85,0)+23)=Меню!$D$10,FALSE),INDEX(Рецепты!$N$6:$N$85,MATCH(Меню!$D$10,Рецепты!$H$6:$H$85,0)+23),""),"")</f>
        <v/>
      </c>
    </row>
    <row r="130" spans="1:15">
      <c r="A130" s="3" t="str">
        <f>IF($E130="","",Меню!$A$10)</f>
        <v/>
      </c>
      <c r="B130" s="3" t="str">
        <f>IF($E130="","",Меню!$B$10)</f>
        <v/>
      </c>
      <c r="C130" s="3" t="str">
        <f>IF($E130="","",Меню!$C$10)</f>
        <v/>
      </c>
      <c r="D130" s="3" t="str">
        <f>IF($E130="","",Меню!$D$10)</f>
        <v/>
      </c>
      <c r="E130" s="3" t="str">
        <f>IFERROR(IF(IFERROR(INDEX(Рецепты!$H$6:$H$85,MATCH(Меню!$D$10,Рецепты!$H$6:$H$85,0)+24)=Меню!$D$10,FALSE),INDEX(Рецепты!$J$6:$J$85,MATCH(Меню!$D$10,Рецепты!$H$6:$H$85,0)+24),""),"")</f>
        <v/>
      </c>
      <c r="F130" s="3" t="str">
        <f>IF($E130="","",INDEX(Рецепты!$K$6:$K$85,MATCH(Меню!$D$10,Рецепты!$H$6:$H$85,0)+24))</f>
        <v/>
      </c>
      <c r="G130" s="3" t="str">
        <f>IF($E130="","",INDEX(Рецепты!$M$6:$M$85,MATCH(Меню!$D$10,Рецепты!$H$6:$H$85,0)+24))</f>
        <v/>
      </c>
      <c r="H130" s="12">
        <f>IFERROR(IF(IFERROR(INDEX(Рецепты!$H$6:$H$85,MATCH(Меню!$D$10,Рецепты!$H$6:$H$85,0)+24)=Меню!$D$10,FALSE),INDEX(Рецепты!$L$6:$L$85,MATCH(Меню!$D$10,Рецепты!$H$6:$H$85,0)+24),0),0)</f>
        <v>0</v>
      </c>
      <c r="I130" s="12" t="str">
        <f>IF($F130="","",Меню!$E$10)</f>
        <v/>
      </c>
      <c r="J130" s="12">
        <f t="shared" si="1"/>
        <v>0</v>
      </c>
      <c r="K130" s="12">
        <f>IFERROR($J130/100*INDEX(Продукты!$G$6:$G$66,MATCH($E130,Продукты!$A$6:$A$66,0)),0)</f>
        <v>0</v>
      </c>
      <c r="L130" s="12">
        <f>IFERROR($J130/100*INDEX(Продукты!$H$6:$H$66,MATCH($E130,Продукты!$A$6:$A$66,0)),0)</f>
        <v>0</v>
      </c>
      <c r="M130" s="12">
        <f>IFERROR($J130/100*INDEX(Продукты!$I$6:$I$66,MATCH($E130,Продукты!$A$6:$A$66,0)),0)</f>
        <v>0</v>
      </c>
      <c r="N130" s="12">
        <f>IFERROR($J130/100*INDEX(Продукты!$J$6:$J$66,MATCH($E130,Продукты!$A$6:$A$66,0)),0)</f>
        <v>0</v>
      </c>
      <c r="O130" s="3" t="str">
        <f>IFERROR(IF(IFERROR(INDEX(Рецепты!$H$6:$H$85,MATCH(Меню!$D$10,Рецепты!$H$6:$H$85,0)+24)=Меню!$D$10,FALSE),INDEX(Рецепты!$N$6:$N$85,MATCH(Меню!$D$10,Рецепты!$H$6:$H$85,0)+24),""),"")</f>
        <v/>
      </c>
    </row>
    <row r="131" spans="1:15">
      <c r="A131" s="3" t="str">
        <f>IF($E131="","",Меню!$A$11)</f>
        <v/>
      </c>
      <c r="B131" s="3" t="str">
        <f>IF($E131="","",Меню!$B$11)</f>
        <v/>
      </c>
      <c r="C131" s="3" t="str">
        <f>IF($E131="","",Меню!$C$11)</f>
        <v/>
      </c>
      <c r="D131" s="3" t="str">
        <f>IF($E131="","",Меню!$D$11)</f>
        <v/>
      </c>
      <c r="E131" s="3" t="str">
        <f>IFERROR(IF(IFERROR(INDEX(Рецепты!$H$6:$H$85,MATCH(Меню!$D$11,Рецепты!$H$6:$H$85,0)+0)=Меню!$D$11,FALSE),INDEX(Рецепты!$J$6:$J$85,MATCH(Меню!$D$11,Рецепты!$H$6:$H$85,0)+0),""),"")</f>
        <v/>
      </c>
      <c r="F131" s="3" t="str">
        <f>IF($E131="","",INDEX(Рецепты!$K$6:$K$85,MATCH(Меню!$D$11,Рецепты!$H$6:$H$85,0)+0))</f>
        <v/>
      </c>
      <c r="G131" s="3" t="str">
        <f>IF($E131="","",INDEX(Рецепты!$M$6:$M$85,MATCH(Меню!$D$11,Рецепты!$H$6:$H$85,0)+0))</f>
        <v/>
      </c>
      <c r="H131" s="12">
        <f>IFERROR(IF(IFERROR(INDEX(Рецепты!$H$6:$H$85,MATCH(Меню!$D$11,Рецепты!$H$6:$H$85,0)+0)=Меню!$D$11,FALSE),INDEX(Рецепты!$L$6:$L$85,MATCH(Меню!$D$11,Рецепты!$H$6:$H$85,0)+0),0),0)</f>
        <v>0</v>
      </c>
      <c r="I131" s="12" t="str">
        <f>IF($F131="","",Меню!$E$11)</f>
        <v/>
      </c>
      <c r="J131" s="12">
        <f t="shared" si="1"/>
        <v>0</v>
      </c>
      <c r="K131" s="12">
        <f>IFERROR($J131/100*INDEX(Продукты!$G$6:$G$66,MATCH($E131,Продукты!$A$6:$A$66,0)),0)</f>
        <v>0</v>
      </c>
      <c r="L131" s="12">
        <f>IFERROR($J131/100*INDEX(Продукты!$H$6:$H$66,MATCH($E131,Продукты!$A$6:$A$66,0)),0)</f>
        <v>0</v>
      </c>
      <c r="M131" s="12">
        <f>IFERROR($J131/100*INDEX(Продукты!$I$6:$I$66,MATCH($E131,Продукты!$A$6:$A$66,0)),0)</f>
        <v>0</v>
      </c>
      <c r="N131" s="12">
        <f>IFERROR($J131/100*INDEX(Продукты!$J$6:$J$66,MATCH($E131,Продукты!$A$6:$A$66,0)),0)</f>
        <v>0</v>
      </c>
      <c r="O131" s="3" t="str">
        <f>IFERROR(IF(IFERROR(INDEX(Рецепты!$H$6:$H$85,MATCH(Меню!$D$11,Рецепты!$H$6:$H$85,0)+0)=Меню!$D$11,FALSE),INDEX(Рецепты!$N$6:$N$85,MATCH(Меню!$D$11,Рецепты!$H$6:$H$85,0)+0),""),"")</f>
        <v/>
      </c>
    </row>
    <row r="132" spans="1:15">
      <c r="A132" s="3" t="str">
        <f>IF($E132="","",Меню!$A$11)</f>
        <v/>
      </c>
      <c r="B132" s="3" t="str">
        <f>IF($E132="","",Меню!$B$11)</f>
        <v/>
      </c>
      <c r="C132" s="3" t="str">
        <f>IF($E132="","",Меню!$C$11)</f>
        <v/>
      </c>
      <c r="D132" s="3" t="str">
        <f>IF($E132="","",Меню!$D$11)</f>
        <v/>
      </c>
      <c r="E132" s="3" t="str">
        <f>IFERROR(IF(IFERROR(INDEX(Рецепты!$H$6:$H$85,MATCH(Меню!$D$11,Рецепты!$H$6:$H$85,0)+1)=Меню!$D$11,FALSE),INDEX(Рецепты!$J$6:$J$85,MATCH(Меню!$D$11,Рецепты!$H$6:$H$85,0)+1),""),"")</f>
        <v/>
      </c>
      <c r="F132" s="3" t="str">
        <f>IF($E132="","",INDEX(Рецепты!$K$6:$K$85,MATCH(Меню!$D$11,Рецепты!$H$6:$H$85,0)+1))</f>
        <v/>
      </c>
      <c r="G132" s="3" t="str">
        <f>IF($E132="","",INDEX(Рецепты!$M$6:$M$85,MATCH(Меню!$D$11,Рецепты!$H$6:$H$85,0)+1))</f>
        <v/>
      </c>
      <c r="H132" s="12">
        <f>IFERROR(IF(IFERROR(INDEX(Рецепты!$H$6:$H$85,MATCH(Меню!$D$11,Рецепты!$H$6:$H$85,0)+1)=Меню!$D$11,FALSE),INDEX(Рецепты!$L$6:$L$85,MATCH(Меню!$D$11,Рецепты!$H$6:$H$85,0)+1),0),0)</f>
        <v>0</v>
      </c>
      <c r="I132" s="12" t="str">
        <f>IF($F132="","",Меню!$E$11)</f>
        <v/>
      </c>
      <c r="J132" s="12">
        <f t="shared" si="1"/>
        <v>0</v>
      </c>
      <c r="K132" s="12">
        <f>IFERROR($J132/100*INDEX(Продукты!$G$6:$G$66,MATCH($E132,Продукты!$A$6:$A$66,0)),0)</f>
        <v>0</v>
      </c>
      <c r="L132" s="12">
        <f>IFERROR($J132/100*INDEX(Продукты!$H$6:$H$66,MATCH($E132,Продукты!$A$6:$A$66,0)),0)</f>
        <v>0</v>
      </c>
      <c r="M132" s="12">
        <f>IFERROR($J132/100*INDEX(Продукты!$I$6:$I$66,MATCH($E132,Продукты!$A$6:$A$66,0)),0)</f>
        <v>0</v>
      </c>
      <c r="N132" s="12">
        <f>IFERROR($J132/100*INDEX(Продукты!$J$6:$J$66,MATCH($E132,Продукты!$A$6:$A$66,0)),0)</f>
        <v>0</v>
      </c>
      <c r="O132" s="3" t="str">
        <f>IFERROR(IF(IFERROR(INDEX(Рецепты!$H$6:$H$85,MATCH(Меню!$D$11,Рецепты!$H$6:$H$85,0)+1)=Меню!$D$11,FALSE),INDEX(Рецепты!$N$6:$N$85,MATCH(Меню!$D$11,Рецепты!$H$6:$H$85,0)+1),""),"")</f>
        <v/>
      </c>
    </row>
    <row r="133" spans="1:15">
      <c r="A133" s="3" t="str">
        <f>IF($E133="","",Меню!$A$11)</f>
        <v/>
      </c>
      <c r="B133" s="3" t="str">
        <f>IF($E133="","",Меню!$B$11)</f>
        <v/>
      </c>
      <c r="C133" s="3" t="str">
        <f>IF($E133="","",Меню!$C$11)</f>
        <v/>
      </c>
      <c r="D133" s="3" t="str">
        <f>IF($E133="","",Меню!$D$11)</f>
        <v/>
      </c>
      <c r="E133" s="3" t="str">
        <f>IFERROR(IF(IFERROR(INDEX(Рецепты!$H$6:$H$85,MATCH(Меню!$D$11,Рецепты!$H$6:$H$85,0)+2)=Меню!$D$11,FALSE),INDEX(Рецепты!$J$6:$J$85,MATCH(Меню!$D$11,Рецепты!$H$6:$H$85,0)+2),""),"")</f>
        <v/>
      </c>
      <c r="F133" s="3" t="str">
        <f>IF($E133="","",INDEX(Рецепты!$K$6:$K$85,MATCH(Меню!$D$11,Рецепты!$H$6:$H$85,0)+2))</f>
        <v/>
      </c>
      <c r="G133" s="3" t="str">
        <f>IF($E133="","",INDEX(Рецепты!$M$6:$M$85,MATCH(Меню!$D$11,Рецепты!$H$6:$H$85,0)+2))</f>
        <v/>
      </c>
      <c r="H133" s="12">
        <f>IFERROR(IF(IFERROR(INDEX(Рецепты!$H$6:$H$85,MATCH(Меню!$D$11,Рецепты!$H$6:$H$85,0)+2)=Меню!$D$11,FALSE),INDEX(Рецепты!$L$6:$L$85,MATCH(Меню!$D$11,Рецепты!$H$6:$H$85,0)+2),0),0)</f>
        <v>0</v>
      </c>
      <c r="I133" s="12" t="str">
        <f>IF($F133="","",Меню!$E$11)</f>
        <v/>
      </c>
      <c r="J133" s="12">
        <f t="shared" si="1"/>
        <v>0</v>
      </c>
      <c r="K133" s="12">
        <f>IFERROR($J133/100*INDEX(Продукты!$G$6:$G$66,MATCH($E133,Продукты!$A$6:$A$66,0)),0)</f>
        <v>0</v>
      </c>
      <c r="L133" s="12">
        <f>IFERROR($J133/100*INDEX(Продукты!$H$6:$H$66,MATCH($E133,Продукты!$A$6:$A$66,0)),0)</f>
        <v>0</v>
      </c>
      <c r="M133" s="12">
        <f>IFERROR($J133/100*INDEX(Продукты!$I$6:$I$66,MATCH($E133,Продукты!$A$6:$A$66,0)),0)</f>
        <v>0</v>
      </c>
      <c r="N133" s="12">
        <f>IFERROR($J133/100*INDEX(Продукты!$J$6:$J$66,MATCH($E133,Продукты!$A$6:$A$66,0)),0)</f>
        <v>0</v>
      </c>
      <c r="O133" s="3" t="str">
        <f>IFERROR(IF(IFERROR(INDEX(Рецепты!$H$6:$H$85,MATCH(Меню!$D$11,Рецепты!$H$6:$H$85,0)+2)=Меню!$D$11,FALSE),INDEX(Рецепты!$N$6:$N$85,MATCH(Меню!$D$11,Рецепты!$H$6:$H$85,0)+2),""),"")</f>
        <v/>
      </c>
    </row>
    <row r="134" spans="1:15">
      <c r="A134" s="3" t="str">
        <f>IF($E134="","",Меню!$A$11)</f>
        <v/>
      </c>
      <c r="B134" s="3" t="str">
        <f>IF($E134="","",Меню!$B$11)</f>
        <v/>
      </c>
      <c r="C134" s="3" t="str">
        <f>IF($E134="","",Меню!$C$11)</f>
        <v/>
      </c>
      <c r="D134" s="3" t="str">
        <f>IF($E134="","",Меню!$D$11)</f>
        <v/>
      </c>
      <c r="E134" s="3" t="str">
        <f>IFERROR(IF(IFERROR(INDEX(Рецепты!$H$6:$H$85,MATCH(Меню!$D$11,Рецепты!$H$6:$H$85,0)+3)=Меню!$D$11,FALSE),INDEX(Рецепты!$J$6:$J$85,MATCH(Меню!$D$11,Рецепты!$H$6:$H$85,0)+3),""),"")</f>
        <v/>
      </c>
      <c r="F134" s="3" t="str">
        <f>IF($E134="","",INDEX(Рецепты!$K$6:$K$85,MATCH(Меню!$D$11,Рецепты!$H$6:$H$85,0)+3))</f>
        <v/>
      </c>
      <c r="G134" s="3" t="str">
        <f>IF($E134="","",INDEX(Рецепты!$M$6:$M$85,MATCH(Меню!$D$11,Рецепты!$H$6:$H$85,0)+3))</f>
        <v/>
      </c>
      <c r="H134" s="12">
        <f>IFERROR(IF(IFERROR(INDEX(Рецепты!$H$6:$H$85,MATCH(Меню!$D$11,Рецепты!$H$6:$H$85,0)+3)=Меню!$D$11,FALSE),INDEX(Рецепты!$L$6:$L$85,MATCH(Меню!$D$11,Рецепты!$H$6:$H$85,0)+3),0),0)</f>
        <v>0</v>
      </c>
      <c r="I134" s="12" t="str">
        <f>IF($F134="","",Меню!$E$11)</f>
        <v/>
      </c>
      <c r="J134" s="12">
        <f t="shared" ref="J134:J197" si="2">IFERROR($H134*$I134,0)</f>
        <v>0</v>
      </c>
      <c r="K134" s="12">
        <f>IFERROR($J134/100*INDEX(Продукты!$G$6:$G$66,MATCH($E134,Продукты!$A$6:$A$66,0)),0)</f>
        <v>0</v>
      </c>
      <c r="L134" s="12">
        <f>IFERROR($J134/100*INDEX(Продукты!$H$6:$H$66,MATCH($E134,Продукты!$A$6:$A$66,0)),0)</f>
        <v>0</v>
      </c>
      <c r="M134" s="12">
        <f>IFERROR($J134/100*INDEX(Продукты!$I$6:$I$66,MATCH($E134,Продукты!$A$6:$A$66,0)),0)</f>
        <v>0</v>
      </c>
      <c r="N134" s="12">
        <f>IFERROR($J134/100*INDEX(Продукты!$J$6:$J$66,MATCH($E134,Продукты!$A$6:$A$66,0)),0)</f>
        <v>0</v>
      </c>
      <c r="O134" s="3" t="str">
        <f>IFERROR(IF(IFERROR(INDEX(Рецепты!$H$6:$H$85,MATCH(Меню!$D$11,Рецепты!$H$6:$H$85,0)+3)=Меню!$D$11,FALSE),INDEX(Рецепты!$N$6:$N$85,MATCH(Меню!$D$11,Рецепты!$H$6:$H$85,0)+3),""),"")</f>
        <v/>
      </c>
    </row>
    <row r="135" spans="1:15">
      <c r="A135" s="3" t="str">
        <f>IF($E135="","",Меню!$A$11)</f>
        <v/>
      </c>
      <c r="B135" s="3" t="str">
        <f>IF($E135="","",Меню!$B$11)</f>
        <v/>
      </c>
      <c r="C135" s="3" t="str">
        <f>IF($E135="","",Меню!$C$11)</f>
        <v/>
      </c>
      <c r="D135" s="3" t="str">
        <f>IF($E135="","",Меню!$D$11)</f>
        <v/>
      </c>
      <c r="E135" s="3" t="str">
        <f>IFERROR(IF(IFERROR(INDEX(Рецепты!$H$6:$H$85,MATCH(Меню!$D$11,Рецепты!$H$6:$H$85,0)+4)=Меню!$D$11,FALSE),INDEX(Рецепты!$J$6:$J$85,MATCH(Меню!$D$11,Рецепты!$H$6:$H$85,0)+4),""),"")</f>
        <v/>
      </c>
      <c r="F135" s="3" t="str">
        <f>IF($E135="","",INDEX(Рецепты!$K$6:$K$85,MATCH(Меню!$D$11,Рецепты!$H$6:$H$85,0)+4))</f>
        <v/>
      </c>
      <c r="G135" s="3" t="str">
        <f>IF($E135="","",INDEX(Рецепты!$M$6:$M$85,MATCH(Меню!$D$11,Рецепты!$H$6:$H$85,0)+4))</f>
        <v/>
      </c>
      <c r="H135" s="12">
        <f>IFERROR(IF(IFERROR(INDEX(Рецепты!$H$6:$H$85,MATCH(Меню!$D$11,Рецепты!$H$6:$H$85,0)+4)=Меню!$D$11,FALSE),INDEX(Рецепты!$L$6:$L$85,MATCH(Меню!$D$11,Рецепты!$H$6:$H$85,0)+4),0),0)</f>
        <v>0</v>
      </c>
      <c r="I135" s="12" t="str">
        <f>IF($F135="","",Меню!$E$11)</f>
        <v/>
      </c>
      <c r="J135" s="12">
        <f t="shared" si="2"/>
        <v>0</v>
      </c>
      <c r="K135" s="12">
        <f>IFERROR($J135/100*INDEX(Продукты!$G$6:$G$66,MATCH($E135,Продукты!$A$6:$A$66,0)),0)</f>
        <v>0</v>
      </c>
      <c r="L135" s="12">
        <f>IFERROR($J135/100*INDEX(Продукты!$H$6:$H$66,MATCH($E135,Продукты!$A$6:$A$66,0)),0)</f>
        <v>0</v>
      </c>
      <c r="M135" s="12">
        <f>IFERROR($J135/100*INDEX(Продукты!$I$6:$I$66,MATCH($E135,Продукты!$A$6:$A$66,0)),0)</f>
        <v>0</v>
      </c>
      <c r="N135" s="12">
        <f>IFERROR($J135/100*INDEX(Продукты!$J$6:$J$66,MATCH($E135,Продукты!$A$6:$A$66,0)),0)</f>
        <v>0</v>
      </c>
      <c r="O135" s="3" t="str">
        <f>IFERROR(IF(IFERROR(INDEX(Рецепты!$H$6:$H$85,MATCH(Меню!$D$11,Рецепты!$H$6:$H$85,0)+4)=Меню!$D$11,FALSE),INDEX(Рецепты!$N$6:$N$85,MATCH(Меню!$D$11,Рецепты!$H$6:$H$85,0)+4),""),"")</f>
        <v/>
      </c>
    </row>
    <row r="136" spans="1:15">
      <c r="A136" s="3" t="str">
        <f>IF($E136="","",Меню!$A$11)</f>
        <v/>
      </c>
      <c r="B136" s="3" t="str">
        <f>IF($E136="","",Меню!$B$11)</f>
        <v/>
      </c>
      <c r="C136" s="3" t="str">
        <f>IF($E136="","",Меню!$C$11)</f>
        <v/>
      </c>
      <c r="D136" s="3" t="str">
        <f>IF($E136="","",Меню!$D$11)</f>
        <v/>
      </c>
      <c r="E136" s="3" t="str">
        <f>IFERROR(IF(IFERROR(INDEX(Рецепты!$H$6:$H$85,MATCH(Меню!$D$11,Рецепты!$H$6:$H$85,0)+5)=Меню!$D$11,FALSE),INDEX(Рецепты!$J$6:$J$85,MATCH(Меню!$D$11,Рецепты!$H$6:$H$85,0)+5),""),"")</f>
        <v/>
      </c>
      <c r="F136" s="3" t="str">
        <f>IF($E136="","",INDEX(Рецепты!$K$6:$K$85,MATCH(Меню!$D$11,Рецепты!$H$6:$H$85,0)+5))</f>
        <v/>
      </c>
      <c r="G136" s="3" t="str">
        <f>IF($E136="","",INDEX(Рецепты!$M$6:$M$85,MATCH(Меню!$D$11,Рецепты!$H$6:$H$85,0)+5))</f>
        <v/>
      </c>
      <c r="H136" s="12">
        <f>IFERROR(IF(IFERROR(INDEX(Рецепты!$H$6:$H$85,MATCH(Меню!$D$11,Рецепты!$H$6:$H$85,0)+5)=Меню!$D$11,FALSE),INDEX(Рецепты!$L$6:$L$85,MATCH(Меню!$D$11,Рецепты!$H$6:$H$85,0)+5),0),0)</f>
        <v>0</v>
      </c>
      <c r="I136" s="12" t="str">
        <f>IF($F136="","",Меню!$E$11)</f>
        <v/>
      </c>
      <c r="J136" s="12">
        <f t="shared" si="2"/>
        <v>0</v>
      </c>
      <c r="K136" s="12">
        <f>IFERROR($J136/100*INDEX(Продукты!$G$6:$G$66,MATCH($E136,Продукты!$A$6:$A$66,0)),0)</f>
        <v>0</v>
      </c>
      <c r="L136" s="12">
        <f>IFERROR($J136/100*INDEX(Продукты!$H$6:$H$66,MATCH($E136,Продукты!$A$6:$A$66,0)),0)</f>
        <v>0</v>
      </c>
      <c r="M136" s="12">
        <f>IFERROR($J136/100*INDEX(Продукты!$I$6:$I$66,MATCH($E136,Продукты!$A$6:$A$66,0)),0)</f>
        <v>0</v>
      </c>
      <c r="N136" s="12">
        <f>IFERROR($J136/100*INDEX(Продукты!$J$6:$J$66,MATCH($E136,Продукты!$A$6:$A$66,0)),0)</f>
        <v>0</v>
      </c>
      <c r="O136" s="3" t="str">
        <f>IFERROR(IF(IFERROR(INDEX(Рецепты!$H$6:$H$85,MATCH(Меню!$D$11,Рецепты!$H$6:$H$85,0)+5)=Меню!$D$11,FALSE),INDEX(Рецепты!$N$6:$N$85,MATCH(Меню!$D$11,Рецепты!$H$6:$H$85,0)+5),""),"")</f>
        <v/>
      </c>
    </row>
    <row r="137" spans="1:15">
      <c r="A137" s="3" t="str">
        <f>IF($E137="","",Меню!$A$11)</f>
        <v/>
      </c>
      <c r="B137" s="3" t="str">
        <f>IF($E137="","",Меню!$B$11)</f>
        <v/>
      </c>
      <c r="C137" s="3" t="str">
        <f>IF($E137="","",Меню!$C$11)</f>
        <v/>
      </c>
      <c r="D137" s="3" t="str">
        <f>IF($E137="","",Меню!$D$11)</f>
        <v/>
      </c>
      <c r="E137" s="3" t="str">
        <f>IFERROR(IF(IFERROR(INDEX(Рецепты!$H$6:$H$85,MATCH(Меню!$D$11,Рецепты!$H$6:$H$85,0)+6)=Меню!$D$11,FALSE),INDEX(Рецепты!$J$6:$J$85,MATCH(Меню!$D$11,Рецепты!$H$6:$H$85,0)+6),""),"")</f>
        <v/>
      </c>
      <c r="F137" s="3" t="str">
        <f>IF($E137="","",INDEX(Рецепты!$K$6:$K$85,MATCH(Меню!$D$11,Рецепты!$H$6:$H$85,0)+6))</f>
        <v/>
      </c>
      <c r="G137" s="3" t="str">
        <f>IF($E137="","",INDEX(Рецепты!$M$6:$M$85,MATCH(Меню!$D$11,Рецепты!$H$6:$H$85,0)+6))</f>
        <v/>
      </c>
      <c r="H137" s="12">
        <f>IFERROR(IF(IFERROR(INDEX(Рецепты!$H$6:$H$85,MATCH(Меню!$D$11,Рецепты!$H$6:$H$85,0)+6)=Меню!$D$11,FALSE),INDEX(Рецепты!$L$6:$L$85,MATCH(Меню!$D$11,Рецепты!$H$6:$H$85,0)+6),0),0)</f>
        <v>0</v>
      </c>
      <c r="I137" s="12" t="str">
        <f>IF($F137="","",Меню!$E$11)</f>
        <v/>
      </c>
      <c r="J137" s="12">
        <f t="shared" si="2"/>
        <v>0</v>
      </c>
      <c r="K137" s="12">
        <f>IFERROR($J137/100*INDEX(Продукты!$G$6:$G$66,MATCH($E137,Продукты!$A$6:$A$66,0)),0)</f>
        <v>0</v>
      </c>
      <c r="L137" s="12">
        <f>IFERROR($J137/100*INDEX(Продукты!$H$6:$H$66,MATCH($E137,Продукты!$A$6:$A$66,0)),0)</f>
        <v>0</v>
      </c>
      <c r="M137" s="12">
        <f>IFERROR($J137/100*INDEX(Продукты!$I$6:$I$66,MATCH($E137,Продукты!$A$6:$A$66,0)),0)</f>
        <v>0</v>
      </c>
      <c r="N137" s="12">
        <f>IFERROR($J137/100*INDEX(Продукты!$J$6:$J$66,MATCH($E137,Продукты!$A$6:$A$66,0)),0)</f>
        <v>0</v>
      </c>
      <c r="O137" s="3" t="str">
        <f>IFERROR(IF(IFERROR(INDEX(Рецепты!$H$6:$H$85,MATCH(Меню!$D$11,Рецепты!$H$6:$H$85,0)+6)=Меню!$D$11,FALSE),INDEX(Рецепты!$N$6:$N$85,MATCH(Меню!$D$11,Рецепты!$H$6:$H$85,0)+6),""),"")</f>
        <v/>
      </c>
    </row>
    <row r="138" spans="1:15">
      <c r="A138" s="3" t="str">
        <f>IF($E138="","",Меню!$A$11)</f>
        <v/>
      </c>
      <c r="B138" s="3" t="str">
        <f>IF($E138="","",Меню!$B$11)</f>
        <v/>
      </c>
      <c r="C138" s="3" t="str">
        <f>IF($E138="","",Меню!$C$11)</f>
        <v/>
      </c>
      <c r="D138" s="3" t="str">
        <f>IF($E138="","",Меню!$D$11)</f>
        <v/>
      </c>
      <c r="E138" s="3" t="str">
        <f>IFERROR(IF(IFERROR(INDEX(Рецепты!$H$6:$H$85,MATCH(Меню!$D$11,Рецепты!$H$6:$H$85,0)+7)=Меню!$D$11,FALSE),INDEX(Рецепты!$J$6:$J$85,MATCH(Меню!$D$11,Рецепты!$H$6:$H$85,0)+7),""),"")</f>
        <v/>
      </c>
      <c r="F138" s="3" t="str">
        <f>IF($E138="","",INDEX(Рецепты!$K$6:$K$85,MATCH(Меню!$D$11,Рецепты!$H$6:$H$85,0)+7))</f>
        <v/>
      </c>
      <c r="G138" s="3" t="str">
        <f>IF($E138="","",INDEX(Рецепты!$M$6:$M$85,MATCH(Меню!$D$11,Рецепты!$H$6:$H$85,0)+7))</f>
        <v/>
      </c>
      <c r="H138" s="12">
        <f>IFERROR(IF(IFERROR(INDEX(Рецепты!$H$6:$H$85,MATCH(Меню!$D$11,Рецепты!$H$6:$H$85,0)+7)=Меню!$D$11,FALSE),INDEX(Рецепты!$L$6:$L$85,MATCH(Меню!$D$11,Рецепты!$H$6:$H$85,0)+7),0),0)</f>
        <v>0</v>
      </c>
      <c r="I138" s="12" t="str">
        <f>IF($F138="","",Меню!$E$11)</f>
        <v/>
      </c>
      <c r="J138" s="12">
        <f t="shared" si="2"/>
        <v>0</v>
      </c>
      <c r="K138" s="12">
        <f>IFERROR($J138/100*INDEX(Продукты!$G$6:$G$66,MATCH($E138,Продукты!$A$6:$A$66,0)),0)</f>
        <v>0</v>
      </c>
      <c r="L138" s="12">
        <f>IFERROR($J138/100*INDEX(Продукты!$H$6:$H$66,MATCH($E138,Продукты!$A$6:$A$66,0)),0)</f>
        <v>0</v>
      </c>
      <c r="M138" s="12">
        <f>IFERROR($J138/100*INDEX(Продукты!$I$6:$I$66,MATCH($E138,Продукты!$A$6:$A$66,0)),0)</f>
        <v>0</v>
      </c>
      <c r="N138" s="12">
        <f>IFERROR($J138/100*INDEX(Продукты!$J$6:$J$66,MATCH($E138,Продукты!$A$6:$A$66,0)),0)</f>
        <v>0</v>
      </c>
      <c r="O138" s="3" t="str">
        <f>IFERROR(IF(IFERROR(INDEX(Рецепты!$H$6:$H$85,MATCH(Меню!$D$11,Рецепты!$H$6:$H$85,0)+7)=Меню!$D$11,FALSE),INDEX(Рецепты!$N$6:$N$85,MATCH(Меню!$D$11,Рецепты!$H$6:$H$85,0)+7),""),"")</f>
        <v/>
      </c>
    </row>
    <row r="139" spans="1:15">
      <c r="A139" s="3" t="str">
        <f>IF($E139="","",Меню!$A$11)</f>
        <v/>
      </c>
      <c r="B139" s="3" t="str">
        <f>IF($E139="","",Меню!$B$11)</f>
        <v/>
      </c>
      <c r="C139" s="3" t="str">
        <f>IF($E139="","",Меню!$C$11)</f>
        <v/>
      </c>
      <c r="D139" s="3" t="str">
        <f>IF($E139="","",Меню!$D$11)</f>
        <v/>
      </c>
      <c r="E139" s="3" t="str">
        <f>IFERROR(IF(IFERROR(INDEX(Рецепты!$H$6:$H$85,MATCH(Меню!$D$11,Рецепты!$H$6:$H$85,0)+8)=Меню!$D$11,FALSE),INDEX(Рецепты!$J$6:$J$85,MATCH(Меню!$D$11,Рецепты!$H$6:$H$85,0)+8),""),"")</f>
        <v/>
      </c>
      <c r="F139" s="3" t="str">
        <f>IF($E139="","",INDEX(Рецепты!$K$6:$K$85,MATCH(Меню!$D$11,Рецепты!$H$6:$H$85,0)+8))</f>
        <v/>
      </c>
      <c r="G139" s="3" t="str">
        <f>IF($E139="","",INDEX(Рецепты!$M$6:$M$85,MATCH(Меню!$D$11,Рецепты!$H$6:$H$85,0)+8))</f>
        <v/>
      </c>
      <c r="H139" s="12">
        <f>IFERROR(IF(IFERROR(INDEX(Рецепты!$H$6:$H$85,MATCH(Меню!$D$11,Рецепты!$H$6:$H$85,0)+8)=Меню!$D$11,FALSE),INDEX(Рецепты!$L$6:$L$85,MATCH(Меню!$D$11,Рецепты!$H$6:$H$85,0)+8),0),0)</f>
        <v>0</v>
      </c>
      <c r="I139" s="12" t="str">
        <f>IF($F139="","",Меню!$E$11)</f>
        <v/>
      </c>
      <c r="J139" s="12">
        <f t="shared" si="2"/>
        <v>0</v>
      </c>
      <c r="K139" s="12">
        <f>IFERROR($J139/100*INDEX(Продукты!$G$6:$G$66,MATCH($E139,Продукты!$A$6:$A$66,0)),0)</f>
        <v>0</v>
      </c>
      <c r="L139" s="12">
        <f>IFERROR($J139/100*INDEX(Продукты!$H$6:$H$66,MATCH($E139,Продукты!$A$6:$A$66,0)),0)</f>
        <v>0</v>
      </c>
      <c r="M139" s="12">
        <f>IFERROR($J139/100*INDEX(Продукты!$I$6:$I$66,MATCH($E139,Продукты!$A$6:$A$66,0)),0)</f>
        <v>0</v>
      </c>
      <c r="N139" s="12">
        <f>IFERROR($J139/100*INDEX(Продукты!$J$6:$J$66,MATCH($E139,Продукты!$A$6:$A$66,0)),0)</f>
        <v>0</v>
      </c>
      <c r="O139" s="3" t="str">
        <f>IFERROR(IF(IFERROR(INDEX(Рецепты!$H$6:$H$85,MATCH(Меню!$D$11,Рецепты!$H$6:$H$85,0)+8)=Меню!$D$11,FALSE),INDEX(Рецепты!$N$6:$N$85,MATCH(Меню!$D$11,Рецепты!$H$6:$H$85,0)+8),""),"")</f>
        <v/>
      </c>
    </row>
    <row r="140" spans="1:15">
      <c r="A140" s="3" t="str">
        <f>IF($E140="","",Меню!$A$11)</f>
        <v/>
      </c>
      <c r="B140" s="3" t="str">
        <f>IF($E140="","",Меню!$B$11)</f>
        <v/>
      </c>
      <c r="C140" s="3" t="str">
        <f>IF($E140="","",Меню!$C$11)</f>
        <v/>
      </c>
      <c r="D140" s="3" t="str">
        <f>IF($E140="","",Меню!$D$11)</f>
        <v/>
      </c>
      <c r="E140" s="3" t="str">
        <f>IFERROR(IF(IFERROR(INDEX(Рецепты!$H$6:$H$85,MATCH(Меню!$D$11,Рецепты!$H$6:$H$85,0)+9)=Меню!$D$11,FALSE),INDEX(Рецепты!$J$6:$J$85,MATCH(Меню!$D$11,Рецепты!$H$6:$H$85,0)+9),""),"")</f>
        <v/>
      </c>
      <c r="F140" s="3" t="str">
        <f>IF($E140="","",INDEX(Рецепты!$K$6:$K$85,MATCH(Меню!$D$11,Рецепты!$H$6:$H$85,0)+9))</f>
        <v/>
      </c>
      <c r="G140" s="3" t="str">
        <f>IF($E140="","",INDEX(Рецепты!$M$6:$M$85,MATCH(Меню!$D$11,Рецепты!$H$6:$H$85,0)+9))</f>
        <v/>
      </c>
      <c r="H140" s="12">
        <f>IFERROR(IF(IFERROR(INDEX(Рецепты!$H$6:$H$85,MATCH(Меню!$D$11,Рецепты!$H$6:$H$85,0)+9)=Меню!$D$11,FALSE),INDEX(Рецепты!$L$6:$L$85,MATCH(Меню!$D$11,Рецепты!$H$6:$H$85,0)+9),0),0)</f>
        <v>0</v>
      </c>
      <c r="I140" s="12" t="str">
        <f>IF($F140="","",Меню!$E$11)</f>
        <v/>
      </c>
      <c r="J140" s="12">
        <f t="shared" si="2"/>
        <v>0</v>
      </c>
      <c r="K140" s="12">
        <f>IFERROR($J140/100*INDEX(Продукты!$G$6:$G$66,MATCH($E140,Продукты!$A$6:$A$66,0)),0)</f>
        <v>0</v>
      </c>
      <c r="L140" s="12">
        <f>IFERROR($J140/100*INDEX(Продукты!$H$6:$H$66,MATCH($E140,Продукты!$A$6:$A$66,0)),0)</f>
        <v>0</v>
      </c>
      <c r="M140" s="12">
        <f>IFERROR($J140/100*INDEX(Продукты!$I$6:$I$66,MATCH($E140,Продукты!$A$6:$A$66,0)),0)</f>
        <v>0</v>
      </c>
      <c r="N140" s="12">
        <f>IFERROR($J140/100*INDEX(Продукты!$J$6:$J$66,MATCH($E140,Продукты!$A$6:$A$66,0)),0)</f>
        <v>0</v>
      </c>
      <c r="O140" s="3" t="str">
        <f>IFERROR(IF(IFERROR(INDEX(Рецепты!$H$6:$H$85,MATCH(Меню!$D$11,Рецепты!$H$6:$H$85,0)+9)=Меню!$D$11,FALSE),INDEX(Рецепты!$N$6:$N$85,MATCH(Меню!$D$11,Рецепты!$H$6:$H$85,0)+9),""),"")</f>
        <v/>
      </c>
    </row>
    <row r="141" spans="1:15">
      <c r="A141" s="3" t="str">
        <f>IF($E141="","",Меню!$A$11)</f>
        <v/>
      </c>
      <c r="B141" s="3" t="str">
        <f>IF($E141="","",Меню!$B$11)</f>
        <v/>
      </c>
      <c r="C141" s="3" t="str">
        <f>IF($E141="","",Меню!$C$11)</f>
        <v/>
      </c>
      <c r="D141" s="3" t="str">
        <f>IF($E141="","",Меню!$D$11)</f>
        <v/>
      </c>
      <c r="E141" s="3" t="str">
        <f>IFERROR(IF(IFERROR(INDEX(Рецепты!$H$6:$H$85,MATCH(Меню!$D$11,Рецепты!$H$6:$H$85,0)+10)=Меню!$D$11,FALSE),INDEX(Рецепты!$J$6:$J$85,MATCH(Меню!$D$11,Рецепты!$H$6:$H$85,0)+10),""),"")</f>
        <v/>
      </c>
      <c r="F141" s="3" t="str">
        <f>IF($E141="","",INDEX(Рецепты!$K$6:$K$85,MATCH(Меню!$D$11,Рецепты!$H$6:$H$85,0)+10))</f>
        <v/>
      </c>
      <c r="G141" s="3" t="str">
        <f>IF($E141="","",INDEX(Рецепты!$M$6:$M$85,MATCH(Меню!$D$11,Рецепты!$H$6:$H$85,0)+10))</f>
        <v/>
      </c>
      <c r="H141" s="12">
        <f>IFERROR(IF(IFERROR(INDEX(Рецепты!$H$6:$H$85,MATCH(Меню!$D$11,Рецепты!$H$6:$H$85,0)+10)=Меню!$D$11,FALSE),INDEX(Рецепты!$L$6:$L$85,MATCH(Меню!$D$11,Рецепты!$H$6:$H$85,0)+10),0),0)</f>
        <v>0</v>
      </c>
      <c r="I141" s="12" t="str">
        <f>IF($F141="","",Меню!$E$11)</f>
        <v/>
      </c>
      <c r="J141" s="12">
        <f t="shared" si="2"/>
        <v>0</v>
      </c>
      <c r="K141" s="12">
        <f>IFERROR($J141/100*INDEX(Продукты!$G$6:$G$66,MATCH($E141,Продукты!$A$6:$A$66,0)),0)</f>
        <v>0</v>
      </c>
      <c r="L141" s="12">
        <f>IFERROR($J141/100*INDEX(Продукты!$H$6:$H$66,MATCH($E141,Продукты!$A$6:$A$66,0)),0)</f>
        <v>0</v>
      </c>
      <c r="M141" s="12">
        <f>IFERROR($J141/100*INDEX(Продукты!$I$6:$I$66,MATCH($E141,Продукты!$A$6:$A$66,0)),0)</f>
        <v>0</v>
      </c>
      <c r="N141" s="12">
        <f>IFERROR($J141/100*INDEX(Продукты!$J$6:$J$66,MATCH($E141,Продукты!$A$6:$A$66,0)),0)</f>
        <v>0</v>
      </c>
      <c r="O141" s="3" t="str">
        <f>IFERROR(IF(IFERROR(INDEX(Рецепты!$H$6:$H$85,MATCH(Меню!$D$11,Рецепты!$H$6:$H$85,0)+10)=Меню!$D$11,FALSE),INDEX(Рецепты!$N$6:$N$85,MATCH(Меню!$D$11,Рецепты!$H$6:$H$85,0)+10),""),"")</f>
        <v/>
      </c>
    </row>
    <row r="142" spans="1:15">
      <c r="A142" s="3" t="str">
        <f>IF($E142="","",Меню!$A$11)</f>
        <v/>
      </c>
      <c r="B142" s="3" t="str">
        <f>IF($E142="","",Меню!$B$11)</f>
        <v/>
      </c>
      <c r="C142" s="3" t="str">
        <f>IF($E142="","",Меню!$C$11)</f>
        <v/>
      </c>
      <c r="D142" s="3" t="str">
        <f>IF($E142="","",Меню!$D$11)</f>
        <v/>
      </c>
      <c r="E142" s="3" t="str">
        <f>IFERROR(IF(IFERROR(INDEX(Рецепты!$H$6:$H$85,MATCH(Меню!$D$11,Рецепты!$H$6:$H$85,0)+11)=Меню!$D$11,FALSE),INDEX(Рецепты!$J$6:$J$85,MATCH(Меню!$D$11,Рецепты!$H$6:$H$85,0)+11),""),"")</f>
        <v/>
      </c>
      <c r="F142" s="3" t="str">
        <f>IF($E142="","",INDEX(Рецепты!$K$6:$K$85,MATCH(Меню!$D$11,Рецепты!$H$6:$H$85,0)+11))</f>
        <v/>
      </c>
      <c r="G142" s="3" t="str">
        <f>IF($E142="","",INDEX(Рецепты!$M$6:$M$85,MATCH(Меню!$D$11,Рецепты!$H$6:$H$85,0)+11))</f>
        <v/>
      </c>
      <c r="H142" s="12">
        <f>IFERROR(IF(IFERROR(INDEX(Рецепты!$H$6:$H$85,MATCH(Меню!$D$11,Рецепты!$H$6:$H$85,0)+11)=Меню!$D$11,FALSE),INDEX(Рецепты!$L$6:$L$85,MATCH(Меню!$D$11,Рецепты!$H$6:$H$85,0)+11),0),0)</f>
        <v>0</v>
      </c>
      <c r="I142" s="12" t="str">
        <f>IF($F142="","",Меню!$E$11)</f>
        <v/>
      </c>
      <c r="J142" s="12">
        <f t="shared" si="2"/>
        <v>0</v>
      </c>
      <c r="K142" s="12">
        <f>IFERROR($J142/100*INDEX(Продукты!$G$6:$G$66,MATCH($E142,Продукты!$A$6:$A$66,0)),0)</f>
        <v>0</v>
      </c>
      <c r="L142" s="12">
        <f>IFERROR($J142/100*INDEX(Продукты!$H$6:$H$66,MATCH($E142,Продукты!$A$6:$A$66,0)),0)</f>
        <v>0</v>
      </c>
      <c r="M142" s="12">
        <f>IFERROR($J142/100*INDEX(Продукты!$I$6:$I$66,MATCH($E142,Продукты!$A$6:$A$66,0)),0)</f>
        <v>0</v>
      </c>
      <c r="N142" s="12">
        <f>IFERROR($J142/100*INDEX(Продукты!$J$6:$J$66,MATCH($E142,Продукты!$A$6:$A$66,0)),0)</f>
        <v>0</v>
      </c>
      <c r="O142" s="3" t="str">
        <f>IFERROR(IF(IFERROR(INDEX(Рецепты!$H$6:$H$85,MATCH(Меню!$D$11,Рецепты!$H$6:$H$85,0)+11)=Меню!$D$11,FALSE),INDEX(Рецепты!$N$6:$N$85,MATCH(Меню!$D$11,Рецепты!$H$6:$H$85,0)+11),""),"")</f>
        <v/>
      </c>
    </row>
    <row r="143" spans="1:15">
      <c r="A143" s="3" t="str">
        <f>IF($E143="","",Меню!$A$11)</f>
        <v/>
      </c>
      <c r="B143" s="3" t="str">
        <f>IF($E143="","",Меню!$B$11)</f>
        <v/>
      </c>
      <c r="C143" s="3" t="str">
        <f>IF($E143="","",Меню!$C$11)</f>
        <v/>
      </c>
      <c r="D143" s="3" t="str">
        <f>IF($E143="","",Меню!$D$11)</f>
        <v/>
      </c>
      <c r="E143" s="3" t="str">
        <f>IFERROR(IF(IFERROR(INDEX(Рецепты!$H$6:$H$85,MATCH(Меню!$D$11,Рецепты!$H$6:$H$85,0)+12)=Меню!$D$11,FALSE),INDEX(Рецепты!$J$6:$J$85,MATCH(Меню!$D$11,Рецепты!$H$6:$H$85,0)+12),""),"")</f>
        <v/>
      </c>
      <c r="F143" s="3" t="str">
        <f>IF($E143="","",INDEX(Рецепты!$K$6:$K$85,MATCH(Меню!$D$11,Рецепты!$H$6:$H$85,0)+12))</f>
        <v/>
      </c>
      <c r="G143" s="3" t="str">
        <f>IF($E143="","",INDEX(Рецепты!$M$6:$M$85,MATCH(Меню!$D$11,Рецепты!$H$6:$H$85,0)+12))</f>
        <v/>
      </c>
      <c r="H143" s="12">
        <f>IFERROR(IF(IFERROR(INDEX(Рецепты!$H$6:$H$85,MATCH(Меню!$D$11,Рецепты!$H$6:$H$85,0)+12)=Меню!$D$11,FALSE),INDEX(Рецепты!$L$6:$L$85,MATCH(Меню!$D$11,Рецепты!$H$6:$H$85,0)+12),0),0)</f>
        <v>0</v>
      </c>
      <c r="I143" s="12" t="str">
        <f>IF($F143="","",Меню!$E$11)</f>
        <v/>
      </c>
      <c r="J143" s="12">
        <f t="shared" si="2"/>
        <v>0</v>
      </c>
      <c r="K143" s="12">
        <f>IFERROR($J143/100*INDEX(Продукты!$G$6:$G$66,MATCH($E143,Продукты!$A$6:$A$66,0)),0)</f>
        <v>0</v>
      </c>
      <c r="L143" s="12">
        <f>IFERROR($J143/100*INDEX(Продукты!$H$6:$H$66,MATCH($E143,Продукты!$A$6:$A$66,0)),0)</f>
        <v>0</v>
      </c>
      <c r="M143" s="12">
        <f>IFERROR($J143/100*INDEX(Продукты!$I$6:$I$66,MATCH($E143,Продукты!$A$6:$A$66,0)),0)</f>
        <v>0</v>
      </c>
      <c r="N143" s="12">
        <f>IFERROR($J143/100*INDEX(Продукты!$J$6:$J$66,MATCH($E143,Продукты!$A$6:$A$66,0)),0)</f>
        <v>0</v>
      </c>
      <c r="O143" s="3" t="str">
        <f>IFERROR(IF(IFERROR(INDEX(Рецепты!$H$6:$H$85,MATCH(Меню!$D$11,Рецепты!$H$6:$H$85,0)+12)=Меню!$D$11,FALSE),INDEX(Рецепты!$N$6:$N$85,MATCH(Меню!$D$11,Рецепты!$H$6:$H$85,0)+12),""),"")</f>
        <v/>
      </c>
    </row>
    <row r="144" spans="1:15">
      <c r="A144" s="3" t="str">
        <f>IF($E144="","",Меню!$A$11)</f>
        <v/>
      </c>
      <c r="B144" s="3" t="str">
        <f>IF($E144="","",Меню!$B$11)</f>
        <v/>
      </c>
      <c r="C144" s="3" t="str">
        <f>IF($E144="","",Меню!$C$11)</f>
        <v/>
      </c>
      <c r="D144" s="3" t="str">
        <f>IF($E144="","",Меню!$D$11)</f>
        <v/>
      </c>
      <c r="E144" s="3" t="str">
        <f>IFERROR(IF(IFERROR(INDEX(Рецепты!$H$6:$H$85,MATCH(Меню!$D$11,Рецепты!$H$6:$H$85,0)+13)=Меню!$D$11,FALSE),INDEX(Рецепты!$J$6:$J$85,MATCH(Меню!$D$11,Рецепты!$H$6:$H$85,0)+13),""),"")</f>
        <v/>
      </c>
      <c r="F144" s="3" t="str">
        <f>IF($E144="","",INDEX(Рецепты!$K$6:$K$85,MATCH(Меню!$D$11,Рецепты!$H$6:$H$85,0)+13))</f>
        <v/>
      </c>
      <c r="G144" s="3" t="str">
        <f>IF($E144="","",INDEX(Рецепты!$M$6:$M$85,MATCH(Меню!$D$11,Рецепты!$H$6:$H$85,0)+13))</f>
        <v/>
      </c>
      <c r="H144" s="12">
        <f>IFERROR(IF(IFERROR(INDEX(Рецепты!$H$6:$H$85,MATCH(Меню!$D$11,Рецепты!$H$6:$H$85,0)+13)=Меню!$D$11,FALSE),INDEX(Рецепты!$L$6:$L$85,MATCH(Меню!$D$11,Рецепты!$H$6:$H$85,0)+13),0),0)</f>
        <v>0</v>
      </c>
      <c r="I144" s="12" t="str">
        <f>IF($F144="","",Меню!$E$11)</f>
        <v/>
      </c>
      <c r="J144" s="12">
        <f t="shared" si="2"/>
        <v>0</v>
      </c>
      <c r="K144" s="12">
        <f>IFERROR($J144/100*INDEX(Продукты!$G$6:$G$66,MATCH($E144,Продукты!$A$6:$A$66,0)),0)</f>
        <v>0</v>
      </c>
      <c r="L144" s="12">
        <f>IFERROR($J144/100*INDEX(Продукты!$H$6:$H$66,MATCH($E144,Продукты!$A$6:$A$66,0)),0)</f>
        <v>0</v>
      </c>
      <c r="M144" s="12">
        <f>IFERROR($J144/100*INDEX(Продукты!$I$6:$I$66,MATCH($E144,Продукты!$A$6:$A$66,0)),0)</f>
        <v>0</v>
      </c>
      <c r="N144" s="12">
        <f>IFERROR($J144/100*INDEX(Продукты!$J$6:$J$66,MATCH($E144,Продукты!$A$6:$A$66,0)),0)</f>
        <v>0</v>
      </c>
      <c r="O144" s="3" t="str">
        <f>IFERROR(IF(IFERROR(INDEX(Рецепты!$H$6:$H$85,MATCH(Меню!$D$11,Рецепты!$H$6:$H$85,0)+13)=Меню!$D$11,FALSE),INDEX(Рецепты!$N$6:$N$85,MATCH(Меню!$D$11,Рецепты!$H$6:$H$85,0)+13),""),"")</f>
        <v/>
      </c>
    </row>
    <row r="145" spans="1:15">
      <c r="A145" s="3" t="str">
        <f>IF($E145="","",Меню!$A$11)</f>
        <v/>
      </c>
      <c r="B145" s="3" t="str">
        <f>IF($E145="","",Меню!$B$11)</f>
        <v/>
      </c>
      <c r="C145" s="3" t="str">
        <f>IF($E145="","",Меню!$C$11)</f>
        <v/>
      </c>
      <c r="D145" s="3" t="str">
        <f>IF($E145="","",Меню!$D$11)</f>
        <v/>
      </c>
      <c r="E145" s="3" t="str">
        <f>IFERROR(IF(IFERROR(INDEX(Рецепты!$H$6:$H$85,MATCH(Меню!$D$11,Рецепты!$H$6:$H$85,0)+14)=Меню!$D$11,FALSE),INDEX(Рецепты!$J$6:$J$85,MATCH(Меню!$D$11,Рецепты!$H$6:$H$85,0)+14),""),"")</f>
        <v/>
      </c>
      <c r="F145" s="3" t="str">
        <f>IF($E145="","",INDEX(Рецепты!$K$6:$K$85,MATCH(Меню!$D$11,Рецепты!$H$6:$H$85,0)+14))</f>
        <v/>
      </c>
      <c r="G145" s="3" t="str">
        <f>IF($E145="","",INDEX(Рецепты!$M$6:$M$85,MATCH(Меню!$D$11,Рецепты!$H$6:$H$85,0)+14))</f>
        <v/>
      </c>
      <c r="H145" s="12">
        <f>IFERROR(IF(IFERROR(INDEX(Рецепты!$H$6:$H$85,MATCH(Меню!$D$11,Рецепты!$H$6:$H$85,0)+14)=Меню!$D$11,FALSE),INDEX(Рецепты!$L$6:$L$85,MATCH(Меню!$D$11,Рецепты!$H$6:$H$85,0)+14),0),0)</f>
        <v>0</v>
      </c>
      <c r="I145" s="12" t="str">
        <f>IF($F145="","",Меню!$E$11)</f>
        <v/>
      </c>
      <c r="J145" s="12">
        <f t="shared" si="2"/>
        <v>0</v>
      </c>
      <c r="K145" s="12">
        <f>IFERROR($J145/100*INDEX(Продукты!$G$6:$G$66,MATCH($E145,Продукты!$A$6:$A$66,0)),0)</f>
        <v>0</v>
      </c>
      <c r="L145" s="12">
        <f>IFERROR($J145/100*INDEX(Продукты!$H$6:$H$66,MATCH($E145,Продукты!$A$6:$A$66,0)),0)</f>
        <v>0</v>
      </c>
      <c r="M145" s="12">
        <f>IFERROR($J145/100*INDEX(Продукты!$I$6:$I$66,MATCH($E145,Продукты!$A$6:$A$66,0)),0)</f>
        <v>0</v>
      </c>
      <c r="N145" s="12">
        <f>IFERROR($J145/100*INDEX(Продукты!$J$6:$J$66,MATCH($E145,Продукты!$A$6:$A$66,0)),0)</f>
        <v>0</v>
      </c>
      <c r="O145" s="3" t="str">
        <f>IFERROR(IF(IFERROR(INDEX(Рецепты!$H$6:$H$85,MATCH(Меню!$D$11,Рецепты!$H$6:$H$85,0)+14)=Меню!$D$11,FALSE),INDEX(Рецепты!$N$6:$N$85,MATCH(Меню!$D$11,Рецепты!$H$6:$H$85,0)+14),""),"")</f>
        <v/>
      </c>
    </row>
    <row r="146" spans="1:15">
      <c r="A146" s="3" t="str">
        <f>IF($E146="","",Меню!$A$11)</f>
        <v/>
      </c>
      <c r="B146" s="3" t="str">
        <f>IF($E146="","",Меню!$B$11)</f>
        <v/>
      </c>
      <c r="C146" s="3" t="str">
        <f>IF($E146="","",Меню!$C$11)</f>
        <v/>
      </c>
      <c r="D146" s="3" t="str">
        <f>IF($E146="","",Меню!$D$11)</f>
        <v/>
      </c>
      <c r="E146" s="3" t="str">
        <f>IFERROR(IF(IFERROR(INDEX(Рецепты!$H$6:$H$85,MATCH(Меню!$D$11,Рецепты!$H$6:$H$85,0)+15)=Меню!$D$11,FALSE),INDEX(Рецепты!$J$6:$J$85,MATCH(Меню!$D$11,Рецепты!$H$6:$H$85,0)+15),""),"")</f>
        <v/>
      </c>
      <c r="F146" s="3" t="str">
        <f>IF($E146="","",INDEX(Рецепты!$K$6:$K$85,MATCH(Меню!$D$11,Рецепты!$H$6:$H$85,0)+15))</f>
        <v/>
      </c>
      <c r="G146" s="3" t="str">
        <f>IF($E146="","",INDEX(Рецепты!$M$6:$M$85,MATCH(Меню!$D$11,Рецепты!$H$6:$H$85,0)+15))</f>
        <v/>
      </c>
      <c r="H146" s="12">
        <f>IFERROR(IF(IFERROR(INDEX(Рецепты!$H$6:$H$85,MATCH(Меню!$D$11,Рецепты!$H$6:$H$85,0)+15)=Меню!$D$11,FALSE),INDEX(Рецепты!$L$6:$L$85,MATCH(Меню!$D$11,Рецепты!$H$6:$H$85,0)+15),0),0)</f>
        <v>0</v>
      </c>
      <c r="I146" s="12" t="str">
        <f>IF($F146="","",Меню!$E$11)</f>
        <v/>
      </c>
      <c r="J146" s="12">
        <f t="shared" si="2"/>
        <v>0</v>
      </c>
      <c r="K146" s="12">
        <f>IFERROR($J146/100*INDEX(Продукты!$G$6:$G$66,MATCH($E146,Продукты!$A$6:$A$66,0)),0)</f>
        <v>0</v>
      </c>
      <c r="L146" s="12">
        <f>IFERROR($J146/100*INDEX(Продукты!$H$6:$H$66,MATCH($E146,Продукты!$A$6:$A$66,0)),0)</f>
        <v>0</v>
      </c>
      <c r="M146" s="12">
        <f>IFERROR($J146/100*INDEX(Продукты!$I$6:$I$66,MATCH($E146,Продукты!$A$6:$A$66,0)),0)</f>
        <v>0</v>
      </c>
      <c r="N146" s="12">
        <f>IFERROR($J146/100*INDEX(Продукты!$J$6:$J$66,MATCH($E146,Продукты!$A$6:$A$66,0)),0)</f>
        <v>0</v>
      </c>
      <c r="O146" s="3" t="str">
        <f>IFERROR(IF(IFERROR(INDEX(Рецепты!$H$6:$H$85,MATCH(Меню!$D$11,Рецепты!$H$6:$H$85,0)+15)=Меню!$D$11,FALSE),INDEX(Рецепты!$N$6:$N$85,MATCH(Меню!$D$11,Рецепты!$H$6:$H$85,0)+15),""),"")</f>
        <v/>
      </c>
    </row>
    <row r="147" spans="1:15">
      <c r="A147" s="3" t="str">
        <f>IF($E147="","",Меню!$A$11)</f>
        <v/>
      </c>
      <c r="B147" s="3" t="str">
        <f>IF($E147="","",Меню!$B$11)</f>
        <v/>
      </c>
      <c r="C147" s="3" t="str">
        <f>IF($E147="","",Меню!$C$11)</f>
        <v/>
      </c>
      <c r="D147" s="3" t="str">
        <f>IF($E147="","",Меню!$D$11)</f>
        <v/>
      </c>
      <c r="E147" s="3" t="str">
        <f>IFERROR(IF(IFERROR(INDEX(Рецепты!$H$6:$H$85,MATCH(Меню!$D$11,Рецепты!$H$6:$H$85,0)+16)=Меню!$D$11,FALSE),INDEX(Рецепты!$J$6:$J$85,MATCH(Меню!$D$11,Рецепты!$H$6:$H$85,0)+16),""),"")</f>
        <v/>
      </c>
      <c r="F147" s="3" t="str">
        <f>IF($E147="","",INDEX(Рецепты!$K$6:$K$85,MATCH(Меню!$D$11,Рецепты!$H$6:$H$85,0)+16))</f>
        <v/>
      </c>
      <c r="G147" s="3" t="str">
        <f>IF($E147="","",INDEX(Рецепты!$M$6:$M$85,MATCH(Меню!$D$11,Рецепты!$H$6:$H$85,0)+16))</f>
        <v/>
      </c>
      <c r="H147" s="12">
        <f>IFERROR(IF(IFERROR(INDEX(Рецепты!$H$6:$H$85,MATCH(Меню!$D$11,Рецепты!$H$6:$H$85,0)+16)=Меню!$D$11,FALSE),INDEX(Рецепты!$L$6:$L$85,MATCH(Меню!$D$11,Рецепты!$H$6:$H$85,0)+16),0),0)</f>
        <v>0</v>
      </c>
      <c r="I147" s="12" t="str">
        <f>IF($F147="","",Меню!$E$11)</f>
        <v/>
      </c>
      <c r="J147" s="12">
        <f t="shared" si="2"/>
        <v>0</v>
      </c>
      <c r="K147" s="12">
        <f>IFERROR($J147/100*INDEX(Продукты!$G$6:$G$66,MATCH($E147,Продукты!$A$6:$A$66,0)),0)</f>
        <v>0</v>
      </c>
      <c r="L147" s="12">
        <f>IFERROR($J147/100*INDEX(Продукты!$H$6:$H$66,MATCH($E147,Продукты!$A$6:$A$66,0)),0)</f>
        <v>0</v>
      </c>
      <c r="M147" s="12">
        <f>IFERROR($J147/100*INDEX(Продукты!$I$6:$I$66,MATCH($E147,Продукты!$A$6:$A$66,0)),0)</f>
        <v>0</v>
      </c>
      <c r="N147" s="12">
        <f>IFERROR($J147/100*INDEX(Продукты!$J$6:$J$66,MATCH($E147,Продукты!$A$6:$A$66,0)),0)</f>
        <v>0</v>
      </c>
      <c r="O147" s="3" t="str">
        <f>IFERROR(IF(IFERROR(INDEX(Рецепты!$H$6:$H$85,MATCH(Меню!$D$11,Рецепты!$H$6:$H$85,0)+16)=Меню!$D$11,FALSE),INDEX(Рецепты!$N$6:$N$85,MATCH(Меню!$D$11,Рецепты!$H$6:$H$85,0)+16),""),"")</f>
        <v/>
      </c>
    </row>
    <row r="148" spans="1:15">
      <c r="A148" s="3" t="str">
        <f>IF($E148="","",Меню!$A$11)</f>
        <v/>
      </c>
      <c r="B148" s="3" t="str">
        <f>IF($E148="","",Меню!$B$11)</f>
        <v/>
      </c>
      <c r="C148" s="3" t="str">
        <f>IF($E148="","",Меню!$C$11)</f>
        <v/>
      </c>
      <c r="D148" s="3" t="str">
        <f>IF($E148="","",Меню!$D$11)</f>
        <v/>
      </c>
      <c r="E148" s="3" t="str">
        <f>IFERROR(IF(IFERROR(INDEX(Рецепты!$H$6:$H$85,MATCH(Меню!$D$11,Рецепты!$H$6:$H$85,0)+17)=Меню!$D$11,FALSE),INDEX(Рецепты!$J$6:$J$85,MATCH(Меню!$D$11,Рецепты!$H$6:$H$85,0)+17),""),"")</f>
        <v/>
      </c>
      <c r="F148" s="3" t="str">
        <f>IF($E148="","",INDEX(Рецепты!$K$6:$K$85,MATCH(Меню!$D$11,Рецепты!$H$6:$H$85,0)+17))</f>
        <v/>
      </c>
      <c r="G148" s="3" t="str">
        <f>IF($E148="","",INDEX(Рецепты!$M$6:$M$85,MATCH(Меню!$D$11,Рецепты!$H$6:$H$85,0)+17))</f>
        <v/>
      </c>
      <c r="H148" s="12">
        <f>IFERROR(IF(IFERROR(INDEX(Рецепты!$H$6:$H$85,MATCH(Меню!$D$11,Рецепты!$H$6:$H$85,0)+17)=Меню!$D$11,FALSE),INDEX(Рецепты!$L$6:$L$85,MATCH(Меню!$D$11,Рецепты!$H$6:$H$85,0)+17),0),0)</f>
        <v>0</v>
      </c>
      <c r="I148" s="12" t="str">
        <f>IF($F148="","",Меню!$E$11)</f>
        <v/>
      </c>
      <c r="J148" s="12">
        <f t="shared" si="2"/>
        <v>0</v>
      </c>
      <c r="K148" s="12">
        <f>IFERROR($J148/100*INDEX(Продукты!$G$6:$G$66,MATCH($E148,Продукты!$A$6:$A$66,0)),0)</f>
        <v>0</v>
      </c>
      <c r="L148" s="12">
        <f>IFERROR($J148/100*INDEX(Продукты!$H$6:$H$66,MATCH($E148,Продукты!$A$6:$A$66,0)),0)</f>
        <v>0</v>
      </c>
      <c r="M148" s="12">
        <f>IFERROR($J148/100*INDEX(Продукты!$I$6:$I$66,MATCH($E148,Продукты!$A$6:$A$66,0)),0)</f>
        <v>0</v>
      </c>
      <c r="N148" s="12">
        <f>IFERROR($J148/100*INDEX(Продукты!$J$6:$J$66,MATCH($E148,Продукты!$A$6:$A$66,0)),0)</f>
        <v>0</v>
      </c>
      <c r="O148" s="3" t="str">
        <f>IFERROR(IF(IFERROR(INDEX(Рецепты!$H$6:$H$85,MATCH(Меню!$D$11,Рецепты!$H$6:$H$85,0)+17)=Меню!$D$11,FALSE),INDEX(Рецепты!$N$6:$N$85,MATCH(Меню!$D$11,Рецепты!$H$6:$H$85,0)+17),""),"")</f>
        <v/>
      </c>
    </row>
    <row r="149" spans="1:15">
      <c r="A149" s="3" t="str">
        <f>IF($E149="","",Меню!$A$11)</f>
        <v/>
      </c>
      <c r="B149" s="3" t="str">
        <f>IF($E149="","",Меню!$B$11)</f>
        <v/>
      </c>
      <c r="C149" s="3" t="str">
        <f>IF($E149="","",Меню!$C$11)</f>
        <v/>
      </c>
      <c r="D149" s="3" t="str">
        <f>IF($E149="","",Меню!$D$11)</f>
        <v/>
      </c>
      <c r="E149" s="3" t="str">
        <f>IFERROR(IF(IFERROR(INDEX(Рецепты!$H$6:$H$85,MATCH(Меню!$D$11,Рецепты!$H$6:$H$85,0)+18)=Меню!$D$11,FALSE),INDEX(Рецепты!$J$6:$J$85,MATCH(Меню!$D$11,Рецепты!$H$6:$H$85,0)+18),""),"")</f>
        <v/>
      </c>
      <c r="F149" s="3" t="str">
        <f>IF($E149="","",INDEX(Рецепты!$K$6:$K$85,MATCH(Меню!$D$11,Рецепты!$H$6:$H$85,0)+18))</f>
        <v/>
      </c>
      <c r="G149" s="3" t="str">
        <f>IF($E149="","",INDEX(Рецепты!$M$6:$M$85,MATCH(Меню!$D$11,Рецепты!$H$6:$H$85,0)+18))</f>
        <v/>
      </c>
      <c r="H149" s="12">
        <f>IFERROR(IF(IFERROR(INDEX(Рецепты!$H$6:$H$85,MATCH(Меню!$D$11,Рецепты!$H$6:$H$85,0)+18)=Меню!$D$11,FALSE),INDEX(Рецепты!$L$6:$L$85,MATCH(Меню!$D$11,Рецепты!$H$6:$H$85,0)+18),0),0)</f>
        <v>0</v>
      </c>
      <c r="I149" s="12" t="str">
        <f>IF($F149="","",Меню!$E$11)</f>
        <v/>
      </c>
      <c r="J149" s="12">
        <f t="shared" si="2"/>
        <v>0</v>
      </c>
      <c r="K149" s="12">
        <f>IFERROR($J149/100*INDEX(Продукты!$G$6:$G$66,MATCH($E149,Продукты!$A$6:$A$66,0)),0)</f>
        <v>0</v>
      </c>
      <c r="L149" s="12">
        <f>IFERROR($J149/100*INDEX(Продукты!$H$6:$H$66,MATCH($E149,Продукты!$A$6:$A$66,0)),0)</f>
        <v>0</v>
      </c>
      <c r="M149" s="12">
        <f>IFERROR($J149/100*INDEX(Продукты!$I$6:$I$66,MATCH($E149,Продукты!$A$6:$A$66,0)),0)</f>
        <v>0</v>
      </c>
      <c r="N149" s="12">
        <f>IFERROR($J149/100*INDEX(Продукты!$J$6:$J$66,MATCH($E149,Продукты!$A$6:$A$66,0)),0)</f>
        <v>0</v>
      </c>
      <c r="O149" s="3" t="str">
        <f>IFERROR(IF(IFERROR(INDEX(Рецепты!$H$6:$H$85,MATCH(Меню!$D$11,Рецепты!$H$6:$H$85,0)+18)=Меню!$D$11,FALSE),INDEX(Рецепты!$N$6:$N$85,MATCH(Меню!$D$11,Рецепты!$H$6:$H$85,0)+18),""),"")</f>
        <v/>
      </c>
    </row>
    <row r="150" spans="1:15">
      <c r="A150" s="3" t="str">
        <f>IF($E150="","",Меню!$A$11)</f>
        <v/>
      </c>
      <c r="B150" s="3" t="str">
        <f>IF($E150="","",Меню!$B$11)</f>
        <v/>
      </c>
      <c r="C150" s="3" t="str">
        <f>IF($E150="","",Меню!$C$11)</f>
        <v/>
      </c>
      <c r="D150" s="3" t="str">
        <f>IF($E150="","",Меню!$D$11)</f>
        <v/>
      </c>
      <c r="E150" s="3" t="str">
        <f>IFERROR(IF(IFERROR(INDEX(Рецепты!$H$6:$H$85,MATCH(Меню!$D$11,Рецепты!$H$6:$H$85,0)+19)=Меню!$D$11,FALSE),INDEX(Рецепты!$J$6:$J$85,MATCH(Меню!$D$11,Рецепты!$H$6:$H$85,0)+19),""),"")</f>
        <v/>
      </c>
      <c r="F150" s="3" t="str">
        <f>IF($E150="","",INDEX(Рецепты!$K$6:$K$85,MATCH(Меню!$D$11,Рецепты!$H$6:$H$85,0)+19))</f>
        <v/>
      </c>
      <c r="G150" s="3" t="str">
        <f>IF($E150="","",INDEX(Рецепты!$M$6:$M$85,MATCH(Меню!$D$11,Рецепты!$H$6:$H$85,0)+19))</f>
        <v/>
      </c>
      <c r="H150" s="12">
        <f>IFERROR(IF(IFERROR(INDEX(Рецепты!$H$6:$H$85,MATCH(Меню!$D$11,Рецепты!$H$6:$H$85,0)+19)=Меню!$D$11,FALSE),INDEX(Рецепты!$L$6:$L$85,MATCH(Меню!$D$11,Рецепты!$H$6:$H$85,0)+19),0),0)</f>
        <v>0</v>
      </c>
      <c r="I150" s="12" t="str">
        <f>IF($F150="","",Меню!$E$11)</f>
        <v/>
      </c>
      <c r="J150" s="12">
        <f t="shared" si="2"/>
        <v>0</v>
      </c>
      <c r="K150" s="12">
        <f>IFERROR($J150/100*INDEX(Продукты!$G$6:$G$66,MATCH($E150,Продукты!$A$6:$A$66,0)),0)</f>
        <v>0</v>
      </c>
      <c r="L150" s="12">
        <f>IFERROR($J150/100*INDEX(Продукты!$H$6:$H$66,MATCH($E150,Продукты!$A$6:$A$66,0)),0)</f>
        <v>0</v>
      </c>
      <c r="M150" s="12">
        <f>IFERROR($J150/100*INDEX(Продукты!$I$6:$I$66,MATCH($E150,Продукты!$A$6:$A$66,0)),0)</f>
        <v>0</v>
      </c>
      <c r="N150" s="12">
        <f>IFERROR($J150/100*INDEX(Продукты!$J$6:$J$66,MATCH($E150,Продукты!$A$6:$A$66,0)),0)</f>
        <v>0</v>
      </c>
      <c r="O150" s="3" t="str">
        <f>IFERROR(IF(IFERROR(INDEX(Рецепты!$H$6:$H$85,MATCH(Меню!$D$11,Рецепты!$H$6:$H$85,0)+19)=Меню!$D$11,FALSE),INDEX(Рецепты!$N$6:$N$85,MATCH(Меню!$D$11,Рецепты!$H$6:$H$85,0)+19),""),"")</f>
        <v/>
      </c>
    </row>
    <row r="151" spans="1:15">
      <c r="A151" s="3" t="str">
        <f>IF($E151="","",Меню!$A$11)</f>
        <v/>
      </c>
      <c r="B151" s="3" t="str">
        <f>IF($E151="","",Меню!$B$11)</f>
        <v/>
      </c>
      <c r="C151" s="3" t="str">
        <f>IF($E151="","",Меню!$C$11)</f>
        <v/>
      </c>
      <c r="D151" s="3" t="str">
        <f>IF($E151="","",Меню!$D$11)</f>
        <v/>
      </c>
      <c r="E151" s="3" t="str">
        <f>IFERROR(IF(IFERROR(INDEX(Рецепты!$H$6:$H$85,MATCH(Меню!$D$11,Рецепты!$H$6:$H$85,0)+20)=Меню!$D$11,FALSE),INDEX(Рецепты!$J$6:$J$85,MATCH(Меню!$D$11,Рецепты!$H$6:$H$85,0)+20),""),"")</f>
        <v/>
      </c>
      <c r="F151" s="3" t="str">
        <f>IF($E151="","",INDEX(Рецепты!$K$6:$K$85,MATCH(Меню!$D$11,Рецепты!$H$6:$H$85,0)+20))</f>
        <v/>
      </c>
      <c r="G151" s="3" t="str">
        <f>IF($E151="","",INDEX(Рецепты!$M$6:$M$85,MATCH(Меню!$D$11,Рецепты!$H$6:$H$85,0)+20))</f>
        <v/>
      </c>
      <c r="H151" s="12">
        <f>IFERROR(IF(IFERROR(INDEX(Рецепты!$H$6:$H$85,MATCH(Меню!$D$11,Рецепты!$H$6:$H$85,0)+20)=Меню!$D$11,FALSE),INDEX(Рецепты!$L$6:$L$85,MATCH(Меню!$D$11,Рецепты!$H$6:$H$85,0)+20),0),0)</f>
        <v>0</v>
      </c>
      <c r="I151" s="12" t="str">
        <f>IF($F151="","",Меню!$E$11)</f>
        <v/>
      </c>
      <c r="J151" s="12">
        <f t="shared" si="2"/>
        <v>0</v>
      </c>
      <c r="K151" s="12">
        <f>IFERROR($J151/100*INDEX(Продукты!$G$6:$G$66,MATCH($E151,Продукты!$A$6:$A$66,0)),0)</f>
        <v>0</v>
      </c>
      <c r="L151" s="12">
        <f>IFERROR($J151/100*INDEX(Продукты!$H$6:$H$66,MATCH($E151,Продукты!$A$6:$A$66,0)),0)</f>
        <v>0</v>
      </c>
      <c r="M151" s="12">
        <f>IFERROR($J151/100*INDEX(Продукты!$I$6:$I$66,MATCH($E151,Продукты!$A$6:$A$66,0)),0)</f>
        <v>0</v>
      </c>
      <c r="N151" s="12">
        <f>IFERROR($J151/100*INDEX(Продукты!$J$6:$J$66,MATCH($E151,Продукты!$A$6:$A$66,0)),0)</f>
        <v>0</v>
      </c>
      <c r="O151" s="3" t="str">
        <f>IFERROR(IF(IFERROR(INDEX(Рецепты!$H$6:$H$85,MATCH(Меню!$D$11,Рецепты!$H$6:$H$85,0)+20)=Меню!$D$11,FALSE),INDEX(Рецепты!$N$6:$N$85,MATCH(Меню!$D$11,Рецепты!$H$6:$H$85,0)+20),""),"")</f>
        <v/>
      </c>
    </row>
    <row r="152" spans="1:15">
      <c r="A152" s="3" t="str">
        <f>IF($E152="","",Меню!$A$11)</f>
        <v/>
      </c>
      <c r="B152" s="3" t="str">
        <f>IF($E152="","",Меню!$B$11)</f>
        <v/>
      </c>
      <c r="C152" s="3" t="str">
        <f>IF($E152="","",Меню!$C$11)</f>
        <v/>
      </c>
      <c r="D152" s="3" t="str">
        <f>IF($E152="","",Меню!$D$11)</f>
        <v/>
      </c>
      <c r="E152" s="3" t="str">
        <f>IFERROR(IF(IFERROR(INDEX(Рецепты!$H$6:$H$85,MATCH(Меню!$D$11,Рецепты!$H$6:$H$85,0)+21)=Меню!$D$11,FALSE),INDEX(Рецепты!$J$6:$J$85,MATCH(Меню!$D$11,Рецепты!$H$6:$H$85,0)+21),""),"")</f>
        <v/>
      </c>
      <c r="F152" s="3" t="str">
        <f>IF($E152="","",INDEX(Рецепты!$K$6:$K$85,MATCH(Меню!$D$11,Рецепты!$H$6:$H$85,0)+21))</f>
        <v/>
      </c>
      <c r="G152" s="3" t="str">
        <f>IF($E152="","",INDEX(Рецепты!$M$6:$M$85,MATCH(Меню!$D$11,Рецепты!$H$6:$H$85,0)+21))</f>
        <v/>
      </c>
      <c r="H152" s="12">
        <f>IFERROR(IF(IFERROR(INDEX(Рецепты!$H$6:$H$85,MATCH(Меню!$D$11,Рецепты!$H$6:$H$85,0)+21)=Меню!$D$11,FALSE),INDEX(Рецепты!$L$6:$L$85,MATCH(Меню!$D$11,Рецепты!$H$6:$H$85,0)+21),0),0)</f>
        <v>0</v>
      </c>
      <c r="I152" s="12" t="str">
        <f>IF($F152="","",Меню!$E$11)</f>
        <v/>
      </c>
      <c r="J152" s="12">
        <f t="shared" si="2"/>
        <v>0</v>
      </c>
      <c r="K152" s="12">
        <f>IFERROR($J152/100*INDEX(Продукты!$G$6:$G$66,MATCH($E152,Продукты!$A$6:$A$66,0)),0)</f>
        <v>0</v>
      </c>
      <c r="L152" s="12">
        <f>IFERROR($J152/100*INDEX(Продукты!$H$6:$H$66,MATCH($E152,Продукты!$A$6:$A$66,0)),0)</f>
        <v>0</v>
      </c>
      <c r="M152" s="12">
        <f>IFERROR($J152/100*INDEX(Продукты!$I$6:$I$66,MATCH($E152,Продукты!$A$6:$A$66,0)),0)</f>
        <v>0</v>
      </c>
      <c r="N152" s="12">
        <f>IFERROR($J152/100*INDEX(Продукты!$J$6:$J$66,MATCH($E152,Продукты!$A$6:$A$66,0)),0)</f>
        <v>0</v>
      </c>
      <c r="O152" s="3" t="str">
        <f>IFERROR(IF(IFERROR(INDEX(Рецепты!$H$6:$H$85,MATCH(Меню!$D$11,Рецепты!$H$6:$H$85,0)+21)=Меню!$D$11,FALSE),INDEX(Рецепты!$N$6:$N$85,MATCH(Меню!$D$11,Рецепты!$H$6:$H$85,0)+21),""),"")</f>
        <v/>
      </c>
    </row>
    <row r="153" spans="1:15">
      <c r="A153" s="3" t="str">
        <f>IF($E153="","",Меню!$A$11)</f>
        <v/>
      </c>
      <c r="B153" s="3" t="str">
        <f>IF($E153="","",Меню!$B$11)</f>
        <v/>
      </c>
      <c r="C153" s="3" t="str">
        <f>IF($E153="","",Меню!$C$11)</f>
        <v/>
      </c>
      <c r="D153" s="3" t="str">
        <f>IF($E153="","",Меню!$D$11)</f>
        <v/>
      </c>
      <c r="E153" s="3" t="str">
        <f>IFERROR(IF(IFERROR(INDEX(Рецепты!$H$6:$H$85,MATCH(Меню!$D$11,Рецепты!$H$6:$H$85,0)+22)=Меню!$D$11,FALSE),INDEX(Рецепты!$J$6:$J$85,MATCH(Меню!$D$11,Рецепты!$H$6:$H$85,0)+22),""),"")</f>
        <v/>
      </c>
      <c r="F153" s="3" t="str">
        <f>IF($E153="","",INDEX(Рецепты!$K$6:$K$85,MATCH(Меню!$D$11,Рецепты!$H$6:$H$85,0)+22))</f>
        <v/>
      </c>
      <c r="G153" s="3" t="str">
        <f>IF($E153="","",INDEX(Рецепты!$M$6:$M$85,MATCH(Меню!$D$11,Рецепты!$H$6:$H$85,0)+22))</f>
        <v/>
      </c>
      <c r="H153" s="12">
        <f>IFERROR(IF(IFERROR(INDEX(Рецепты!$H$6:$H$85,MATCH(Меню!$D$11,Рецепты!$H$6:$H$85,0)+22)=Меню!$D$11,FALSE),INDEX(Рецепты!$L$6:$L$85,MATCH(Меню!$D$11,Рецепты!$H$6:$H$85,0)+22),0),0)</f>
        <v>0</v>
      </c>
      <c r="I153" s="12" t="str">
        <f>IF($F153="","",Меню!$E$11)</f>
        <v/>
      </c>
      <c r="J153" s="12">
        <f t="shared" si="2"/>
        <v>0</v>
      </c>
      <c r="K153" s="12">
        <f>IFERROR($J153/100*INDEX(Продукты!$G$6:$G$66,MATCH($E153,Продукты!$A$6:$A$66,0)),0)</f>
        <v>0</v>
      </c>
      <c r="L153" s="12">
        <f>IFERROR($J153/100*INDEX(Продукты!$H$6:$H$66,MATCH($E153,Продукты!$A$6:$A$66,0)),0)</f>
        <v>0</v>
      </c>
      <c r="M153" s="12">
        <f>IFERROR($J153/100*INDEX(Продукты!$I$6:$I$66,MATCH($E153,Продукты!$A$6:$A$66,0)),0)</f>
        <v>0</v>
      </c>
      <c r="N153" s="12">
        <f>IFERROR($J153/100*INDEX(Продукты!$J$6:$J$66,MATCH($E153,Продукты!$A$6:$A$66,0)),0)</f>
        <v>0</v>
      </c>
      <c r="O153" s="3" t="str">
        <f>IFERROR(IF(IFERROR(INDEX(Рецепты!$H$6:$H$85,MATCH(Меню!$D$11,Рецепты!$H$6:$H$85,0)+22)=Меню!$D$11,FALSE),INDEX(Рецепты!$N$6:$N$85,MATCH(Меню!$D$11,Рецепты!$H$6:$H$85,0)+22),""),"")</f>
        <v/>
      </c>
    </row>
    <row r="154" spans="1:15">
      <c r="A154" s="3" t="str">
        <f>IF($E154="","",Меню!$A$11)</f>
        <v/>
      </c>
      <c r="B154" s="3" t="str">
        <f>IF($E154="","",Меню!$B$11)</f>
        <v/>
      </c>
      <c r="C154" s="3" t="str">
        <f>IF($E154="","",Меню!$C$11)</f>
        <v/>
      </c>
      <c r="D154" s="3" t="str">
        <f>IF($E154="","",Меню!$D$11)</f>
        <v/>
      </c>
      <c r="E154" s="3" t="str">
        <f>IFERROR(IF(IFERROR(INDEX(Рецепты!$H$6:$H$85,MATCH(Меню!$D$11,Рецепты!$H$6:$H$85,0)+23)=Меню!$D$11,FALSE),INDEX(Рецепты!$J$6:$J$85,MATCH(Меню!$D$11,Рецепты!$H$6:$H$85,0)+23),""),"")</f>
        <v/>
      </c>
      <c r="F154" s="3" t="str">
        <f>IF($E154="","",INDEX(Рецепты!$K$6:$K$85,MATCH(Меню!$D$11,Рецепты!$H$6:$H$85,0)+23))</f>
        <v/>
      </c>
      <c r="G154" s="3" t="str">
        <f>IF($E154="","",INDEX(Рецепты!$M$6:$M$85,MATCH(Меню!$D$11,Рецепты!$H$6:$H$85,0)+23))</f>
        <v/>
      </c>
      <c r="H154" s="12">
        <f>IFERROR(IF(IFERROR(INDEX(Рецепты!$H$6:$H$85,MATCH(Меню!$D$11,Рецепты!$H$6:$H$85,0)+23)=Меню!$D$11,FALSE),INDEX(Рецепты!$L$6:$L$85,MATCH(Меню!$D$11,Рецепты!$H$6:$H$85,0)+23),0),0)</f>
        <v>0</v>
      </c>
      <c r="I154" s="12" t="str">
        <f>IF($F154="","",Меню!$E$11)</f>
        <v/>
      </c>
      <c r="J154" s="12">
        <f t="shared" si="2"/>
        <v>0</v>
      </c>
      <c r="K154" s="12">
        <f>IFERROR($J154/100*INDEX(Продукты!$G$6:$G$66,MATCH($E154,Продукты!$A$6:$A$66,0)),0)</f>
        <v>0</v>
      </c>
      <c r="L154" s="12">
        <f>IFERROR($J154/100*INDEX(Продукты!$H$6:$H$66,MATCH($E154,Продукты!$A$6:$A$66,0)),0)</f>
        <v>0</v>
      </c>
      <c r="M154" s="12">
        <f>IFERROR($J154/100*INDEX(Продукты!$I$6:$I$66,MATCH($E154,Продукты!$A$6:$A$66,0)),0)</f>
        <v>0</v>
      </c>
      <c r="N154" s="12">
        <f>IFERROR($J154/100*INDEX(Продукты!$J$6:$J$66,MATCH($E154,Продукты!$A$6:$A$66,0)),0)</f>
        <v>0</v>
      </c>
      <c r="O154" s="3" t="str">
        <f>IFERROR(IF(IFERROR(INDEX(Рецепты!$H$6:$H$85,MATCH(Меню!$D$11,Рецепты!$H$6:$H$85,0)+23)=Меню!$D$11,FALSE),INDEX(Рецепты!$N$6:$N$85,MATCH(Меню!$D$11,Рецепты!$H$6:$H$85,0)+23),""),"")</f>
        <v/>
      </c>
    </row>
    <row r="155" spans="1:15">
      <c r="A155" s="3" t="str">
        <f>IF($E155="","",Меню!$A$11)</f>
        <v/>
      </c>
      <c r="B155" s="3" t="str">
        <f>IF($E155="","",Меню!$B$11)</f>
        <v/>
      </c>
      <c r="C155" s="3" t="str">
        <f>IF($E155="","",Меню!$C$11)</f>
        <v/>
      </c>
      <c r="D155" s="3" t="str">
        <f>IF($E155="","",Меню!$D$11)</f>
        <v/>
      </c>
      <c r="E155" s="3" t="str">
        <f>IFERROR(IF(IFERROR(INDEX(Рецепты!$H$6:$H$85,MATCH(Меню!$D$11,Рецепты!$H$6:$H$85,0)+24)=Меню!$D$11,FALSE),INDEX(Рецепты!$J$6:$J$85,MATCH(Меню!$D$11,Рецепты!$H$6:$H$85,0)+24),""),"")</f>
        <v/>
      </c>
      <c r="F155" s="3" t="str">
        <f>IF($E155="","",INDEX(Рецепты!$K$6:$K$85,MATCH(Меню!$D$11,Рецепты!$H$6:$H$85,0)+24))</f>
        <v/>
      </c>
      <c r="G155" s="3" t="str">
        <f>IF($E155="","",INDEX(Рецепты!$M$6:$M$85,MATCH(Меню!$D$11,Рецепты!$H$6:$H$85,0)+24))</f>
        <v/>
      </c>
      <c r="H155" s="12">
        <f>IFERROR(IF(IFERROR(INDEX(Рецепты!$H$6:$H$85,MATCH(Меню!$D$11,Рецепты!$H$6:$H$85,0)+24)=Меню!$D$11,FALSE),INDEX(Рецепты!$L$6:$L$85,MATCH(Меню!$D$11,Рецепты!$H$6:$H$85,0)+24),0),0)</f>
        <v>0</v>
      </c>
      <c r="I155" s="12" t="str">
        <f>IF($F155="","",Меню!$E$11)</f>
        <v/>
      </c>
      <c r="J155" s="12">
        <f t="shared" si="2"/>
        <v>0</v>
      </c>
      <c r="K155" s="12">
        <f>IFERROR($J155/100*INDEX(Продукты!$G$6:$G$66,MATCH($E155,Продукты!$A$6:$A$66,0)),0)</f>
        <v>0</v>
      </c>
      <c r="L155" s="12">
        <f>IFERROR($J155/100*INDEX(Продукты!$H$6:$H$66,MATCH($E155,Продукты!$A$6:$A$66,0)),0)</f>
        <v>0</v>
      </c>
      <c r="M155" s="12">
        <f>IFERROR($J155/100*INDEX(Продукты!$I$6:$I$66,MATCH($E155,Продукты!$A$6:$A$66,0)),0)</f>
        <v>0</v>
      </c>
      <c r="N155" s="12">
        <f>IFERROR($J155/100*INDEX(Продукты!$J$6:$J$66,MATCH($E155,Продукты!$A$6:$A$66,0)),0)</f>
        <v>0</v>
      </c>
      <c r="O155" s="3" t="str">
        <f>IFERROR(IF(IFERROR(INDEX(Рецепты!$H$6:$H$85,MATCH(Меню!$D$11,Рецепты!$H$6:$H$85,0)+24)=Меню!$D$11,FALSE),INDEX(Рецепты!$N$6:$N$85,MATCH(Меню!$D$11,Рецепты!$H$6:$H$85,0)+24),""),"")</f>
        <v/>
      </c>
    </row>
    <row r="156" spans="1:15">
      <c r="A156" s="3" t="str">
        <f>IF($E156="","",Меню!$A$12)</f>
        <v/>
      </c>
      <c r="B156" s="3" t="str">
        <f>IF($E156="","",Меню!$B$12)</f>
        <v/>
      </c>
      <c r="C156" s="3" t="str">
        <f>IF($E156="","",Меню!$C$12)</f>
        <v/>
      </c>
      <c r="D156" s="3" t="str">
        <f>IF($E156="","",Меню!$D$12)</f>
        <v/>
      </c>
      <c r="E156" s="3" t="str">
        <f>IFERROR(IF(IFERROR(INDEX(Рецепты!$H$6:$H$85,MATCH(Меню!$D$12,Рецепты!$H$6:$H$85,0)+0)=Меню!$D$12,FALSE),INDEX(Рецепты!$J$6:$J$85,MATCH(Меню!$D$12,Рецепты!$H$6:$H$85,0)+0),""),"")</f>
        <v/>
      </c>
      <c r="F156" s="3" t="str">
        <f>IF($E156="","",INDEX(Рецепты!$K$6:$K$85,MATCH(Меню!$D$12,Рецепты!$H$6:$H$85,0)+0))</f>
        <v/>
      </c>
      <c r="G156" s="3" t="str">
        <f>IF($E156="","",INDEX(Рецепты!$M$6:$M$85,MATCH(Меню!$D$12,Рецепты!$H$6:$H$85,0)+0))</f>
        <v/>
      </c>
      <c r="H156" s="12">
        <f>IFERROR(IF(IFERROR(INDEX(Рецепты!$H$6:$H$85,MATCH(Меню!$D$12,Рецепты!$H$6:$H$85,0)+0)=Меню!$D$12,FALSE),INDEX(Рецепты!$L$6:$L$85,MATCH(Меню!$D$12,Рецепты!$H$6:$H$85,0)+0),0),0)</f>
        <v>0</v>
      </c>
      <c r="I156" s="12" t="str">
        <f>IF($F156="","",Меню!$E$12)</f>
        <v/>
      </c>
      <c r="J156" s="12">
        <f t="shared" si="2"/>
        <v>0</v>
      </c>
      <c r="K156" s="12">
        <f>IFERROR($J156/100*INDEX(Продукты!$G$6:$G$66,MATCH($E156,Продукты!$A$6:$A$66,0)),0)</f>
        <v>0</v>
      </c>
      <c r="L156" s="12">
        <f>IFERROR($J156/100*INDEX(Продукты!$H$6:$H$66,MATCH($E156,Продукты!$A$6:$A$66,0)),0)</f>
        <v>0</v>
      </c>
      <c r="M156" s="12">
        <f>IFERROR($J156/100*INDEX(Продукты!$I$6:$I$66,MATCH($E156,Продукты!$A$6:$A$66,0)),0)</f>
        <v>0</v>
      </c>
      <c r="N156" s="12">
        <f>IFERROR($J156/100*INDEX(Продукты!$J$6:$J$66,MATCH($E156,Продукты!$A$6:$A$66,0)),0)</f>
        <v>0</v>
      </c>
      <c r="O156" s="3" t="str">
        <f>IFERROR(IF(IFERROR(INDEX(Рецепты!$H$6:$H$85,MATCH(Меню!$D$12,Рецепты!$H$6:$H$85,0)+0)=Меню!$D$12,FALSE),INDEX(Рецепты!$N$6:$N$85,MATCH(Меню!$D$12,Рецепты!$H$6:$H$85,0)+0),""),"")</f>
        <v/>
      </c>
    </row>
    <row r="157" spans="1:15">
      <c r="A157" s="3" t="str">
        <f>IF($E157="","",Меню!$A$12)</f>
        <v/>
      </c>
      <c r="B157" s="3" t="str">
        <f>IF($E157="","",Меню!$B$12)</f>
        <v/>
      </c>
      <c r="C157" s="3" t="str">
        <f>IF($E157="","",Меню!$C$12)</f>
        <v/>
      </c>
      <c r="D157" s="3" t="str">
        <f>IF($E157="","",Меню!$D$12)</f>
        <v/>
      </c>
      <c r="E157" s="3" t="str">
        <f>IFERROR(IF(IFERROR(INDEX(Рецепты!$H$6:$H$85,MATCH(Меню!$D$12,Рецепты!$H$6:$H$85,0)+1)=Меню!$D$12,FALSE),INDEX(Рецепты!$J$6:$J$85,MATCH(Меню!$D$12,Рецепты!$H$6:$H$85,0)+1),""),"")</f>
        <v/>
      </c>
      <c r="F157" s="3" t="str">
        <f>IF($E157="","",INDEX(Рецепты!$K$6:$K$85,MATCH(Меню!$D$12,Рецепты!$H$6:$H$85,0)+1))</f>
        <v/>
      </c>
      <c r="G157" s="3" t="str">
        <f>IF($E157="","",INDEX(Рецепты!$M$6:$M$85,MATCH(Меню!$D$12,Рецепты!$H$6:$H$85,0)+1))</f>
        <v/>
      </c>
      <c r="H157" s="12">
        <f>IFERROR(IF(IFERROR(INDEX(Рецепты!$H$6:$H$85,MATCH(Меню!$D$12,Рецепты!$H$6:$H$85,0)+1)=Меню!$D$12,FALSE),INDEX(Рецепты!$L$6:$L$85,MATCH(Меню!$D$12,Рецепты!$H$6:$H$85,0)+1),0),0)</f>
        <v>0</v>
      </c>
      <c r="I157" s="12" t="str">
        <f>IF($F157="","",Меню!$E$12)</f>
        <v/>
      </c>
      <c r="J157" s="12">
        <f t="shared" si="2"/>
        <v>0</v>
      </c>
      <c r="K157" s="12">
        <f>IFERROR($J157/100*INDEX(Продукты!$G$6:$G$66,MATCH($E157,Продукты!$A$6:$A$66,0)),0)</f>
        <v>0</v>
      </c>
      <c r="L157" s="12">
        <f>IFERROR($J157/100*INDEX(Продукты!$H$6:$H$66,MATCH($E157,Продукты!$A$6:$A$66,0)),0)</f>
        <v>0</v>
      </c>
      <c r="M157" s="12">
        <f>IFERROR($J157/100*INDEX(Продукты!$I$6:$I$66,MATCH($E157,Продукты!$A$6:$A$66,0)),0)</f>
        <v>0</v>
      </c>
      <c r="N157" s="12">
        <f>IFERROR($J157/100*INDEX(Продукты!$J$6:$J$66,MATCH($E157,Продукты!$A$6:$A$66,0)),0)</f>
        <v>0</v>
      </c>
      <c r="O157" s="3" t="str">
        <f>IFERROR(IF(IFERROR(INDEX(Рецепты!$H$6:$H$85,MATCH(Меню!$D$12,Рецепты!$H$6:$H$85,0)+1)=Меню!$D$12,FALSE),INDEX(Рецепты!$N$6:$N$85,MATCH(Меню!$D$12,Рецепты!$H$6:$H$85,0)+1),""),"")</f>
        <v/>
      </c>
    </row>
    <row r="158" spans="1:15">
      <c r="A158" s="3" t="str">
        <f>IF($E158="","",Меню!$A$12)</f>
        <v/>
      </c>
      <c r="B158" s="3" t="str">
        <f>IF($E158="","",Меню!$B$12)</f>
        <v/>
      </c>
      <c r="C158" s="3" t="str">
        <f>IF($E158="","",Меню!$C$12)</f>
        <v/>
      </c>
      <c r="D158" s="3" t="str">
        <f>IF($E158="","",Меню!$D$12)</f>
        <v/>
      </c>
      <c r="E158" s="3" t="str">
        <f>IFERROR(IF(IFERROR(INDEX(Рецепты!$H$6:$H$85,MATCH(Меню!$D$12,Рецепты!$H$6:$H$85,0)+2)=Меню!$D$12,FALSE),INDEX(Рецепты!$J$6:$J$85,MATCH(Меню!$D$12,Рецепты!$H$6:$H$85,0)+2),""),"")</f>
        <v/>
      </c>
      <c r="F158" s="3" t="str">
        <f>IF($E158="","",INDEX(Рецепты!$K$6:$K$85,MATCH(Меню!$D$12,Рецепты!$H$6:$H$85,0)+2))</f>
        <v/>
      </c>
      <c r="G158" s="3" t="str">
        <f>IF($E158="","",INDEX(Рецепты!$M$6:$M$85,MATCH(Меню!$D$12,Рецепты!$H$6:$H$85,0)+2))</f>
        <v/>
      </c>
      <c r="H158" s="12">
        <f>IFERROR(IF(IFERROR(INDEX(Рецепты!$H$6:$H$85,MATCH(Меню!$D$12,Рецепты!$H$6:$H$85,0)+2)=Меню!$D$12,FALSE),INDEX(Рецепты!$L$6:$L$85,MATCH(Меню!$D$12,Рецепты!$H$6:$H$85,0)+2),0),0)</f>
        <v>0</v>
      </c>
      <c r="I158" s="12" t="str">
        <f>IF($F158="","",Меню!$E$12)</f>
        <v/>
      </c>
      <c r="J158" s="12">
        <f t="shared" si="2"/>
        <v>0</v>
      </c>
      <c r="K158" s="12">
        <f>IFERROR($J158/100*INDEX(Продукты!$G$6:$G$66,MATCH($E158,Продукты!$A$6:$A$66,0)),0)</f>
        <v>0</v>
      </c>
      <c r="L158" s="12">
        <f>IFERROR($J158/100*INDEX(Продукты!$H$6:$H$66,MATCH($E158,Продукты!$A$6:$A$66,0)),0)</f>
        <v>0</v>
      </c>
      <c r="M158" s="12">
        <f>IFERROR($J158/100*INDEX(Продукты!$I$6:$I$66,MATCH($E158,Продукты!$A$6:$A$66,0)),0)</f>
        <v>0</v>
      </c>
      <c r="N158" s="12">
        <f>IFERROR($J158/100*INDEX(Продукты!$J$6:$J$66,MATCH($E158,Продукты!$A$6:$A$66,0)),0)</f>
        <v>0</v>
      </c>
      <c r="O158" s="3" t="str">
        <f>IFERROR(IF(IFERROR(INDEX(Рецепты!$H$6:$H$85,MATCH(Меню!$D$12,Рецепты!$H$6:$H$85,0)+2)=Меню!$D$12,FALSE),INDEX(Рецепты!$N$6:$N$85,MATCH(Меню!$D$12,Рецепты!$H$6:$H$85,0)+2),""),"")</f>
        <v/>
      </c>
    </row>
    <row r="159" spans="1:15">
      <c r="A159" s="3" t="str">
        <f>IF($E159="","",Меню!$A$12)</f>
        <v/>
      </c>
      <c r="B159" s="3" t="str">
        <f>IF($E159="","",Меню!$B$12)</f>
        <v/>
      </c>
      <c r="C159" s="3" t="str">
        <f>IF($E159="","",Меню!$C$12)</f>
        <v/>
      </c>
      <c r="D159" s="3" t="str">
        <f>IF($E159="","",Меню!$D$12)</f>
        <v/>
      </c>
      <c r="E159" s="3" t="str">
        <f>IFERROR(IF(IFERROR(INDEX(Рецепты!$H$6:$H$85,MATCH(Меню!$D$12,Рецепты!$H$6:$H$85,0)+3)=Меню!$D$12,FALSE),INDEX(Рецепты!$J$6:$J$85,MATCH(Меню!$D$12,Рецепты!$H$6:$H$85,0)+3),""),"")</f>
        <v/>
      </c>
      <c r="F159" s="3" t="str">
        <f>IF($E159="","",INDEX(Рецепты!$K$6:$K$85,MATCH(Меню!$D$12,Рецепты!$H$6:$H$85,0)+3))</f>
        <v/>
      </c>
      <c r="G159" s="3" t="str">
        <f>IF($E159="","",INDEX(Рецепты!$M$6:$M$85,MATCH(Меню!$D$12,Рецепты!$H$6:$H$85,0)+3))</f>
        <v/>
      </c>
      <c r="H159" s="12">
        <f>IFERROR(IF(IFERROR(INDEX(Рецепты!$H$6:$H$85,MATCH(Меню!$D$12,Рецепты!$H$6:$H$85,0)+3)=Меню!$D$12,FALSE),INDEX(Рецепты!$L$6:$L$85,MATCH(Меню!$D$12,Рецепты!$H$6:$H$85,0)+3),0),0)</f>
        <v>0</v>
      </c>
      <c r="I159" s="12" t="str">
        <f>IF($F159="","",Меню!$E$12)</f>
        <v/>
      </c>
      <c r="J159" s="12">
        <f t="shared" si="2"/>
        <v>0</v>
      </c>
      <c r="K159" s="12">
        <f>IFERROR($J159/100*INDEX(Продукты!$G$6:$G$66,MATCH($E159,Продукты!$A$6:$A$66,0)),0)</f>
        <v>0</v>
      </c>
      <c r="L159" s="12">
        <f>IFERROR($J159/100*INDEX(Продукты!$H$6:$H$66,MATCH($E159,Продукты!$A$6:$A$66,0)),0)</f>
        <v>0</v>
      </c>
      <c r="M159" s="12">
        <f>IFERROR($J159/100*INDEX(Продукты!$I$6:$I$66,MATCH($E159,Продукты!$A$6:$A$66,0)),0)</f>
        <v>0</v>
      </c>
      <c r="N159" s="12">
        <f>IFERROR($J159/100*INDEX(Продукты!$J$6:$J$66,MATCH($E159,Продукты!$A$6:$A$66,0)),0)</f>
        <v>0</v>
      </c>
      <c r="O159" s="3" t="str">
        <f>IFERROR(IF(IFERROR(INDEX(Рецепты!$H$6:$H$85,MATCH(Меню!$D$12,Рецепты!$H$6:$H$85,0)+3)=Меню!$D$12,FALSE),INDEX(Рецепты!$N$6:$N$85,MATCH(Меню!$D$12,Рецепты!$H$6:$H$85,0)+3),""),"")</f>
        <v/>
      </c>
    </row>
    <row r="160" spans="1:15">
      <c r="A160" s="3" t="str">
        <f>IF($E160="","",Меню!$A$12)</f>
        <v/>
      </c>
      <c r="B160" s="3" t="str">
        <f>IF($E160="","",Меню!$B$12)</f>
        <v/>
      </c>
      <c r="C160" s="3" t="str">
        <f>IF($E160="","",Меню!$C$12)</f>
        <v/>
      </c>
      <c r="D160" s="3" t="str">
        <f>IF($E160="","",Меню!$D$12)</f>
        <v/>
      </c>
      <c r="E160" s="3" t="str">
        <f>IFERROR(IF(IFERROR(INDEX(Рецепты!$H$6:$H$85,MATCH(Меню!$D$12,Рецепты!$H$6:$H$85,0)+4)=Меню!$D$12,FALSE),INDEX(Рецепты!$J$6:$J$85,MATCH(Меню!$D$12,Рецепты!$H$6:$H$85,0)+4),""),"")</f>
        <v/>
      </c>
      <c r="F160" s="3" t="str">
        <f>IF($E160="","",INDEX(Рецепты!$K$6:$K$85,MATCH(Меню!$D$12,Рецепты!$H$6:$H$85,0)+4))</f>
        <v/>
      </c>
      <c r="G160" s="3" t="str">
        <f>IF($E160="","",INDEX(Рецепты!$M$6:$M$85,MATCH(Меню!$D$12,Рецепты!$H$6:$H$85,0)+4))</f>
        <v/>
      </c>
      <c r="H160" s="12">
        <f>IFERROR(IF(IFERROR(INDEX(Рецепты!$H$6:$H$85,MATCH(Меню!$D$12,Рецепты!$H$6:$H$85,0)+4)=Меню!$D$12,FALSE),INDEX(Рецепты!$L$6:$L$85,MATCH(Меню!$D$12,Рецепты!$H$6:$H$85,0)+4),0),0)</f>
        <v>0</v>
      </c>
      <c r="I160" s="12" t="str">
        <f>IF($F160="","",Меню!$E$12)</f>
        <v/>
      </c>
      <c r="J160" s="12">
        <f t="shared" si="2"/>
        <v>0</v>
      </c>
      <c r="K160" s="12">
        <f>IFERROR($J160/100*INDEX(Продукты!$G$6:$G$66,MATCH($E160,Продукты!$A$6:$A$66,0)),0)</f>
        <v>0</v>
      </c>
      <c r="L160" s="12">
        <f>IFERROR($J160/100*INDEX(Продукты!$H$6:$H$66,MATCH($E160,Продукты!$A$6:$A$66,0)),0)</f>
        <v>0</v>
      </c>
      <c r="M160" s="12">
        <f>IFERROR($J160/100*INDEX(Продукты!$I$6:$I$66,MATCH($E160,Продукты!$A$6:$A$66,0)),0)</f>
        <v>0</v>
      </c>
      <c r="N160" s="12">
        <f>IFERROR($J160/100*INDEX(Продукты!$J$6:$J$66,MATCH($E160,Продукты!$A$6:$A$66,0)),0)</f>
        <v>0</v>
      </c>
      <c r="O160" s="3" t="str">
        <f>IFERROR(IF(IFERROR(INDEX(Рецепты!$H$6:$H$85,MATCH(Меню!$D$12,Рецепты!$H$6:$H$85,0)+4)=Меню!$D$12,FALSE),INDEX(Рецепты!$N$6:$N$85,MATCH(Меню!$D$12,Рецепты!$H$6:$H$85,0)+4),""),"")</f>
        <v/>
      </c>
    </row>
    <row r="161" spans="1:15">
      <c r="A161" s="3" t="str">
        <f>IF($E161="","",Меню!$A$12)</f>
        <v/>
      </c>
      <c r="B161" s="3" t="str">
        <f>IF($E161="","",Меню!$B$12)</f>
        <v/>
      </c>
      <c r="C161" s="3" t="str">
        <f>IF($E161="","",Меню!$C$12)</f>
        <v/>
      </c>
      <c r="D161" s="3" t="str">
        <f>IF($E161="","",Меню!$D$12)</f>
        <v/>
      </c>
      <c r="E161" s="3" t="str">
        <f>IFERROR(IF(IFERROR(INDEX(Рецепты!$H$6:$H$85,MATCH(Меню!$D$12,Рецепты!$H$6:$H$85,0)+5)=Меню!$D$12,FALSE),INDEX(Рецепты!$J$6:$J$85,MATCH(Меню!$D$12,Рецепты!$H$6:$H$85,0)+5),""),"")</f>
        <v/>
      </c>
      <c r="F161" s="3" t="str">
        <f>IF($E161="","",INDEX(Рецепты!$K$6:$K$85,MATCH(Меню!$D$12,Рецепты!$H$6:$H$85,0)+5))</f>
        <v/>
      </c>
      <c r="G161" s="3" t="str">
        <f>IF($E161="","",INDEX(Рецепты!$M$6:$M$85,MATCH(Меню!$D$12,Рецепты!$H$6:$H$85,0)+5))</f>
        <v/>
      </c>
      <c r="H161" s="12">
        <f>IFERROR(IF(IFERROR(INDEX(Рецепты!$H$6:$H$85,MATCH(Меню!$D$12,Рецепты!$H$6:$H$85,0)+5)=Меню!$D$12,FALSE),INDEX(Рецепты!$L$6:$L$85,MATCH(Меню!$D$12,Рецепты!$H$6:$H$85,0)+5),0),0)</f>
        <v>0</v>
      </c>
      <c r="I161" s="12" t="str">
        <f>IF($F161="","",Меню!$E$12)</f>
        <v/>
      </c>
      <c r="J161" s="12">
        <f t="shared" si="2"/>
        <v>0</v>
      </c>
      <c r="K161" s="12">
        <f>IFERROR($J161/100*INDEX(Продукты!$G$6:$G$66,MATCH($E161,Продукты!$A$6:$A$66,0)),0)</f>
        <v>0</v>
      </c>
      <c r="L161" s="12">
        <f>IFERROR($J161/100*INDEX(Продукты!$H$6:$H$66,MATCH($E161,Продукты!$A$6:$A$66,0)),0)</f>
        <v>0</v>
      </c>
      <c r="M161" s="12">
        <f>IFERROR($J161/100*INDEX(Продукты!$I$6:$I$66,MATCH($E161,Продукты!$A$6:$A$66,0)),0)</f>
        <v>0</v>
      </c>
      <c r="N161" s="12">
        <f>IFERROR($J161/100*INDEX(Продукты!$J$6:$J$66,MATCH($E161,Продукты!$A$6:$A$66,0)),0)</f>
        <v>0</v>
      </c>
      <c r="O161" s="3" t="str">
        <f>IFERROR(IF(IFERROR(INDEX(Рецепты!$H$6:$H$85,MATCH(Меню!$D$12,Рецепты!$H$6:$H$85,0)+5)=Меню!$D$12,FALSE),INDEX(Рецепты!$N$6:$N$85,MATCH(Меню!$D$12,Рецепты!$H$6:$H$85,0)+5),""),"")</f>
        <v/>
      </c>
    </row>
    <row r="162" spans="1:15">
      <c r="A162" s="3" t="str">
        <f>IF($E162="","",Меню!$A$12)</f>
        <v/>
      </c>
      <c r="B162" s="3" t="str">
        <f>IF($E162="","",Меню!$B$12)</f>
        <v/>
      </c>
      <c r="C162" s="3" t="str">
        <f>IF($E162="","",Меню!$C$12)</f>
        <v/>
      </c>
      <c r="D162" s="3" t="str">
        <f>IF($E162="","",Меню!$D$12)</f>
        <v/>
      </c>
      <c r="E162" s="3" t="str">
        <f>IFERROR(IF(IFERROR(INDEX(Рецепты!$H$6:$H$85,MATCH(Меню!$D$12,Рецепты!$H$6:$H$85,0)+6)=Меню!$D$12,FALSE),INDEX(Рецепты!$J$6:$J$85,MATCH(Меню!$D$12,Рецепты!$H$6:$H$85,0)+6),""),"")</f>
        <v/>
      </c>
      <c r="F162" s="3" t="str">
        <f>IF($E162="","",INDEX(Рецепты!$K$6:$K$85,MATCH(Меню!$D$12,Рецепты!$H$6:$H$85,0)+6))</f>
        <v/>
      </c>
      <c r="G162" s="3" t="str">
        <f>IF($E162="","",INDEX(Рецепты!$M$6:$M$85,MATCH(Меню!$D$12,Рецепты!$H$6:$H$85,0)+6))</f>
        <v/>
      </c>
      <c r="H162" s="12">
        <f>IFERROR(IF(IFERROR(INDEX(Рецепты!$H$6:$H$85,MATCH(Меню!$D$12,Рецепты!$H$6:$H$85,0)+6)=Меню!$D$12,FALSE),INDEX(Рецепты!$L$6:$L$85,MATCH(Меню!$D$12,Рецепты!$H$6:$H$85,0)+6),0),0)</f>
        <v>0</v>
      </c>
      <c r="I162" s="12" t="str">
        <f>IF($F162="","",Меню!$E$12)</f>
        <v/>
      </c>
      <c r="J162" s="12">
        <f t="shared" si="2"/>
        <v>0</v>
      </c>
      <c r="K162" s="12">
        <f>IFERROR($J162/100*INDEX(Продукты!$G$6:$G$66,MATCH($E162,Продукты!$A$6:$A$66,0)),0)</f>
        <v>0</v>
      </c>
      <c r="L162" s="12">
        <f>IFERROR($J162/100*INDEX(Продукты!$H$6:$H$66,MATCH($E162,Продукты!$A$6:$A$66,0)),0)</f>
        <v>0</v>
      </c>
      <c r="M162" s="12">
        <f>IFERROR($J162/100*INDEX(Продукты!$I$6:$I$66,MATCH($E162,Продукты!$A$6:$A$66,0)),0)</f>
        <v>0</v>
      </c>
      <c r="N162" s="12">
        <f>IFERROR($J162/100*INDEX(Продукты!$J$6:$J$66,MATCH($E162,Продукты!$A$6:$A$66,0)),0)</f>
        <v>0</v>
      </c>
      <c r="O162" s="3" t="str">
        <f>IFERROR(IF(IFERROR(INDEX(Рецепты!$H$6:$H$85,MATCH(Меню!$D$12,Рецепты!$H$6:$H$85,0)+6)=Меню!$D$12,FALSE),INDEX(Рецепты!$N$6:$N$85,MATCH(Меню!$D$12,Рецепты!$H$6:$H$85,0)+6),""),"")</f>
        <v/>
      </c>
    </row>
    <row r="163" spans="1:15">
      <c r="A163" s="3" t="str">
        <f>IF($E163="","",Меню!$A$12)</f>
        <v/>
      </c>
      <c r="B163" s="3" t="str">
        <f>IF($E163="","",Меню!$B$12)</f>
        <v/>
      </c>
      <c r="C163" s="3" t="str">
        <f>IF($E163="","",Меню!$C$12)</f>
        <v/>
      </c>
      <c r="D163" s="3" t="str">
        <f>IF($E163="","",Меню!$D$12)</f>
        <v/>
      </c>
      <c r="E163" s="3" t="str">
        <f>IFERROR(IF(IFERROR(INDEX(Рецепты!$H$6:$H$85,MATCH(Меню!$D$12,Рецепты!$H$6:$H$85,0)+7)=Меню!$D$12,FALSE),INDEX(Рецепты!$J$6:$J$85,MATCH(Меню!$D$12,Рецепты!$H$6:$H$85,0)+7),""),"")</f>
        <v/>
      </c>
      <c r="F163" s="3" t="str">
        <f>IF($E163="","",INDEX(Рецепты!$K$6:$K$85,MATCH(Меню!$D$12,Рецепты!$H$6:$H$85,0)+7))</f>
        <v/>
      </c>
      <c r="G163" s="3" t="str">
        <f>IF($E163="","",INDEX(Рецепты!$M$6:$M$85,MATCH(Меню!$D$12,Рецепты!$H$6:$H$85,0)+7))</f>
        <v/>
      </c>
      <c r="H163" s="12">
        <f>IFERROR(IF(IFERROR(INDEX(Рецепты!$H$6:$H$85,MATCH(Меню!$D$12,Рецепты!$H$6:$H$85,0)+7)=Меню!$D$12,FALSE),INDEX(Рецепты!$L$6:$L$85,MATCH(Меню!$D$12,Рецепты!$H$6:$H$85,0)+7),0),0)</f>
        <v>0</v>
      </c>
      <c r="I163" s="12" t="str">
        <f>IF($F163="","",Меню!$E$12)</f>
        <v/>
      </c>
      <c r="J163" s="12">
        <f t="shared" si="2"/>
        <v>0</v>
      </c>
      <c r="K163" s="12">
        <f>IFERROR($J163/100*INDEX(Продукты!$G$6:$G$66,MATCH($E163,Продукты!$A$6:$A$66,0)),0)</f>
        <v>0</v>
      </c>
      <c r="L163" s="12">
        <f>IFERROR($J163/100*INDEX(Продукты!$H$6:$H$66,MATCH($E163,Продукты!$A$6:$A$66,0)),0)</f>
        <v>0</v>
      </c>
      <c r="M163" s="12">
        <f>IFERROR($J163/100*INDEX(Продукты!$I$6:$I$66,MATCH($E163,Продукты!$A$6:$A$66,0)),0)</f>
        <v>0</v>
      </c>
      <c r="N163" s="12">
        <f>IFERROR($J163/100*INDEX(Продукты!$J$6:$J$66,MATCH($E163,Продукты!$A$6:$A$66,0)),0)</f>
        <v>0</v>
      </c>
      <c r="O163" s="3" t="str">
        <f>IFERROR(IF(IFERROR(INDEX(Рецепты!$H$6:$H$85,MATCH(Меню!$D$12,Рецепты!$H$6:$H$85,0)+7)=Меню!$D$12,FALSE),INDEX(Рецепты!$N$6:$N$85,MATCH(Меню!$D$12,Рецепты!$H$6:$H$85,0)+7),""),"")</f>
        <v/>
      </c>
    </row>
    <row r="164" spans="1:15">
      <c r="A164" s="3" t="str">
        <f>IF($E164="","",Меню!$A$12)</f>
        <v/>
      </c>
      <c r="B164" s="3" t="str">
        <f>IF($E164="","",Меню!$B$12)</f>
        <v/>
      </c>
      <c r="C164" s="3" t="str">
        <f>IF($E164="","",Меню!$C$12)</f>
        <v/>
      </c>
      <c r="D164" s="3" t="str">
        <f>IF($E164="","",Меню!$D$12)</f>
        <v/>
      </c>
      <c r="E164" s="3" t="str">
        <f>IFERROR(IF(IFERROR(INDEX(Рецепты!$H$6:$H$85,MATCH(Меню!$D$12,Рецепты!$H$6:$H$85,0)+8)=Меню!$D$12,FALSE),INDEX(Рецепты!$J$6:$J$85,MATCH(Меню!$D$12,Рецепты!$H$6:$H$85,0)+8),""),"")</f>
        <v/>
      </c>
      <c r="F164" s="3" t="str">
        <f>IF($E164="","",INDEX(Рецепты!$K$6:$K$85,MATCH(Меню!$D$12,Рецепты!$H$6:$H$85,0)+8))</f>
        <v/>
      </c>
      <c r="G164" s="3" t="str">
        <f>IF($E164="","",INDEX(Рецепты!$M$6:$M$85,MATCH(Меню!$D$12,Рецепты!$H$6:$H$85,0)+8))</f>
        <v/>
      </c>
      <c r="H164" s="12">
        <f>IFERROR(IF(IFERROR(INDEX(Рецепты!$H$6:$H$85,MATCH(Меню!$D$12,Рецепты!$H$6:$H$85,0)+8)=Меню!$D$12,FALSE),INDEX(Рецепты!$L$6:$L$85,MATCH(Меню!$D$12,Рецепты!$H$6:$H$85,0)+8),0),0)</f>
        <v>0</v>
      </c>
      <c r="I164" s="12" t="str">
        <f>IF($F164="","",Меню!$E$12)</f>
        <v/>
      </c>
      <c r="J164" s="12">
        <f t="shared" si="2"/>
        <v>0</v>
      </c>
      <c r="K164" s="12">
        <f>IFERROR($J164/100*INDEX(Продукты!$G$6:$G$66,MATCH($E164,Продукты!$A$6:$A$66,0)),0)</f>
        <v>0</v>
      </c>
      <c r="L164" s="12">
        <f>IFERROR($J164/100*INDEX(Продукты!$H$6:$H$66,MATCH($E164,Продукты!$A$6:$A$66,0)),0)</f>
        <v>0</v>
      </c>
      <c r="M164" s="12">
        <f>IFERROR($J164/100*INDEX(Продукты!$I$6:$I$66,MATCH($E164,Продукты!$A$6:$A$66,0)),0)</f>
        <v>0</v>
      </c>
      <c r="N164" s="12">
        <f>IFERROR($J164/100*INDEX(Продукты!$J$6:$J$66,MATCH($E164,Продукты!$A$6:$A$66,0)),0)</f>
        <v>0</v>
      </c>
      <c r="O164" s="3" t="str">
        <f>IFERROR(IF(IFERROR(INDEX(Рецепты!$H$6:$H$85,MATCH(Меню!$D$12,Рецепты!$H$6:$H$85,0)+8)=Меню!$D$12,FALSE),INDEX(Рецепты!$N$6:$N$85,MATCH(Меню!$D$12,Рецепты!$H$6:$H$85,0)+8),""),"")</f>
        <v/>
      </c>
    </row>
    <row r="165" spans="1:15">
      <c r="A165" s="3" t="str">
        <f>IF($E165="","",Меню!$A$12)</f>
        <v/>
      </c>
      <c r="B165" s="3" t="str">
        <f>IF($E165="","",Меню!$B$12)</f>
        <v/>
      </c>
      <c r="C165" s="3" t="str">
        <f>IF($E165="","",Меню!$C$12)</f>
        <v/>
      </c>
      <c r="D165" s="3" t="str">
        <f>IF($E165="","",Меню!$D$12)</f>
        <v/>
      </c>
      <c r="E165" s="3" t="str">
        <f>IFERROR(IF(IFERROR(INDEX(Рецепты!$H$6:$H$85,MATCH(Меню!$D$12,Рецепты!$H$6:$H$85,0)+9)=Меню!$D$12,FALSE),INDEX(Рецепты!$J$6:$J$85,MATCH(Меню!$D$12,Рецепты!$H$6:$H$85,0)+9),""),"")</f>
        <v/>
      </c>
      <c r="F165" s="3" t="str">
        <f>IF($E165="","",INDEX(Рецепты!$K$6:$K$85,MATCH(Меню!$D$12,Рецепты!$H$6:$H$85,0)+9))</f>
        <v/>
      </c>
      <c r="G165" s="3" t="str">
        <f>IF($E165="","",INDEX(Рецепты!$M$6:$M$85,MATCH(Меню!$D$12,Рецепты!$H$6:$H$85,0)+9))</f>
        <v/>
      </c>
      <c r="H165" s="12">
        <f>IFERROR(IF(IFERROR(INDEX(Рецепты!$H$6:$H$85,MATCH(Меню!$D$12,Рецепты!$H$6:$H$85,0)+9)=Меню!$D$12,FALSE),INDEX(Рецепты!$L$6:$L$85,MATCH(Меню!$D$12,Рецепты!$H$6:$H$85,0)+9),0),0)</f>
        <v>0</v>
      </c>
      <c r="I165" s="12" t="str">
        <f>IF($F165="","",Меню!$E$12)</f>
        <v/>
      </c>
      <c r="J165" s="12">
        <f t="shared" si="2"/>
        <v>0</v>
      </c>
      <c r="K165" s="12">
        <f>IFERROR($J165/100*INDEX(Продукты!$G$6:$G$66,MATCH($E165,Продукты!$A$6:$A$66,0)),0)</f>
        <v>0</v>
      </c>
      <c r="L165" s="12">
        <f>IFERROR($J165/100*INDEX(Продукты!$H$6:$H$66,MATCH($E165,Продукты!$A$6:$A$66,0)),0)</f>
        <v>0</v>
      </c>
      <c r="M165" s="12">
        <f>IFERROR($J165/100*INDEX(Продукты!$I$6:$I$66,MATCH($E165,Продукты!$A$6:$A$66,0)),0)</f>
        <v>0</v>
      </c>
      <c r="N165" s="12">
        <f>IFERROR($J165/100*INDEX(Продукты!$J$6:$J$66,MATCH($E165,Продукты!$A$6:$A$66,0)),0)</f>
        <v>0</v>
      </c>
      <c r="O165" s="3" t="str">
        <f>IFERROR(IF(IFERROR(INDEX(Рецепты!$H$6:$H$85,MATCH(Меню!$D$12,Рецепты!$H$6:$H$85,0)+9)=Меню!$D$12,FALSE),INDEX(Рецепты!$N$6:$N$85,MATCH(Меню!$D$12,Рецепты!$H$6:$H$85,0)+9),""),"")</f>
        <v/>
      </c>
    </row>
    <row r="166" spans="1:15">
      <c r="A166" s="3" t="str">
        <f>IF($E166="","",Меню!$A$12)</f>
        <v/>
      </c>
      <c r="B166" s="3" t="str">
        <f>IF($E166="","",Меню!$B$12)</f>
        <v/>
      </c>
      <c r="C166" s="3" t="str">
        <f>IF($E166="","",Меню!$C$12)</f>
        <v/>
      </c>
      <c r="D166" s="3" t="str">
        <f>IF($E166="","",Меню!$D$12)</f>
        <v/>
      </c>
      <c r="E166" s="3" t="str">
        <f>IFERROR(IF(IFERROR(INDEX(Рецепты!$H$6:$H$85,MATCH(Меню!$D$12,Рецепты!$H$6:$H$85,0)+10)=Меню!$D$12,FALSE),INDEX(Рецепты!$J$6:$J$85,MATCH(Меню!$D$12,Рецепты!$H$6:$H$85,0)+10),""),"")</f>
        <v/>
      </c>
      <c r="F166" s="3" t="str">
        <f>IF($E166="","",INDEX(Рецепты!$K$6:$K$85,MATCH(Меню!$D$12,Рецепты!$H$6:$H$85,0)+10))</f>
        <v/>
      </c>
      <c r="G166" s="3" t="str">
        <f>IF($E166="","",INDEX(Рецепты!$M$6:$M$85,MATCH(Меню!$D$12,Рецепты!$H$6:$H$85,0)+10))</f>
        <v/>
      </c>
      <c r="H166" s="12">
        <f>IFERROR(IF(IFERROR(INDEX(Рецепты!$H$6:$H$85,MATCH(Меню!$D$12,Рецепты!$H$6:$H$85,0)+10)=Меню!$D$12,FALSE),INDEX(Рецепты!$L$6:$L$85,MATCH(Меню!$D$12,Рецепты!$H$6:$H$85,0)+10),0),0)</f>
        <v>0</v>
      </c>
      <c r="I166" s="12" t="str">
        <f>IF($F166="","",Меню!$E$12)</f>
        <v/>
      </c>
      <c r="J166" s="12">
        <f t="shared" si="2"/>
        <v>0</v>
      </c>
      <c r="K166" s="12">
        <f>IFERROR($J166/100*INDEX(Продукты!$G$6:$G$66,MATCH($E166,Продукты!$A$6:$A$66,0)),0)</f>
        <v>0</v>
      </c>
      <c r="L166" s="12">
        <f>IFERROR($J166/100*INDEX(Продукты!$H$6:$H$66,MATCH($E166,Продукты!$A$6:$A$66,0)),0)</f>
        <v>0</v>
      </c>
      <c r="M166" s="12">
        <f>IFERROR($J166/100*INDEX(Продукты!$I$6:$I$66,MATCH($E166,Продукты!$A$6:$A$66,0)),0)</f>
        <v>0</v>
      </c>
      <c r="N166" s="12">
        <f>IFERROR($J166/100*INDEX(Продукты!$J$6:$J$66,MATCH($E166,Продукты!$A$6:$A$66,0)),0)</f>
        <v>0</v>
      </c>
      <c r="O166" s="3" t="str">
        <f>IFERROR(IF(IFERROR(INDEX(Рецепты!$H$6:$H$85,MATCH(Меню!$D$12,Рецепты!$H$6:$H$85,0)+10)=Меню!$D$12,FALSE),INDEX(Рецепты!$N$6:$N$85,MATCH(Меню!$D$12,Рецепты!$H$6:$H$85,0)+10),""),"")</f>
        <v/>
      </c>
    </row>
    <row r="167" spans="1:15">
      <c r="A167" s="3" t="str">
        <f>IF($E167="","",Меню!$A$12)</f>
        <v/>
      </c>
      <c r="B167" s="3" t="str">
        <f>IF($E167="","",Меню!$B$12)</f>
        <v/>
      </c>
      <c r="C167" s="3" t="str">
        <f>IF($E167="","",Меню!$C$12)</f>
        <v/>
      </c>
      <c r="D167" s="3" t="str">
        <f>IF($E167="","",Меню!$D$12)</f>
        <v/>
      </c>
      <c r="E167" s="3" t="str">
        <f>IFERROR(IF(IFERROR(INDEX(Рецепты!$H$6:$H$85,MATCH(Меню!$D$12,Рецепты!$H$6:$H$85,0)+11)=Меню!$D$12,FALSE),INDEX(Рецепты!$J$6:$J$85,MATCH(Меню!$D$12,Рецепты!$H$6:$H$85,0)+11),""),"")</f>
        <v/>
      </c>
      <c r="F167" s="3" t="str">
        <f>IF($E167="","",INDEX(Рецепты!$K$6:$K$85,MATCH(Меню!$D$12,Рецепты!$H$6:$H$85,0)+11))</f>
        <v/>
      </c>
      <c r="G167" s="3" t="str">
        <f>IF($E167="","",INDEX(Рецепты!$M$6:$M$85,MATCH(Меню!$D$12,Рецепты!$H$6:$H$85,0)+11))</f>
        <v/>
      </c>
      <c r="H167" s="12">
        <f>IFERROR(IF(IFERROR(INDEX(Рецепты!$H$6:$H$85,MATCH(Меню!$D$12,Рецепты!$H$6:$H$85,0)+11)=Меню!$D$12,FALSE),INDEX(Рецепты!$L$6:$L$85,MATCH(Меню!$D$12,Рецепты!$H$6:$H$85,0)+11),0),0)</f>
        <v>0</v>
      </c>
      <c r="I167" s="12" t="str">
        <f>IF($F167="","",Меню!$E$12)</f>
        <v/>
      </c>
      <c r="J167" s="12">
        <f t="shared" si="2"/>
        <v>0</v>
      </c>
      <c r="K167" s="12">
        <f>IFERROR($J167/100*INDEX(Продукты!$G$6:$G$66,MATCH($E167,Продукты!$A$6:$A$66,0)),0)</f>
        <v>0</v>
      </c>
      <c r="L167" s="12">
        <f>IFERROR($J167/100*INDEX(Продукты!$H$6:$H$66,MATCH($E167,Продукты!$A$6:$A$66,0)),0)</f>
        <v>0</v>
      </c>
      <c r="M167" s="12">
        <f>IFERROR($J167/100*INDEX(Продукты!$I$6:$I$66,MATCH($E167,Продукты!$A$6:$A$66,0)),0)</f>
        <v>0</v>
      </c>
      <c r="N167" s="12">
        <f>IFERROR($J167/100*INDEX(Продукты!$J$6:$J$66,MATCH($E167,Продукты!$A$6:$A$66,0)),0)</f>
        <v>0</v>
      </c>
      <c r="O167" s="3" t="str">
        <f>IFERROR(IF(IFERROR(INDEX(Рецепты!$H$6:$H$85,MATCH(Меню!$D$12,Рецепты!$H$6:$H$85,0)+11)=Меню!$D$12,FALSE),INDEX(Рецепты!$N$6:$N$85,MATCH(Меню!$D$12,Рецепты!$H$6:$H$85,0)+11),""),"")</f>
        <v/>
      </c>
    </row>
    <row r="168" spans="1:15">
      <c r="A168" s="3" t="str">
        <f>IF($E168="","",Меню!$A$12)</f>
        <v/>
      </c>
      <c r="B168" s="3" t="str">
        <f>IF($E168="","",Меню!$B$12)</f>
        <v/>
      </c>
      <c r="C168" s="3" t="str">
        <f>IF($E168="","",Меню!$C$12)</f>
        <v/>
      </c>
      <c r="D168" s="3" t="str">
        <f>IF($E168="","",Меню!$D$12)</f>
        <v/>
      </c>
      <c r="E168" s="3" t="str">
        <f>IFERROR(IF(IFERROR(INDEX(Рецепты!$H$6:$H$85,MATCH(Меню!$D$12,Рецепты!$H$6:$H$85,0)+12)=Меню!$D$12,FALSE),INDEX(Рецепты!$J$6:$J$85,MATCH(Меню!$D$12,Рецепты!$H$6:$H$85,0)+12),""),"")</f>
        <v/>
      </c>
      <c r="F168" s="3" t="str">
        <f>IF($E168="","",INDEX(Рецепты!$K$6:$K$85,MATCH(Меню!$D$12,Рецепты!$H$6:$H$85,0)+12))</f>
        <v/>
      </c>
      <c r="G168" s="3" t="str">
        <f>IF($E168="","",INDEX(Рецепты!$M$6:$M$85,MATCH(Меню!$D$12,Рецепты!$H$6:$H$85,0)+12))</f>
        <v/>
      </c>
      <c r="H168" s="12">
        <f>IFERROR(IF(IFERROR(INDEX(Рецепты!$H$6:$H$85,MATCH(Меню!$D$12,Рецепты!$H$6:$H$85,0)+12)=Меню!$D$12,FALSE),INDEX(Рецепты!$L$6:$L$85,MATCH(Меню!$D$12,Рецепты!$H$6:$H$85,0)+12),0),0)</f>
        <v>0</v>
      </c>
      <c r="I168" s="12" t="str">
        <f>IF($F168="","",Меню!$E$12)</f>
        <v/>
      </c>
      <c r="J168" s="12">
        <f t="shared" si="2"/>
        <v>0</v>
      </c>
      <c r="K168" s="12">
        <f>IFERROR($J168/100*INDEX(Продукты!$G$6:$G$66,MATCH($E168,Продукты!$A$6:$A$66,0)),0)</f>
        <v>0</v>
      </c>
      <c r="L168" s="12">
        <f>IFERROR($J168/100*INDEX(Продукты!$H$6:$H$66,MATCH($E168,Продукты!$A$6:$A$66,0)),0)</f>
        <v>0</v>
      </c>
      <c r="M168" s="12">
        <f>IFERROR($J168/100*INDEX(Продукты!$I$6:$I$66,MATCH($E168,Продукты!$A$6:$A$66,0)),0)</f>
        <v>0</v>
      </c>
      <c r="N168" s="12">
        <f>IFERROR($J168/100*INDEX(Продукты!$J$6:$J$66,MATCH($E168,Продукты!$A$6:$A$66,0)),0)</f>
        <v>0</v>
      </c>
      <c r="O168" s="3" t="str">
        <f>IFERROR(IF(IFERROR(INDEX(Рецепты!$H$6:$H$85,MATCH(Меню!$D$12,Рецепты!$H$6:$H$85,0)+12)=Меню!$D$12,FALSE),INDEX(Рецепты!$N$6:$N$85,MATCH(Меню!$D$12,Рецепты!$H$6:$H$85,0)+12),""),"")</f>
        <v/>
      </c>
    </row>
    <row r="169" spans="1:15">
      <c r="A169" s="3" t="str">
        <f>IF($E169="","",Меню!$A$12)</f>
        <v/>
      </c>
      <c r="B169" s="3" t="str">
        <f>IF($E169="","",Меню!$B$12)</f>
        <v/>
      </c>
      <c r="C169" s="3" t="str">
        <f>IF($E169="","",Меню!$C$12)</f>
        <v/>
      </c>
      <c r="D169" s="3" t="str">
        <f>IF($E169="","",Меню!$D$12)</f>
        <v/>
      </c>
      <c r="E169" s="3" t="str">
        <f>IFERROR(IF(IFERROR(INDEX(Рецепты!$H$6:$H$85,MATCH(Меню!$D$12,Рецепты!$H$6:$H$85,0)+13)=Меню!$D$12,FALSE),INDEX(Рецепты!$J$6:$J$85,MATCH(Меню!$D$12,Рецепты!$H$6:$H$85,0)+13),""),"")</f>
        <v/>
      </c>
      <c r="F169" s="3" t="str">
        <f>IF($E169="","",INDEX(Рецепты!$K$6:$K$85,MATCH(Меню!$D$12,Рецепты!$H$6:$H$85,0)+13))</f>
        <v/>
      </c>
      <c r="G169" s="3" t="str">
        <f>IF($E169="","",INDEX(Рецепты!$M$6:$M$85,MATCH(Меню!$D$12,Рецепты!$H$6:$H$85,0)+13))</f>
        <v/>
      </c>
      <c r="H169" s="12">
        <f>IFERROR(IF(IFERROR(INDEX(Рецепты!$H$6:$H$85,MATCH(Меню!$D$12,Рецепты!$H$6:$H$85,0)+13)=Меню!$D$12,FALSE),INDEX(Рецепты!$L$6:$L$85,MATCH(Меню!$D$12,Рецепты!$H$6:$H$85,0)+13),0),0)</f>
        <v>0</v>
      </c>
      <c r="I169" s="12" t="str">
        <f>IF($F169="","",Меню!$E$12)</f>
        <v/>
      </c>
      <c r="J169" s="12">
        <f t="shared" si="2"/>
        <v>0</v>
      </c>
      <c r="K169" s="12">
        <f>IFERROR($J169/100*INDEX(Продукты!$G$6:$G$66,MATCH($E169,Продукты!$A$6:$A$66,0)),0)</f>
        <v>0</v>
      </c>
      <c r="L169" s="12">
        <f>IFERROR($J169/100*INDEX(Продукты!$H$6:$H$66,MATCH($E169,Продукты!$A$6:$A$66,0)),0)</f>
        <v>0</v>
      </c>
      <c r="M169" s="12">
        <f>IFERROR($J169/100*INDEX(Продукты!$I$6:$I$66,MATCH($E169,Продукты!$A$6:$A$66,0)),0)</f>
        <v>0</v>
      </c>
      <c r="N169" s="12">
        <f>IFERROR($J169/100*INDEX(Продукты!$J$6:$J$66,MATCH($E169,Продукты!$A$6:$A$66,0)),0)</f>
        <v>0</v>
      </c>
      <c r="O169" s="3" t="str">
        <f>IFERROR(IF(IFERROR(INDEX(Рецепты!$H$6:$H$85,MATCH(Меню!$D$12,Рецепты!$H$6:$H$85,0)+13)=Меню!$D$12,FALSE),INDEX(Рецепты!$N$6:$N$85,MATCH(Меню!$D$12,Рецепты!$H$6:$H$85,0)+13),""),"")</f>
        <v/>
      </c>
    </row>
    <row r="170" spans="1:15">
      <c r="A170" s="3" t="str">
        <f>IF($E170="","",Меню!$A$12)</f>
        <v/>
      </c>
      <c r="B170" s="3" t="str">
        <f>IF($E170="","",Меню!$B$12)</f>
        <v/>
      </c>
      <c r="C170" s="3" t="str">
        <f>IF($E170="","",Меню!$C$12)</f>
        <v/>
      </c>
      <c r="D170" s="3" t="str">
        <f>IF($E170="","",Меню!$D$12)</f>
        <v/>
      </c>
      <c r="E170" s="3" t="str">
        <f>IFERROR(IF(IFERROR(INDEX(Рецепты!$H$6:$H$85,MATCH(Меню!$D$12,Рецепты!$H$6:$H$85,0)+14)=Меню!$D$12,FALSE),INDEX(Рецепты!$J$6:$J$85,MATCH(Меню!$D$12,Рецепты!$H$6:$H$85,0)+14),""),"")</f>
        <v/>
      </c>
      <c r="F170" s="3" t="str">
        <f>IF($E170="","",INDEX(Рецепты!$K$6:$K$85,MATCH(Меню!$D$12,Рецепты!$H$6:$H$85,0)+14))</f>
        <v/>
      </c>
      <c r="G170" s="3" t="str">
        <f>IF($E170="","",INDEX(Рецепты!$M$6:$M$85,MATCH(Меню!$D$12,Рецепты!$H$6:$H$85,0)+14))</f>
        <v/>
      </c>
      <c r="H170" s="12">
        <f>IFERROR(IF(IFERROR(INDEX(Рецепты!$H$6:$H$85,MATCH(Меню!$D$12,Рецепты!$H$6:$H$85,0)+14)=Меню!$D$12,FALSE),INDEX(Рецепты!$L$6:$L$85,MATCH(Меню!$D$12,Рецепты!$H$6:$H$85,0)+14),0),0)</f>
        <v>0</v>
      </c>
      <c r="I170" s="12" t="str">
        <f>IF($F170="","",Меню!$E$12)</f>
        <v/>
      </c>
      <c r="J170" s="12">
        <f t="shared" si="2"/>
        <v>0</v>
      </c>
      <c r="K170" s="12">
        <f>IFERROR($J170/100*INDEX(Продукты!$G$6:$G$66,MATCH($E170,Продукты!$A$6:$A$66,0)),0)</f>
        <v>0</v>
      </c>
      <c r="L170" s="12">
        <f>IFERROR($J170/100*INDEX(Продукты!$H$6:$H$66,MATCH($E170,Продукты!$A$6:$A$66,0)),0)</f>
        <v>0</v>
      </c>
      <c r="M170" s="12">
        <f>IFERROR($J170/100*INDEX(Продукты!$I$6:$I$66,MATCH($E170,Продукты!$A$6:$A$66,0)),0)</f>
        <v>0</v>
      </c>
      <c r="N170" s="12">
        <f>IFERROR($J170/100*INDEX(Продукты!$J$6:$J$66,MATCH($E170,Продукты!$A$6:$A$66,0)),0)</f>
        <v>0</v>
      </c>
      <c r="O170" s="3" t="str">
        <f>IFERROR(IF(IFERROR(INDEX(Рецепты!$H$6:$H$85,MATCH(Меню!$D$12,Рецепты!$H$6:$H$85,0)+14)=Меню!$D$12,FALSE),INDEX(Рецепты!$N$6:$N$85,MATCH(Меню!$D$12,Рецепты!$H$6:$H$85,0)+14),""),"")</f>
        <v/>
      </c>
    </row>
    <row r="171" spans="1:15">
      <c r="A171" s="3" t="str">
        <f>IF($E171="","",Меню!$A$12)</f>
        <v/>
      </c>
      <c r="B171" s="3" t="str">
        <f>IF($E171="","",Меню!$B$12)</f>
        <v/>
      </c>
      <c r="C171" s="3" t="str">
        <f>IF($E171="","",Меню!$C$12)</f>
        <v/>
      </c>
      <c r="D171" s="3" t="str">
        <f>IF($E171="","",Меню!$D$12)</f>
        <v/>
      </c>
      <c r="E171" s="3" t="str">
        <f>IFERROR(IF(IFERROR(INDEX(Рецепты!$H$6:$H$85,MATCH(Меню!$D$12,Рецепты!$H$6:$H$85,0)+15)=Меню!$D$12,FALSE),INDEX(Рецепты!$J$6:$J$85,MATCH(Меню!$D$12,Рецепты!$H$6:$H$85,0)+15),""),"")</f>
        <v/>
      </c>
      <c r="F171" s="3" t="str">
        <f>IF($E171="","",INDEX(Рецепты!$K$6:$K$85,MATCH(Меню!$D$12,Рецепты!$H$6:$H$85,0)+15))</f>
        <v/>
      </c>
      <c r="G171" s="3" t="str">
        <f>IF($E171="","",INDEX(Рецепты!$M$6:$M$85,MATCH(Меню!$D$12,Рецепты!$H$6:$H$85,0)+15))</f>
        <v/>
      </c>
      <c r="H171" s="12">
        <f>IFERROR(IF(IFERROR(INDEX(Рецепты!$H$6:$H$85,MATCH(Меню!$D$12,Рецепты!$H$6:$H$85,0)+15)=Меню!$D$12,FALSE),INDEX(Рецепты!$L$6:$L$85,MATCH(Меню!$D$12,Рецепты!$H$6:$H$85,0)+15),0),0)</f>
        <v>0</v>
      </c>
      <c r="I171" s="12" t="str">
        <f>IF($F171="","",Меню!$E$12)</f>
        <v/>
      </c>
      <c r="J171" s="12">
        <f t="shared" si="2"/>
        <v>0</v>
      </c>
      <c r="K171" s="12">
        <f>IFERROR($J171/100*INDEX(Продукты!$G$6:$G$66,MATCH($E171,Продукты!$A$6:$A$66,0)),0)</f>
        <v>0</v>
      </c>
      <c r="L171" s="12">
        <f>IFERROR($J171/100*INDEX(Продукты!$H$6:$H$66,MATCH($E171,Продукты!$A$6:$A$66,0)),0)</f>
        <v>0</v>
      </c>
      <c r="M171" s="12">
        <f>IFERROR($J171/100*INDEX(Продукты!$I$6:$I$66,MATCH($E171,Продукты!$A$6:$A$66,0)),0)</f>
        <v>0</v>
      </c>
      <c r="N171" s="12">
        <f>IFERROR($J171/100*INDEX(Продукты!$J$6:$J$66,MATCH($E171,Продукты!$A$6:$A$66,0)),0)</f>
        <v>0</v>
      </c>
      <c r="O171" s="3" t="str">
        <f>IFERROR(IF(IFERROR(INDEX(Рецепты!$H$6:$H$85,MATCH(Меню!$D$12,Рецепты!$H$6:$H$85,0)+15)=Меню!$D$12,FALSE),INDEX(Рецепты!$N$6:$N$85,MATCH(Меню!$D$12,Рецепты!$H$6:$H$85,0)+15),""),"")</f>
        <v/>
      </c>
    </row>
    <row r="172" spans="1:15">
      <c r="A172" s="3" t="str">
        <f>IF($E172="","",Меню!$A$12)</f>
        <v/>
      </c>
      <c r="B172" s="3" t="str">
        <f>IF($E172="","",Меню!$B$12)</f>
        <v/>
      </c>
      <c r="C172" s="3" t="str">
        <f>IF($E172="","",Меню!$C$12)</f>
        <v/>
      </c>
      <c r="D172" s="3" t="str">
        <f>IF($E172="","",Меню!$D$12)</f>
        <v/>
      </c>
      <c r="E172" s="3" t="str">
        <f>IFERROR(IF(IFERROR(INDEX(Рецепты!$H$6:$H$85,MATCH(Меню!$D$12,Рецепты!$H$6:$H$85,0)+16)=Меню!$D$12,FALSE),INDEX(Рецепты!$J$6:$J$85,MATCH(Меню!$D$12,Рецепты!$H$6:$H$85,0)+16),""),"")</f>
        <v/>
      </c>
      <c r="F172" s="3" t="str">
        <f>IF($E172="","",INDEX(Рецепты!$K$6:$K$85,MATCH(Меню!$D$12,Рецепты!$H$6:$H$85,0)+16))</f>
        <v/>
      </c>
      <c r="G172" s="3" t="str">
        <f>IF($E172="","",INDEX(Рецепты!$M$6:$M$85,MATCH(Меню!$D$12,Рецепты!$H$6:$H$85,0)+16))</f>
        <v/>
      </c>
      <c r="H172" s="12">
        <f>IFERROR(IF(IFERROR(INDEX(Рецепты!$H$6:$H$85,MATCH(Меню!$D$12,Рецепты!$H$6:$H$85,0)+16)=Меню!$D$12,FALSE),INDEX(Рецепты!$L$6:$L$85,MATCH(Меню!$D$12,Рецепты!$H$6:$H$85,0)+16),0),0)</f>
        <v>0</v>
      </c>
      <c r="I172" s="12" t="str">
        <f>IF($F172="","",Меню!$E$12)</f>
        <v/>
      </c>
      <c r="J172" s="12">
        <f t="shared" si="2"/>
        <v>0</v>
      </c>
      <c r="K172" s="12">
        <f>IFERROR($J172/100*INDEX(Продукты!$G$6:$G$66,MATCH($E172,Продукты!$A$6:$A$66,0)),0)</f>
        <v>0</v>
      </c>
      <c r="L172" s="12">
        <f>IFERROR($J172/100*INDEX(Продукты!$H$6:$H$66,MATCH($E172,Продукты!$A$6:$A$66,0)),0)</f>
        <v>0</v>
      </c>
      <c r="M172" s="12">
        <f>IFERROR($J172/100*INDEX(Продукты!$I$6:$I$66,MATCH($E172,Продукты!$A$6:$A$66,0)),0)</f>
        <v>0</v>
      </c>
      <c r="N172" s="12">
        <f>IFERROR($J172/100*INDEX(Продукты!$J$6:$J$66,MATCH($E172,Продукты!$A$6:$A$66,0)),0)</f>
        <v>0</v>
      </c>
      <c r="O172" s="3" t="str">
        <f>IFERROR(IF(IFERROR(INDEX(Рецепты!$H$6:$H$85,MATCH(Меню!$D$12,Рецепты!$H$6:$H$85,0)+16)=Меню!$D$12,FALSE),INDEX(Рецепты!$N$6:$N$85,MATCH(Меню!$D$12,Рецепты!$H$6:$H$85,0)+16),""),"")</f>
        <v/>
      </c>
    </row>
    <row r="173" spans="1:15">
      <c r="A173" s="3" t="str">
        <f>IF($E173="","",Меню!$A$12)</f>
        <v/>
      </c>
      <c r="B173" s="3" t="str">
        <f>IF($E173="","",Меню!$B$12)</f>
        <v/>
      </c>
      <c r="C173" s="3" t="str">
        <f>IF($E173="","",Меню!$C$12)</f>
        <v/>
      </c>
      <c r="D173" s="3" t="str">
        <f>IF($E173="","",Меню!$D$12)</f>
        <v/>
      </c>
      <c r="E173" s="3" t="str">
        <f>IFERROR(IF(IFERROR(INDEX(Рецепты!$H$6:$H$85,MATCH(Меню!$D$12,Рецепты!$H$6:$H$85,0)+17)=Меню!$D$12,FALSE),INDEX(Рецепты!$J$6:$J$85,MATCH(Меню!$D$12,Рецепты!$H$6:$H$85,0)+17),""),"")</f>
        <v/>
      </c>
      <c r="F173" s="3" t="str">
        <f>IF($E173="","",INDEX(Рецепты!$K$6:$K$85,MATCH(Меню!$D$12,Рецепты!$H$6:$H$85,0)+17))</f>
        <v/>
      </c>
      <c r="G173" s="3" t="str">
        <f>IF($E173="","",INDEX(Рецепты!$M$6:$M$85,MATCH(Меню!$D$12,Рецепты!$H$6:$H$85,0)+17))</f>
        <v/>
      </c>
      <c r="H173" s="12">
        <f>IFERROR(IF(IFERROR(INDEX(Рецепты!$H$6:$H$85,MATCH(Меню!$D$12,Рецепты!$H$6:$H$85,0)+17)=Меню!$D$12,FALSE),INDEX(Рецепты!$L$6:$L$85,MATCH(Меню!$D$12,Рецепты!$H$6:$H$85,0)+17),0),0)</f>
        <v>0</v>
      </c>
      <c r="I173" s="12" t="str">
        <f>IF($F173="","",Меню!$E$12)</f>
        <v/>
      </c>
      <c r="J173" s="12">
        <f t="shared" si="2"/>
        <v>0</v>
      </c>
      <c r="K173" s="12">
        <f>IFERROR($J173/100*INDEX(Продукты!$G$6:$G$66,MATCH($E173,Продукты!$A$6:$A$66,0)),0)</f>
        <v>0</v>
      </c>
      <c r="L173" s="12">
        <f>IFERROR($J173/100*INDEX(Продукты!$H$6:$H$66,MATCH($E173,Продукты!$A$6:$A$66,0)),0)</f>
        <v>0</v>
      </c>
      <c r="M173" s="12">
        <f>IFERROR($J173/100*INDEX(Продукты!$I$6:$I$66,MATCH($E173,Продукты!$A$6:$A$66,0)),0)</f>
        <v>0</v>
      </c>
      <c r="N173" s="12">
        <f>IFERROR($J173/100*INDEX(Продукты!$J$6:$J$66,MATCH($E173,Продукты!$A$6:$A$66,0)),0)</f>
        <v>0</v>
      </c>
      <c r="O173" s="3" t="str">
        <f>IFERROR(IF(IFERROR(INDEX(Рецепты!$H$6:$H$85,MATCH(Меню!$D$12,Рецепты!$H$6:$H$85,0)+17)=Меню!$D$12,FALSE),INDEX(Рецепты!$N$6:$N$85,MATCH(Меню!$D$12,Рецепты!$H$6:$H$85,0)+17),""),"")</f>
        <v/>
      </c>
    </row>
    <row r="174" spans="1:15">
      <c r="A174" s="3" t="str">
        <f>IF($E174="","",Меню!$A$12)</f>
        <v/>
      </c>
      <c r="B174" s="3" t="str">
        <f>IF($E174="","",Меню!$B$12)</f>
        <v/>
      </c>
      <c r="C174" s="3" t="str">
        <f>IF($E174="","",Меню!$C$12)</f>
        <v/>
      </c>
      <c r="D174" s="3" t="str">
        <f>IF($E174="","",Меню!$D$12)</f>
        <v/>
      </c>
      <c r="E174" s="3" t="str">
        <f>IFERROR(IF(IFERROR(INDEX(Рецепты!$H$6:$H$85,MATCH(Меню!$D$12,Рецепты!$H$6:$H$85,0)+18)=Меню!$D$12,FALSE),INDEX(Рецепты!$J$6:$J$85,MATCH(Меню!$D$12,Рецепты!$H$6:$H$85,0)+18),""),"")</f>
        <v/>
      </c>
      <c r="F174" s="3" t="str">
        <f>IF($E174="","",INDEX(Рецепты!$K$6:$K$85,MATCH(Меню!$D$12,Рецепты!$H$6:$H$85,0)+18))</f>
        <v/>
      </c>
      <c r="G174" s="3" t="str">
        <f>IF($E174="","",INDEX(Рецепты!$M$6:$M$85,MATCH(Меню!$D$12,Рецепты!$H$6:$H$85,0)+18))</f>
        <v/>
      </c>
      <c r="H174" s="12">
        <f>IFERROR(IF(IFERROR(INDEX(Рецепты!$H$6:$H$85,MATCH(Меню!$D$12,Рецепты!$H$6:$H$85,0)+18)=Меню!$D$12,FALSE),INDEX(Рецепты!$L$6:$L$85,MATCH(Меню!$D$12,Рецепты!$H$6:$H$85,0)+18),0),0)</f>
        <v>0</v>
      </c>
      <c r="I174" s="12" t="str">
        <f>IF($F174="","",Меню!$E$12)</f>
        <v/>
      </c>
      <c r="J174" s="12">
        <f t="shared" si="2"/>
        <v>0</v>
      </c>
      <c r="K174" s="12">
        <f>IFERROR($J174/100*INDEX(Продукты!$G$6:$G$66,MATCH($E174,Продукты!$A$6:$A$66,0)),0)</f>
        <v>0</v>
      </c>
      <c r="L174" s="12">
        <f>IFERROR($J174/100*INDEX(Продукты!$H$6:$H$66,MATCH($E174,Продукты!$A$6:$A$66,0)),0)</f>
        <v>0</v>
      </c>
      <c r="M174" s="12">
        <f>IFERROR($J174/100*INDEX(Продукты!$I$6:$I$66,MATCH($E174,Продукты!$A$6:$A$66,0)),0)</f>
        <v>0</v>
      </c>
      <c r="N174" s="12">
        <f>IFERROR($J174/100*INDEX(Продукты!$J$6:$J$66,MATCH($E174,Продукты!$A$6:$A$66,0)),0)</f>
        <v>0</v>
      </c>
      <c r="O174" s="3" t="str">
        <f>IFERROR(IF(IFERROR(INDEX(Рецепты!$H$6:$H$85,MATCH(Меню!$D$12,Рецепты!$H$6:$H$85,0)+18)=Меню!$D$12,FALSE),INDEX(Рецепты!$N$6:$N$85,MATCH(Меню!$D$12,Рецепты!$H$6:$H$85,0)+18),""),"")</f>
        <v/>
      </c>
    </row>
    <row r="175" spans="1:15">
      <c r="A175" s="3" t="str">
        <f>IF($E175="","",Меню!$A$12)</f>
        <v/>
      </c>
      <c r="B175" s="3" t="str">
        <f>IF($E175="","",Меню!$B$12)</f>
        <v/>
      </c>
      <c r="C175" s="3" t="str">
        <f>IF($E175="","",Меню!$C$12)</f>
        <v/>
      </c>
      <c r="D175" s="3" t="str">
        <f>IF($E175="","",Меню!$D$12)</f>
        <v/>
      </c>
      <c r="E175" s="3" t="str">
        <f>IFERROR(IF(IFERROR(INDEX(Рецепты!$H$6:$H$85,MATCH(Меню!$D$12,Рецепты!$H$6:$H$85,0)+19)=Меню!$D$12,FALSE),INDEX(Рецепты!$J$6:$J$85,MATCH(Меню!$D$12,Рецепты!$H$6:$H$85,0)+19),""),"")</f>
        <v/>
      </c>
      <c r="F175" s="3" t="str">
        <f>IF($E175="","",INDEX(Рецепты!$K$6:$K$85,MATCH(Меню!$D$12,Рецепты!$H$6:$H$85,0)+19))</f>
        <v/>
      </c>
      <c r="G175" s="3" t="str">
        <f>IF($E175="","",INDEX(Рецепты!$M$6:$M$85,MATCH(Меню!$D$12,Рецепты!$H$6:$H$85,0)+19))</f>
        <v/>
      </c>
      <c r="H175" s="12">
        <f>IFERROR(IF(IFERROR(INDEX(Рецепты!$H$6:$H$85,MATCH(Меню!$D$12,Рецепты!$H$6:$H$85,0)+19)=Меню!$D$12,FALSE),INDEX(Рецепты!$L$6:$L$85,MATCH(Меню!$D$12,Рецепты!$H$6:$H$85,0)+19),0),0)</f>
        <v>0</v>
      </c>
      <c r="I175" s="12" t="str">
        <f>IF($F175="","",Меню!$E$12)</f>
        <v/>
      </c>
      <c r="J175" s="12">
        <f t="shared" si="2"/>
        <v>0</v>
      </c>
      <c r="K175" s="12">
        <f>IFERROR($J175/100*INDEX(Продукты!$G$6:$G$66,MATCH($E175,Продукты!$A$6:$A$66,0)),0)</f>
        <v>0</v>
      </c>
      <c r="L175" s="12">
        <f>IFERROR($J175/100*INDEX(Продукты!$H$6:$H$66,MATCH($E175,Продукты!$A$6:$A$66,0)),0)</f>
        <v>0</v>
      </c>
      <c r="M175" s="12">
        <f>IFERROR($J175/100*INDEX(Продукты!$I$6:$I$66,MATCH($E175,Продукты!$A$6:$A$66,0)),0)</f>
        <v>0</v>
      </c>
      <c r="N175" s="12">
        <f>IFERROR($J175/100*INDEX(Продукты!$J$6:$J$66,MATCH($E175,Продукты!$A$6:$A$66,0)),0)</f>
        <v>0</v>
      </c>
      <c r="O175" s="3" t="str">
        <f>IFERROR(IF(IFERROR(INDEX(Рецепты!$H$6:$H$85,MATCH(Меню!$D$12,Рецепты!$H$6:$H$85,0)+19)=Меню!$D$12,FALSE),INDEX(Рецепты!$N$6:$N$85,MATCH(Меню!$D$12,Рецепты!$H$6:$H$85,0)+19),""),"")</f>
        <v/>
      </c>
    </row>
    <row r="176" spans="1:15">
      <c r="A176" s="3" t="str">
        <f>IF($E176="","",Меню!$A$12)</f>
        <v/>
      </c>
      <c r="B176" s="3" t="str">
        <f>IF($E176="","",Меню!$B$12)</f>
        <v/>
      </c>
      <c r="C176" s="3" t="str">
        <f>IF($E176="","",Меню!$C$12)</f>
        <v/>
      </c>
      <c r="D176" s="3" t="str">
        <f>IF($E176="","",Меню!$D$12)</f>
        <v/>
      </c>
      <c r="E176" s="3" t="str">
        <f>IFERROR(IF(IFERROR(INDEX(Рецепты!$H$6:$H$85,MATCH(Меню!$D$12,Рецепты!$H$6:$H$85,0)+20)=Меню!$D$12,FALSE),INDEX(Рецепты!$J$6:$J$85,MATCH(Меню!$D$12,Рецепты!$H$6:$H$85,0)+20),""),"")</f>
        <v/>
      </c>
      <c r="F176" s="3" t="str">
        <f>IF($E176="","",INDEX(Рецепты!$K$6:$K$85,MATCH(Меню!$D$12,Рецепты!$H$6:$H$85,0)+20))</f>
        <v/>
      </c>
      <c r="G176" s="3" t="str">
        <f>IF($E176="","",INDEX(Рецепты!$M$6:$M$85,MATCH(Меню!$D$12,Рецепты!$H$6:$H$85,0)+20))</f>
        <v/>
      </c>
      <c r="H176" s="12">
        <f>IFERROR(IF(IFERROR(INDEX(Рецепты!$H$6:$H$85,MATCH(Меню!$D$12,Рецепты!$H$6:$H$85,0)+20)=Меню!$D$12,FALSE),INDEX(Рецепты!$L$6:$L$85,MATCH(Меню!$D$12,Рецепты!$H$6:$H$85,0)+20),0),0)</f>
        <v>0</v>
      </c>
      <c r="I176" s="12" t="str">
        <f>IF($F176="","",Меню!$E$12)</f>
        <v/>
      </c>
      <c r="J176" s="12">
        <f t="shared" si="2"/>
        <v>0</v>
      </c>
      <c r="K176" s="12">
        <f>IFERROR($J176/100*INDEX(Продукты!$G$6:$G$66,MATCH($E176,Продукты!$A$6:$A$66,0)),0)</f>
        <v>0</v>
      </c>
      <c r="L176" s="12">
        <f>IFERROR($J176/100*INDEX(Продукты!$H$6:$H$66,MATCH($E176,Продукты!$A$6:$A$66,0)),0)</f>
        <v>0</v>
      </c>
      <c r="M176" s="12">
        <f>IFERROR($J176/100*INDEX(Продукты!$I$6:$I$66,MATCH($E176,Продукты!$A$6:$A$66,0)),0)</f>
        <v>0</v>
      </c>
      <c r="N176" s="12">
        <f>IFERROR($J176/100*INDEX(Продукты!$J$6:$J$66,MATCH($E176,Продукты!$A$6:$A$66,0)),0)</f>
        <v>0</v>
      </c>
      <c r="O176" s="3" t="str">
        <f>IFERROR(IF(IFERROR(INDEX(Рецепты!$H$6:$H$85,MATCH(Меню!$D$12,Рецепты!$H$6:$H$85,0)+20)=Меню!$D$12,FALSE),INDEX(Рецепты!$N$6:$N$85,MATCH(Меню!$D$12,Рецепты!$H$6:$H$85,0)+20),""),"")</f>
        <v/>
      </c>
    </row>
    <row r="177" spans="1:15">
      <c r="A177" s="3" t="str">
        <f>IF($E177="","",Меню!$A$12)</f>
        <v/>
      </c>
      <c r="B177" s="3" t="str">
        <f>IF($E177="","",Меню!$B$12)</f>
        <v/>
      </c>
      <c r="C177" s="3" t="str">
        <f>IF($E177="","",Меню!$C$12)</f>
        <v/>
      </c>
      <c r="D177" s="3" t="str">
        <f>IF($E177="","",Меню!$D$12)</f>
        <v/>
      </c>
      <c r="E177" s="3" t="str">
        <f>IFERROR(IF(IFERROR(INDEX(Рецепты!$H$6:$H$85,MATCH(Меню!$D$12,Рецепты!$H$6:$H$85,0)+21)=Меню!$D$12,FALSE),INDEX(Рецепты!$J$6:$J$85,MATCH(Меню!$D$12,Рецепты!$H$6:$H$85,0)+21),""),"")</f>
        <v/>
      </c>
      <c r="F177" s="3" t="str">
        <f>IF($E177="","",INDEX(Рецепты!$K$6:$K$85,MATCH(Меню!$D$12,Рецепты!$H$6:$H$85,0)+21))</f>
        <v/>
      </c>
      <c r="G177" s="3" t="str">
        <f>IF($E177="","",INDEX(Рецепты!$M$6:$M$85,MATCH(Меню!$D$12,Рецепты!$H$6:$H$85,0)+21))</f>
        <v/>
      </c>
      <c r="H177" s="12">
        <f>IFERROR(IF(IFERROR(INDEX(Рецепты!$H$6:$H$85,MATCH(Меню!$D$12,Рецепты!$H$6:$H$85,0)+21)=Меню!$D$12,FALSE),INDEX(Рецепты!$L$6:$L$85,MATCH(Меню!$D$12,Рецепты!$H$6:$H$85,0)+21),0),0)</f>
        <v>0</v>
      </c>
      <c r="I177" s="12" t="str">
        <f>IF($F177="","",Меню!$E$12)</f>
        <v/>
      </c>
      <c r="J177" s="12">
        <f t="shared" si="2"/>
        <v>0</v>
      </c>
      <c r="K177" s="12">
        <f>IFERROR($J177/100*INDEX(Продукты!$G$6:$G$66,MATCH($E177,Продукты!$A$6:$A$66,0)),0)</f>
        <v>0</v>
      </c>
      <c r="L177" s="12">
        <f>IFERROR($J177/100*INDEX(Продукты!$H$6:$H$66,MATCH($E177,Продукты!$A$6:$A$66,0)),0)</f>
        <v>0</v>
      </c>
      <c r="M177" s="12">
        <f>IFERROR($J177/100*INDEX(Продукты!$I$6:$I$66,MATCH($E177,Продукты!$A$6:$A$66,0)),0)</f>
        <v>0</v>
      </c>
      <c r="N177" s="12">
        <f>IFERROR($J177/100*INDEX(Продукты!$J$6:$J$66,MATCH($E177,Продукты!$A$6:$A$66,0)),0)</f>
        <v>0</v>
      </c>
      <c r="O177" s="3" t="str">
        <f>IFERROR(IF(IFERROR(INDEX(Рецепты!$H$6:$H$85,MATCH(Меню!$D$12,Рецепты!$H$6:$H$85,0)+21)=Меню!$D$12,FALSE),INDEX(Рецепты!$N$6:$N$85,MATCH(Меню!$D$12,Рецепты!$H$6:$H$85,0)+21),""),"")</f>
        <v/>
      </c>
    </row>
    <row r="178" spans="1:15">
      <c r="A178" s="3" t="str">
        <f>IF($E178="","",Меню!$A$12)</f>
        <v/>
      </c>
      <c r="B178" s="3" t="str">
        <f>IF($E178="","",Меню!$B$12)</f>
        <v/>
      </c>
      <c r="C178" s="3" t="str">
        <f>IF($E178="","",Меню!$C$12)</f>
        <v/>
      </c>
      <c r="D178" s="3" t="str">
        <f>IF($E178="","",Меню!$D$12)</f>
        <v/>
      </c>
      <c r="E178" s="3" t="str">
        <f>IFERROR(IF(IFERROR(INDEX(Рецепты!$H$6:$H$85,MATCH(Меню!$D$12,Рецепты!$H$6:$H$85,0)+22)=Меню!$D$12,FALSE),INDEX(Рецепты!$J$6:$J$85,MATCH(Меню!$D$12,Рецепты!$H$6:$H$85,0)+22),""),"")</f>
        <v/>
      </c>
      <c r="F178" s="3" t="str">
        <f>IF($E178="","",INDEX(Рецепты!$K$6:$K$85,MATCH(Меню!$D$12,Рецепты!$H$6:$H$85,0)+22))</f>
        <v/>
      </c>
      <c r="G178" s="3" t="str">
        <f>IF($E178="","",INDEX(Рецепты!$M$6:$M$85,MATCH(Меню!$D$12,Рецепты!$H$6:$H$85,0)+22))</f>
        <v/>
      </c>
      <c r="H178" s="12">
        <f>IFERROR(IF(IFERROR(INDEX(Рецепты!$H$6:$H$85,MATCH(Меню!$D$12,Рецепты!$H$6:$H$85,0)+22)=Меню!$D$12,FALSE),INDEX(Рецепты!$L$6:$L$85,MATCH(Меню!$D$12,Рецепты!$H$6:$H$85,0)+22),0),0)</f>
        <v>0</v>
      </c>
      <c r="I178" s="12" t="str">
        <f>IF($F178="","",Меню!$E$12)</f>
        <v/>
      </c>
      <c r="J178" s="12">
        <f t="shared" si="2"/>
        <v>0</v>
      </c>
      <c r="K178" s="12">
        <f>IFERROR($J178/100*INDEX(Продукты!$G$6:$G$66,MATCH($E178,Продукты!$A$6:$A$66,0)),0)</f>
        <v>0</v>
      </c>
      <c r="L178" s="12">
        <f>IFERROR($J178/100*INDEX(Продукты!$H$6:$H$66,MATCH($E178,Продукты!$A$6:$A$66,0)),0)</f>
        <v>0</v>
      </c>
      <c r="M178" s="12">
        <f>IFERROR($J178/100*INDEX(Продукты!$I$6:$I$66,MATCH($E178,Продукты!$A$6:$A$66,0)),0)</f>
        <v>0</v>
      </c>
      <c r="N178" s="12">
        <f>IFERROR($J178/100*INDEX(Продукты!$J$6:$J$66,MATCH($E178,Продукты!$A$6:$A$66,0)),0)</f>
        <v>0</v>
      </c>
      <c r="O178" s="3" t="str">
        <f>IFERROR(IF(IFERROR(INDEX(Рецепты!$H$6:$H$85,MATCH(Меню!$D$12,Рецепты!$H$6:$H$85,0)+22)=Меню!$D$12,FALSE),INDEX(Рецепты!$N$6:$N$85,MATCH(Меню!$D$12,Рецепты!$H$6:$H$85,0)+22),""),"")</f>
        <v/>
      </c>
    </row>
    <row r="179" spans="1:15">
      <c r="A179" s="3" t="str">
        <f>IF($E179="","",Меню!$A$12)</f>
        <v/>
      </c>
      <c r="B179" s="3" t="str">
        <f>IF($E179="","",Меню!$B$12)</f>
        <v/>
      </c>
      <c r="C179" s="3" t="str">
        <f>IF($E179="","",Меню!$C$12)</f>
        <v/>
      </c>
      <c r="D179" s="3" t="str">
        <f>IF($E179="","",Меню!$D$12)</f>
        <v/>
      </c>
      <c r="E179" s="3" t="str">
        <f>IFERROR(IF(IFERROR(INDEX(Рецепты!$H$6:$H$85,MATCH(Меню!$D$12,Рецепты!$H$6:$H$85,0)+23)=Меню!$D$12,FALSE),INDEX(Рецепты!$J$6:$J$85,MATCH(Меню!$D$12,Рецепты!$H$6:$H$85,0)+23),""),"")</f>
        <v/>
      </c>
      <c r="F179" s="3" t="str">
        <f>IF($E179="","",INDEX(Рецепты!$K$6:$K$85,MATCH(Меню!$D$12,Рецепты!$H$6:$H$85,0)+23))</f>
        <v/>
      </c>
      <c r="G179" s="3" t="str">
        <f>IF($E179="","",INDEX(Рецепты!$M$6:$M$85,MATCH(Меню!$D$12,Рецепты!$H$6:$H$85,0)+23))</f>
        <v/>
      </c>
      <c r="H179" s="12">
        <f>IFERROR(IF(IFERROR(INDEX(Рецепты!$H$6:$H$85,MATCH(Меню!$D$12,Рецепты!$H$6:$H$85,0)+23)=Меню!$D$12,FALSE),INDEX(Рецепты!$L$6:$L$85,MATCH(Меню!$D$12,Рецепты!$H$6:$H$85,0)+23),0),0)</f>
        <v>0</v>
      </c>
      <c r="I179" s="12" t="str">
        <f>IF($F179="","",Меню!$E$12)</f>
        <v/>
      </c>
      <c r="J179" s="12">
        <f t="shared" si="2"/>
        <v>0</v>
      </c>
      <c r="K179" s="12">
        <f>IFERROR($J179/100*INDEX(Продукты!$G$6:$G$66,MATCH($E179,Продукты!$A$6:$A$66,0)),0)</f>
        <v>0</v>
      </c>
      <c r="L179" s="12">
        <f>IFERROR($J179/100*INDEX(Продукты!$H$6:$H$66,MATCH($E179,Продукты!$A$6:$A$66,0)),0)</f>
        <v>0</v>
      </c>
      <c r="M179" s="12">
        <f>IFERROR($J179/100*INDEX(Продукты!$I$6:$I$66,MATCH($E179,Продукты!$A$6:$A$66,0)),0)</f>
        <v>0</v>
      </c>
      <c r="N179" s="12">
        <f>IFERROR($J179/100*INDEX(Продукты!$J$6:$J$66,MATCH($E179,Продукты!$A$6:$A$66,0)),0)</f>
        <v>0</v>
      </c>
      <c r="O179" s="3" t="str">
        <f>IFERROR(IF(IFERROR(INDEX(Рецепты!$H$6:$H$85,MATCH(Меню!$D$12,Рецепты!$H$6:$H$85,0)+23)=Меню!$D$12,FALSE),INDEX(Рецепты!$N$6:$N$85,MATCH(Меню!$D$12,Рецепты!$H$6:$H$85,0)+23),""),"")</f>
        <v/>
      </c>
    </row>
    <row r="180" spans="1:15">
      <c r="A180" s="3" t="str">
        <f>IF($E180="","",Меню!$A$12)</f>
        <v/>
      </c>
      <c r="B180" s="3" t="str">
        <f>IF($E180="","",Меню!$B$12)</f>
        <v/>
      </c>
      <c r="C180" s="3" t="str">
        <f>IF($E180="","",Меню!$C$12)</f>
        <v/>
      </c>
      <c r="D180" s="3" t="str">
        <f>IF($E180="","",Меню!$D$12)</f>
        <v/>
      </c>
      <c r="E180" s="3" t="str">
        <f>IFERROR(IF(IFERROR(INDEX(Рецепты!$H$6:$H$85,MATCH(Меню!$D$12,Рецепты!$H$6:$H$85,0)+24)=Меню!$D$12,FALSE),INDEX(Рецепты!$J$6:$J$85,MATCH(Меню!$D$12,Рецепты!$H$6:$H$85,0)+24),""),"")</f>
        <v/>
      </c>
      <c r="F180" s="3" t="str">
        <f>IF($E180="","",INDEX(Рецепты!$K$6:$K$85,MATCH(Меню!$D$12,Рецепты!$H$6:$H$85,0)+24))</f>
        <v/>
      </c>
      <c r="G180" s="3" t="str">
        <f>IF($E180="","",INDEX(Рецепты!$M$6:$M$85,MATCH(Меню!$D$12,Рецепты!$H$6:$H$85,0)+24))</f>
        <v/>
      </c>
      <c r="H180" s="12">
        <f>IFERROR(IF(IFERROR(INDEX(Рецепты!$H$6:$H$85,MATCH(Меню!$D$12,Рецепты!$H$6:$H$85,0)+24)=Меню!$D$12,FALSE),INDEX(Рецепты!$L$6:$L$85,MATCH(Меню!$D$12,Рецепты!$H$6:$H$85,0)+24),0),0)</f>
        <v>0</v>
      </c>
      <c r="I180" s="12" t="str">
        <f>IF($F180="","",Меню!$E$12)</f>
        <v/>
      </c>
      <c r="J180" s="12">
        <f t="shared" si="2"/>
        <v>0</v>
      </c>
      <c r="K180" s="12">
        <f>IFERROR($J180/100*INDEX(Продукты!$G$6:$G$66,MATCH($E180,Продукты!$A$6:$A$66,0)),0)</f>
        <v>0</v>
      </c>
      <c r="L180" s="12">
        <f>IFERROR($J180/100*INDEX(Продукты!$H$6:$H$66,MATCH($E180,Продукты!$A$6:$A$66,0)),0)</f>
        <v>0</v>
      </c>
      <c r="M180" s="12">
        <f>IFERROR($J180/100*INDEX(Продукты!$I$6:$I$66,MATCH($E180,Продукты!$A$6:$A$66,0)),0)</f>
        <v>0</v>
      </c>
      <c r="N180" s="12">
        <f>IFERROR($J180/100*INDEX(Продукты!$J$6:$J$66,MATCH($E180,Продукты!$A$6:$A$66,0)),0)</f>
        <v>0</v>
      </c>
      <c r="O180" s="3" t="str">
        <f>IFERROR(IF(IFERROR(INDEX(Рецепты!$H$6:$H$85,MATCH(Меню!$D$12,Рецепты!$H$6:$H$85,0)+24)=Меню!$D$12,FALSE),INDEX(Рецепты!$N$6:$N$85,MATCH(Меню!$D$12,Рецепты!$H$6:$H$85,0)+24),""),"")</f>
        <v/>
      </c>
    </row>
    <row r="181" spans="1:15">
      <c r="A181" s="3" t="str">
        <f>IF($E181="","",Меню!$A$13)</f>
        <v/>
      </c>
      <c r="B181" s="3" t="str">
        <f>IF($E181="","",Меню!$B$13)</f>
        <v/>
      </c>
      <c r="C181" s="3" t="str">
        <f>IF($E181="","",Меню!$C$13)</f>
        <v/>
      </c>
      <c r="D181" s="3" t="str">
        <f>IF($E181="","",Меню!$D$13)</f>
        <v/>
      </c>
      <c r="E181" s="3" t="str">
        <f>IFERROR(IF(IFERROR(INDEX(Рецепты!$H$6:$H$85,MATCH(Меню!$D$13,Рецепты!$H$6:$H$85,0)+0)=Меню!$D$13,FALSE),INDEX(Рецепты!$J$6:$J$85,MATCH(Меню!$D$13,Рецепты!$H$6:$H$85,0)+0),""),"")</f>
        <v/>
      </c>
      <c r="F181" s="3" t="str">
        <f>IF($E181="","",INDEX(Рецепты!$K$6:$K$85,MATCH(Меню!$D$13,Рецепты!$H$6:$H$85,0)+0))</f>
        <v/>
      </c>
      <c r="G181" s="3" t="str">
        <f>IF($E181="","",INDEX(Рецепты!$M$6:$M$85,MATCH(Меню!$D$13,Рецепты!$H$6:$H$85,0)+0))</f>
        <v/>
      </c>
      <c r="H181" s="12">
        <f>IFERROR(IF(IFERROR(INDEX(Рецепты!$H$6:$H$85,MATCH(Меню!$D$13,Рецепты!$H$6:$H$85,0)+0)=Меню!$D$13,FALSE),INDEX(Рецепты!$L$6:$L$85,MATCH(Меню!$D$13,Рецепты!$H$6:$H$85,0)+0),0),0)</f>
        <v>0</v>
      </c>
      <c r="I181" s="12" t="str">
        <f>IF($F181="","",Меню!$E$13)</f>
        <v/>
      </c>
      <c r="J181" s="12">
        <f t="shared" si="2"/>
        <v>0</v>
      </c>
      <c r="K181" s="12">
        <f>IFERROR($J181/100*INDEX(Продукты!$G$6:$G$66,MATCH($E181,Продукты!$A$6:$A$66,0)),0)</f>
        <v>0</v>
      </c>
      <c r="L181" s="12">
        <f>IFERROR($J181/100*INDEX(Продукты!$H$6:$H$66,MATCH($E181,Продукты!$A$6:$A$66,0)),0)</f>
        <v>0</v>
      </c>
      <c r="M181" s="12">
        <f>IFERROR($J181/100*INDEX(Продукты!$I$6:$I$66,MATCH($E181,Продукты!$A$6:$A$66,0)),0)</f>
        <v>0</v>
      </c>
      <c r="N181" s="12">
        <f>IFERROR($J181/100*INDEX(Продукты!$J$6:$J$66,MATCH($E181,Продукты!$A$6:$A$66,0)),0)</f>
        <v>0</v>
      </c>
      <c r="O181" s="3" t="str">
        <f>IFERROR(IF(IFERROR(INDEX(Рецепты!$H$6:$H$85,MATCH(Меню!$D$13,Рецепты!$H$6:$H$85,0)+0)=Меню!$D$13,FALSE),INDEX(Рецепты!$N$6:$N$85,MATCH(Меню!$D$13,Рецепты!$H$6:$H$85,0)+0),""),"")</f>
        <v/>
      </c>
    </row>
    <row r="182" spans="1:15">
      <c r="A182" s="3" t="str">
        <f>IF($E182="","",Меню!$A$13)</f>
        <v/>
      </c>
      <c r="B182" s="3" t="str">
        <f>IF($E182="","",Меню!$B$13)</f>
        <v/>
      </c>
      <c r="C182" s="3" t="str">
        <f>IF($E182="","",Меню!$C$13)</f>
        <v/>
      </c>
      <c r="D182" s="3" t="str">
        <f>IF($E182="","",Меню!$D$13)</f>
        <v/>
      </c>
      <c r="E182" s="3" t="str">
        <f>IFERROR(IF(IFERROR(INDEX(Рецепты!$H$6:$H$85,MATCH(Меню!$D$13,Рецепты!$H$6:$H$85,0)+1)=Меню!$D$13,FALSE),INDEX(Рецепты!$J$6:$J$85,MATCH(Меню!$D$13,Рецепты!$H$6:$H$85,0)+1),""),"")</f>
        <v/>
      </c>
      <c r="F182" s="3" t="str">
        <f>IF($E182="","",INDEX(Рецепты!$K$6:$K$85,MATCH(Меню!$D$13,Рецепты!$H$6:$H$85,0)+1))</f>
        <v/>
      </c>
      <c r="G182" s="3" t="str">
        <f>IF($E182="","",INDEX(Рецепты!$M$6:$M$85,MATCH(Меню!$D$13,Рецепты!$H$6:$H$85,0)+1))</f>
        <v/>
      </c>
      <c r="H182" s="12">
        <f>IFERROR(IF(IFERROR(INDEX(Рецепты!$H$6:$H$85,MATCH(Меню!$D$13,Рецепты!$H$6:$H$85,0)+1)=Меню!$D$13,FALSE),INDEX(Рецепты!$L$6:$L$85,MATCH(Меню!$D$13,Рецепты!$H$6:$H$85,0)+1),0),0)</f>
        <v>0</v>
      </c>
      <c r="I182" s="12" t="str">
        <f>IF($F182="","",Меню!$E$13)</f>
        <v/>
      </c>
      <c r="J182" s="12">
        <f t="shared" si="2"/>
        <v>0</v>
      </c>
      <c r="K182" s="12">
        <f>IFERROR($J182/100*INDEX(Продукты!$G$6:$G$66,MATCH($E182,Продукты!$A$6:$A$66,0)),0)</f>
        <v>0</v>
      </c>
      <c r="L182" s="12">
        <f>IFERROR($J182/100*INDEX(Продукты!$H$6:$H$66,MATCH($E182,Продукты!$A$6:$A$66,0)),0)</f>
        <v>0</v>
      </c>
      <c r="M182" s="12">
        <f>IFERROR($J182/100*INDEX(Продукты!$I$6:$I$66,MATCH($E182,Продукты!$A$6:$A$66,0)),0)</f>
        <v>0</v>
      </c>
      <c r="N182" s="12">
        <f>IFERROR($J182/100*INDEX(Продукты!$J$6:$J$66,MATCH($E182,Продукты!$A$6:$A$66,0)),0)</f>
        <v>0</v>
      </c>
      <c r="O182" s="3" t="str">
        <f>IFERROR(IF(IFERROR(INDEX(Рецепты!$H$6:$H$85,MATCH(Меню!$D$13,Рецепты!$H$6:$H$85,0)+1)=Меню!$D$13,FALSE),INDEX(Рецепты!$N$6:$N$85,MATCH(Меню!$D$13,Рецепты!$H$6:$H$85,0)+1),""),"")</f>
        <v/>
      </c>
    </row>
    <row r="183" spans="1:15">
      <c r="A183" s="3" t="str">
        <f>IF($E183="","",Меню!$A$13)</f>
        <v/>
      </c>
      <c r="B183" s="3" t="str">
        <f>IF($E183="","",Меню!$B$13)</f>
        <v/>
      </c>
      <c r="C183" s="3" t="str">
        <f>IF($E183="","",Меню!$C$13)</f>
        <v/>
      </c>
      <c r="D183" s="3" t="str">
        <f>IF($E183="","",Меню!$D$13)</f>
        <v/>
      </c>
      <c r="E183" s="3" t="str">
        <f>IFERROR(IF(IFERROR(INDEX(Рецепты!$H$6:$H$85,MATCH(Меню!$D$13,Рецепты!$H$6:$H$85,0)+2)=Меню!$D$13,FALSE),INDEX(Рецепты!$J$6:$J$85,MATCH(Меню!$D$13,Рецепты!$H$6:$H$85,0)+2),""),"")</f>
        <v/>
      </c>
      <c r="F183" s="3" t="str">
        <f>IF($E183="","",INDEX(Рецепты!$K$6:$K$85,MATCH(Меню!$D$13,Рецепты!$H$6:$H$85,0)+2))</f>
        <v/>
      </c>
      <c r="G183" s="3" t="str">
        <f>IF($E183="","",INDEX(Рецепты!$M$6:$M$85,MATCH(Меню!$D$13,Рецепты!$H$6:$H$85,0)+2))</f>
        <v/>
      </c>
      <c r="H183" s="12">
        <f>IFERROR(IF(IFERROR(INDEX(Рецепты!$H$6:$H$85,MATCH(Меню!$D$13,Рецепты!$H$6:$H$85,0)+2)=Меню!$D$13,FALSE),INDEX(Рецепты!$L$6:$L$85,MATCH(Меню!$D$13,Рецепты!$H$6:$H$85,0)+2),0),0)</f>
        <v>0</v>
      </c>
      <c r="I183" s="12" t="str">
        <f>IF($F183="","",Меню!$E$13)</f>
        <v/>
      </c>
      <c r="J183" s="12">
        <f t="shared" si="2"/>
        <v>0</v>
      </c>
      <c r="K183" s="12">
        <f>IFERROR($J183/100*INDEX(Продукты!$G$6:$G$66,MATCH($E183,Продукты!$A$6:$A$66,0)),0)</f>
        <v>0</v>
      </c>
      <c r="L183" s="12">
        <f>IFERROR($J183/100*INDEX(Продукты!$H$6:$H$66,MATCH($E183,Продукты!$A$6:$A$66,0)),0)</f>
        <v>0</v>
      </c>
      <c r="M183" s="12">
        <f>IFERROR($J183/100*INDEX(Продукты!$I$6:$I$66,MATCH($E183,Продукты!$A$6:$A$66,0)),0)</f>
        <v>0</v>
      </c>
      <c r="N183" s="12">
        <f>IFERROR($J183/100*INDEX(Продукты!$J$6:$J$66,MATCH($E183,Продукты!$A$6:$A$66,0)),0)</f>
        <v>0</v>
      </c>
      <c r="O183" s="3" t="str">
        <f>IFERROR(IF(IFERROR(INDEX(Рецепты!$H$6:$H$85,MATCH(Меню!$D$13,Рецепты!$H$6:$H$85,0)+2)=Меню!$D$13,FALSE),INDEX(Рецепты!$N$6:$N$85,MATCH(Меню!$D$13,Рецепты!$H$6:$H$85,0)+2),""),"")</f>
        <v/>
      </c>
    </row>
    <row r="184" spans="1:15">
      <c r="A184" s="3" t="str">
        <f>IF($E184="","",Меню!$A$13)</f>
        <v/>
      </c>
      <c r="B184" s="3" t="str">
        <f>IF($E184="","",Меню!$B$13)</f>
        <v/>
      </c>
      <c r="C184" s="3" t="str">
        <f>IF($E184="","",Меню!$C$13)</f>
        <v/>
      </c>
      <c r="D184" s="3" t="str">
        <f>IF($E184="","",Меню!$D$13)</f>
        <v/>
      </c>
      <c r="E184" s="3" t="str">
        <f>IFERROR(IF(IFERROR(INDEX(Рецепты!$H$6:$H$85,MATCH(Меню!$D$13,Рецепты!$H$6:$H$85,0)+3)=Меню!$D$13,FALSE),INDEX(Рецепты!$J$6:$J$85,MATCH(Меню!$D$13,Рецепты!$H$6:$H$85,0)+3),""),"")</f>
        <v/>
      </c>
      <c r="F184" s="3" t="str">
        <f>IF($E184="","",INDEX(Рецепты!$K$6:$K$85,MATCH(Меню!$D$13,Рецепты!$H$6:$H$85,0)+3))</f>
        <v/>
      </c>
      <c r="G184" s="3" t="str">
        <f>IF($E184="","",INDEX(Рецепты!$M$6:$M$85,MATCH(Меню!$D$13,Рецепты!$H$6:$H$85,0)+3))</f>
        <v/>
      </c>
      <c r="H184" s="12">
        <f>IFERROR(IF(IFERROR(INDEX(Рецепты!$H$6:$H$85,MATCH(Меню!$D$13,Рецепты!$H$6:$H$85,0)+3)=Меню!$D$13,FALSE),INDEX(Рецепты!$L$6:$L$85,MATCH(Меню!$D$13,Рецепты!$H$6:$H$85,0)+3),0),0)</f>
        <v>0</v>
      </c>
      <c r="I184" s="12" t="str">
        <f>IF($F184="","",Меню!$E$13)</f>
        <v/>
      </c>
      <c r="J184" s="12">
        <f t="shared" si="2"/>
        <v>0</v>
      </c>
      <c r="K184" s="12">
        <f>IFERROR($J184/100*INDEX(Продукты!$G$6:$G$66,MATCH($E184,Продукты!$A$6:$A$66,0)),0)</f>
        <v>0</v>
      </c>
      <c r="L184" s="12">
        <f>IFERROR($J184/100*INDEX(Продукты!$H$6:$H$66,MATCH($E184,Продукты!$A$6:$A$66,0)),0)</f>
        <v>0</v>
      </c>
      <c r="M184" s="12">
        <f>IFERROR($J184/100*INDEX(Продукты!$I$6:$I$66,MATCH($E184,Продукты!$A$6:$A$66,0)),0)</f>
        <v>0</v>
      </c>
      <c r="N184" s="12">
        <f>IFERROR($J184/100*INDEX(Продукты!$J$6:$J$66,MATCH($E184,Продукты!$A$6:$A$66,0)),0)</f>
        <v>0</v>
      </c>
      <c r="O184" s="3" t="str">
        <f>IFERROR(IF(IFERROR(INDEX(Рецепты!$H$6:$H$85,MATCH(Меню!$D$13,Рецепты!$H$6:$H$85,0)+3)=Меню!$D$13,FALSE),INDEX(Рецепты!$N$6:$N$85,MATCH(Меню!$D$13,Рецепты!$H$6:$H$85,0)+3),""),"")</f>
        <v/>
      </c>
    </row>
    <row r="185" spans="1:15">
      <c r="A185" s="3" t="str">
        <f>IF($E185="","",Меню!$A$13)</f>
        <v/>
      </c>
      <c r="B185" s="3" t="str">
        <f>IF($E185="","",Меню!$B$13)</f>
        <v/>
      </c>
      <c r="C185" s="3" t="str">
        <f>IF($E185="","",Меню!$C$13)</f>
        <v/>
      </c>
      <c r="D185" s="3" t="str">
        <f>IF($E185="","",Меню!$D$13)</f>
        <v/>
      </c>
      <c r="E185" s="3" t="str">
        <f>IFERROR(IF(IFERROR(INDEX(Рецепты!$H$6:$H$85,MATCH(Меню!$D$13,Рецепты!$H$6:$H$85,0)+4)=Меню!$D$13,FALSE),INDEX(Рецепты!$J$6:$J$85,MATCH(Меню!$D$13,Рецепты!$H$6:$H$85,0)+4),""),"")</f>
        <v/>
      </c>
      <c r="F185" s="3" t="str">
        <f>IF($E185="","",INDEX(Рецепты!$K$6:$K$85,MATCH(Меню!$D$13,Рецепты!$H$6:$H$85,0)+4))</f>
        <v/>
      </c>
      <c r="G185" s="3" t="str">
        <f>IF($E185="","",INDEX(Рецепты!$M$6:$M$85,MATCH(Меню!$D$13,Рецепты!$H$6:$H$85,0)+4))</f>
        <v/>
      </c>
      <c r="H185" s="12">
        <f>IFERROR(IF(IFERROR(INDEX(Рецепты!$H$6:$H$85,MATCH(Меню!$D$13,Рецепты!$H$6:$H$85,0)+4)=Меню!$D$13,FALSE),INDEX(Рецепты!$L$6:$L$85,MATCH(Меню!$D$13,Рецепты!$H$6:$H$85,0)+4),0),0)</f>
        <v>0</v>
      </c>
      <c r="I185" s="12" t="str">
        <f>IF($F185="","",Меню!$E$13)</f>
        <v/>
      </c>
      <c r="J185" s="12">
        <f t="shared" si="2"/>
        <v>0</v>
      </c>
      <c r="K185" s="12">
        <f>IFERROR($J185/100*INDEX(Продукты!$G$6:$G$66,MATCH($E185,Продукты!$A$6:$A$66,0)),0)</f>
        <v>0</v>
      </c>
      <c r="L185" s="12">
        <f>IFERROR($J185/100*INDEX(Продукты!$H$6:$H$66,MATCH($E185,Продукты!$A$6:$A$66,0)),0)</f>
        <v>0</v>
      </c>
      <c r="M185" s="12">
        <f>IFERROR($J185/100*INDEX(Продукты!$I$6:$I$66,MATCH($E185,Продукты!$A$6:$A$66,0)),0)</f>
        <v>0</v>
      </c>
      <c r="N185" s="12">
        <f>IFERROR($J185/100*INDEX(Продукты!$J$6:$J$66,MATCH($E185,Продукты!$A$6:$A$66,0)),0)</f>
        <v>0</v>
      </c>
      <c r="O185" s="3" t="str">
        <f>IFERROR(IF(IFERROR(INDEX(Рецепты!$H$6:$H$85,MATCH(Меню!$D$13,Рецепты!$H$6:$H$85,0)+4)=Меню!$D$13,FALSE),INDEX(Рецепты!$N$6:$N$85,MATCH(Меню!$D$13,Рецепты!$H$6:$H$85,0)+4),""),"")</f>
        <v/>
      </c>
    </row>
    <row r="186" spans="1:15">
      <c r="A186" s="3" t="str">
        <f>IF($E186="","",Меню!$A$13)</f>
        <v/>
      </c>
      <c r="B186" s="3" t="str">
        <f>IF($E186="","",Меню!$B$13)</f>
        <v/>
      </c>
      <c r="C186" s="3" t="str">
        <f>IF($E186="","",Меню!$C$13)</f>
        <v/>
      </c>
      <c r="D186" s="3" t="str">
        <f>IF($E186="","",Меню!$D$13)</f>
        <v/>
      </c>
      <c r="E186" s="3" t="str">
        <f>IFERROR(IF(IFERROR(INDEX(Рецепты!$H$6:$H$85,MATCH(Меню!$D$13,Рецепты!$H$6:$H$85,0)+5)=Меню!$D$13,FALSE),INDEX(Рецепты!$J$6:$J$85,MATCH(Меню!$D$13,Рецепты!$H$6:$H$85,0)+5),""),"")</f>
        <v/>
      </c>
      <c r="F186" s="3" t="str">
        <f>IF($E186="","",INDEX(Рецепты!$K$6:$K$85,MATCH(Меню!$D$13,Рецепты!$H$6:$H$85,0)+5))</f>
        <v/>
      </c>
      <c r="G186" s="3" t="str">
        <f>IF($E186="","",INDEX(Рецепты!$M$6:$M$85,MATCH(Меню!$D$13,Рецепты!$H$6:$H$85,0)+5))</f>
        <v/>
      </c>
      <c r="H186" s="12">
        <f>IFERROR(IF(IFERROR(INDEX(Рецепты!$H$6:$H$85,MATCH(Меню!$D$13,Рецепты!$H$6:$H$85,0)+5)=Меню!$D$13,FALSE),INDEX(Рецепты!$L$6:$L$85,MATCH(Меню!$D$13,Рецепты!$H$6:$H$85,0)+5),0),0)</f>
        <v>0</v>
      </c>
      <c r="I186" s="12" t="str">
        <f>IF($F186="","",Меню!$E$13)</f>
        <v/>
      </c>
      <c r="J186" s="12">
        <f t="shared" si="2"/>
        <v>0</v>
      </c>
      <c r="K186" s="12">
        <f>IFERROR($J186/100*INDEX(Продукты!$G$6:$G$66,MATCH($E186,Продукты!$A$6:$A$66,0)),0)</f>
        <v>0</v>
      </c>
      <c r="L186" s="12">
        <f>IFERROR($J186/100*INDEX(Продукты!$H$6:$H$66,MATCH($E186,Продукты!$A$6:$A$66,0)),0)</f>
        <v>0</v>
      </c>
      <c r="M186" s="12">
        <f>IFERROR($J186/100*INDEX(Продукты!$I$6:$I$66,MATCH($E186,Продукты!$A$6:$A$66,0)),0)</f>
        <v>0</v>
      </c>
      <c r="N186" s="12">
        <f>IFERROR($J186/100*INDEX(Продукты!$J$6:$J$66,MATCH($E186,Продукты!$A$6:$A$66,0)),0)</f>
        <v>0</v>
      </c>
      <c r="O186" s="3" t="str">
        <f>IFERROR(IF(IFERROR(INDEX(Рецепты!$H$6:$H$85,MATCH(Меню!$D$13,Рецепты!$H$6:$H$85,0)+5)=Меню!$D$13,FALSE),INDEX(Рецепты!$N$6:$N$85,MATCH(Меню!$D$13,Рецепты!$H$6:$H$85,0)+5),""),"")</f>
        <v/>
      </c>
    </row>
    <row r="187" spans="1:15">
      <c r="A187" s="3" t="str">
        <f>IF($E187="","",Меню!$A$13)</f>
        <v/>
      </c>
      <c r="B187" s="3" t="str">
        <f>IF($E187="","",Меню!$B$13)</f>
        <v/>
      </c>
      <c r="C187" s="3" t="str">
        <f>IF($E187="","",Меню!$C$13)</f>
        <v/>
      </c>
      <c r="D187" s="3" t="str">
        <f>IF($E187="","",Меню!$D$13)</f>
        <v/>
      </c>
      <c r="E187" s="3" t="str">
        <f>IFERROR(IF(IFERROR(INDEX(Рецепты!$H$6:$H$85,MATCH(Меню!$D$13,Рецепты!$H$6:$H$85,0)+6)=Меню!$D$13,FALSE),INDEX(Рецепты!$J$6:$J$85,MATCH(Меню!$D$13,Рецепты!$H$6:$H$85,0)+6),""),"")</f>
        <v/>
      </c>
      <c r="F187" s="3" t="str">
        <f>IF($E187="","",INDEX(Рецепты!$K$6:$K$85,MATCH(Меню!$D$13,Рецепты!$H$6:$H$85,0)+6))</f>
        <v/>
      </c>
      <c r="G187" s="3" t="str">
        <f>IF($E187="","",INDEX(Рецепты!$M$6:$M$85,MATCH(Меню!$D$13,Рецепты!$H$6:$H$85,0)+6))</f>
        <v/>
      </c>
      <c r="H187" s="12">
        <f>IFERROR(IF(IFERROR(INDEX(Рецепты!$H$6:$H$85,MATCH(Меню!$D$13,Рецепты!$H$6:$H$85,0)+6)=Меню!$D$13,FALSE),INDEX(Рецепты!$L$6:$L$85,MATCH(Меню!$D$13,Рецепты!$H$6:$H$85,0)+6),0),0)</f>
        <v>0</v>
      </c>
      <c r="I187" s="12" t="str">
        <f>IF($F187="","",Меню!$E$13)</f>
        <v/>
      </c>
      <c r="J187" s="12">
        <f t="shared" si="2"/>
        <v>0</v>
      </c>
      <c r="K187" s="12">
        <f>IFERROR($J187/100*INDEX(Продукты!$G$6:$G$66,MATCH($E187,Продукты!$A$6:$A$66,0)),0)</f>
        <v>0</v>
      </c>
      <c r="L187" s="12">
        <f>IFERROR($J187/100*INDEX(Продукты!$H$6:$H$66,MATCH($E187,Продукты!$A$6:$A$66,0)),0)</f>
        <v>0</v>
      </c>
      <c r="M187" s="12">
        <f>IFERROR($J187/100*INDEX(Продукты!$I$6:$I$66,MATCH($E187,Продукты!$A$6:$A$66,0)),0)</f>
        <v>0</v>
      </c>
      <c r="N187" s="12">
        <f>IFERROR($J187/100*INDEX(Продукты!$J$6:$J$66,MATCH($E187,Продукты!$A$6:$A$66,0)),0)</f>
        <v>0</v>
      </c>
      <c r="O187" s="3" t="str">
        <f>IFERROR(IF(IFERROR(INDEX(Рецепты!$H$6:$H$85,MATCH(Меню!$D$13,Рецепты!$H$6:$H$85,0)+6)=Меню!$D$13,FALSE),INDEX(Рецепты!$N$6:$N$85,MATCH(Меню!$D$13,Рецепты!$H$6:$H$85,0)+6),""),"")</f>
        <v/>
      </c>
    </row>
    <row r="188" spans="1:15">
      <c r="A188" s="3" t="str">
        <f>IF($E188="","",Меню!$A$13)</f>
        <v/>
      </c>
      <c r="B188" s="3" t="str">
        <f>IF($E188="","",Меню!$B$13)</f>
        <v/>
      </c>
      <c r="C188" s="3" t="str">
        <f>IF($E188="","",Меню!$C$13)</f>
        <v/>
      </c>
      <c r="D188" s="3" t="str">
        <f>IF($E188="","",Меню!$D$13)</f>
        <v/>
      </c>
      <c r="E188" s="3" t="str">
        <f>IFERROR(IF(IFERROR(INDEX(Рецепты!$H$6:$H$85,MATCH(Меню!$D$13,Рецепты!$H$6:$H$85,0)+7)=Меню!$D$13,FALSE),INDEX(Рецепты!$J$6:$J$85,MATCH(Меню!$D$13,Рецепты!$H$6:$H$85,0)+7),""),"")</f>
        <v/>
      </c>
      <c r="F188" s="3" t="str">
        <f>IF($E188="","",INDEX(Рецепты!$K$6:$K$85,MATCH(Меню!$D$13,Рецепты!$H$6:$H$85,0)+7))</f>
        <v/>
      </c>
      <c r="G188" s="3" t="str">
        <f>IF($E188="","",INDEX(Рецепты!$M$6:$M$85,MATCH(Меню!$D$13,Рецепты!$H$6:$H$85,0)+7))</f>
        <v/>
      </c>
      <c r="H188" s="12">
        <f>IFERROR(IF(IFERROR(INDEX(Рецепты!$H$6:$H$85,MATCH(Меню!$D$13,Рецепты!$H$6:$H$85,0)+7)=Меню!$D$13,FALSE),INDEX(Рецепты!$L$6:$L$85,MATCH(Меню!$D$13,Рецепты!$H$6:$H$85,0)+7),0),0)</f>
        <v>0</v>
      </c>
      <c r="I188" s="12" t="str">
        <f>IF($F188="","",Меню!$E$13)</f>
        <v/>
      </c>
      <c r="J188" s="12">
        <f t="shared" si="2"/>
        <v>0</v>
      </c>
      <c r="K188" s="12">
        <f>IFERROR($J188/100*INDEX(Продукты!$G$6:$G$66,MATCH($E188,Продукты!$A$6:$A$66,0)),0)</f>
        <v>0</v>
      </c>
      <c r="L188" s="12">
        <f>IFERROR($J188/100*INDEX(Продукты!$H$6:$H$66,MATCH($E188,Продукты!$A$6:$A$66,0)),0)</f>
        <v>0</v>
      </c>
      <c r="M188" s="12">
        <f>IFERROR($J188/100*INDEX(Продукты!$I$6:$I$66,MATCH($E188,Продукты!$A$6:$A$66,0)),0)</f>
        <v>0</v>
      </c>
      <c r="N188" s="12">
        <f>IFERROR($J188/100*INDEX(Продукты!$J$6:$J$66,MATCH($E188,Продукты!$A$6:$A$66,0)),0)</f>
        <v>0</v>
      </c>
      <c r="O188" s="3" t="str">
        <f>IFERROR(IF(IFERROR(INDEX(Рецепты!$H$6:$H$85,MATCH(Меню!$D$13,Рецепты!$H$6:$H$85,0)+7)=Меню!$D$13,FALSE),INDEX(Рецепты!$N$6:$N$85,MATCH(Меню!$D$13,Рецепты!$H$6:$H$85,0)+7),""),"")</f>
        <v/>
      </c>
    </row>
    <row r="189" spans="1:15">
      <c r="A189" s="3" t="str">
        <f>IF($E189="","",Меню!$A$13)</f>
        <v/>
      </c>
      <c r="B189" s="3" t="str">
        <f>IF($E189="","",Меню!$B$13)</f>
        <v/>
      </c>
      <c r="C189" s="3" t="str">
        <f>IF($E189="","",Меню!$C$13)</f>
        <v/>
      </c>
      <c r="D189" s="3" t="str">
        <f>IF($E189="","",Меню!$D$13)</f>
        <v/>
      </c>
      <c r="E189" s="3" t="str">
        <f>IFERROR(IF(IFERROR(INDEX(Рецепты!$H$6:$H$85,MATCH(Меню!$D$13,Рецепты!$H$6:$H$85,0)+8)=Меню!$D$13,FALSE),INDEX(Рецепты!$J$6:$J$85,MATCH(Меню!$D$13,Рецепты!$H$6:$H$85,0)+8),""),"")</f>
        <v/>
      </c>
      <c r="F189" s="3" t="str">
        <f>IF($E189="","",INDEX(Рецепты!$K$6:$K$85,MATCH(Меню!$D$13,Рецепты!$H$6:$H$85,0)+8))</f>
        <v/>
      </c>
      <c r="G189" s="3" t="str">
        <f>IF($E189="","",INDEX(Рецепты!$M$6:$M$85,MATCH(Меню!$D$13,Рецепты!$H$6:$H$85,0)+8))</f>
        <v/>
      </c>
      <c r="H189" s="12">
        <f>IFERROR(IF(IFERROR(INDEX(Рецепты!$H$6:$H$85,MATCH(Меню!$D$13,Рецепты!$H$6:$H$85,0)+8)=Меню!$D$13,FALSE),INDEX(Рецепты!$L$6:$L$85,MATCH(Меню!$D$13,Рецепты!$H$6:$H$85,0)+8),0),0)</f>
        <v>0</v>
      </c>
      <c r="I189" s="12" t="str">
        <f>IF($F189="","",Меню!$E$13)</f>
        <v/>
      </c>
      <c r="J189" s="12">
        <f t="shared" si="2"/>
        <v>0</v>
      </c>
      <c r="K189" s="12">
        <f>IFERROR($J189/100*INDEX(Продукты!$G$6:$G$66,MATCH($E189,Продукты!$A$6:$A$66,0)),0)</f>
        <v>0</v>
      </c>
      <c r="L189" s="12">
        <f>IFERROR($J189/100*INDEX(Продукты!$H$6:$H$66,MATCH($E189,Продукты!$A$6:$A$66,0)),0)</f>
        <v>0</v>
      </c>
      <c r="M189" s="12">
        <f>IFERROR($J189/100*INDEX(Продукты!$I$6:$I$66,MATCH($E189,Продукты!$A$6:$A$66,0)),0)</f>
        <v>0</v>
      </c>
      <c r="N189" s="12">
        <f>IFERROR($J189/100*INDEX(Продукты!$J$6:$J$66,MATCH($E189,Продукты!$A$6:$A$66,0)),0)</f>
        <v>0</v>
      </c>
      <c r="O189" s="3" t="str">
        <f>IFERROR(IF(IFERROR(INDEX(Рецепты!$H$6:$H$85,MATCH(Меню!$D$13,Рецепты!$H$6:$H$85,0)+8)=Меню!$D$13,FALSE),INDEX(Рецепты!$N$6:$N$85,MATCH(Меню!$D$13,Рецепты!$H$6:$H$85,0)+8),""),"")</f>
        <v/>
      </c>
    </row>
    <row r="190" spans="1:15">
      <c r="A190" s="3" t="str">
        <f>IF($E190="","",Меню!$A$13)</f>
        <v/>
      </c>
      <c r="B190" s="3" t="str">
        <f>IF($E190="","",Меню!$B$13)</f>
        <v/>
      </c>
      <c r="C190" s="3" t="str">
        <f>IF($E190="","",Меню!$C$13)</f>
        <v/>
      </c>
      <c r="D190" s="3" t="str">
        <f>IF($E190="","",Меню!$D$13)</f>
        <v/>
      </c>
      <c r="E190" s="3" t="str">
        <f>IFERROR(IF(IFERROR(INDEX(Рецепты!$H$6:$H$85,MATCH(Меню!$D$13,Рецепты!$H$6:$H$85,0)+9)=Меню!$D$13,FALSE),INDEX(Рецепты!$J$6:$J$85,MATCH(Меню!$D$13,Рецепты!$H$6:$H$85,0)+9),""),"")</f>
        <v/>
      </c>
      <c r="F190" s="3" t="str">
        <f>IF($E190="","",INDEX(Рецепты!$K$6:$K$85,MATCH(Меню!$D$13,Рецепты!$H$6:$H$85,0)+9))</f>
        <v/>
      </c>
      <c r="G190" s="3" t="str">
        <f>IF($E190="","",INDEX(Рецепты!$M$6:$M$85,MATCH(Меню!$D$13,Рецепты!$H$6:$H$85,0)+9))</f>
        <v/>
      </c>
      <c r="H190" s="12">
        <f>IFERROR(IF(IFERROR(INDEX(Рецепты!$H$6:$H$85,MATCH(Меню!$D$13,Рецепты!$H$6:$H$85,0)+9)=Меню!$D$13,FALSE),INDEX(Рецепты!$L$6:$L$85,MATCH(Меню!$D$13,Рецепты!$H$6:$H$85,0)+9),0),0)</f>
        <v>0</v>
      </c>
      <c r="I190" s="12" t="str">
        <f>IF($F190="","",Меню!$E$13)</f>
        <v/>
      </c>
      <c r="J190" s="12">
        <f t="shared" si="2"/>
        <v>0</v>
      </c>
      <c r="K190" s="12">
        <f>IFERROR($J190/100*INDEX(Продукты!$G$6:$G$66,MATCH($E190,Продукты!$A$6:$A$66,0)),0)</f>
        <v>0</v>
      </c>
      <c r="L190" s="12">
        <f>IFERROR($J190/100*INDEX(Продукты!$H$6:$H$66,MATCH($E190,Продукты!$A$6:$A$66,0)),0)</f>
        <v>0</v>
      </c>
      <c r="M190" s="12">
        <f>IFERROR($J190/100*INDEX(Продукты!$I$6:$I$66,MATCH($E190,Продукты!$A$6:$A$66,0)),0)</f>
        <v>0</v>
      </c>
      <c r="N190" s="12">
        <f>IFERROR($J190/100*INDEX(Продукты!$J$6:$J$66,MATCH($E190,Продукты!$A$6:$A$66,0)),0)</f>
        <v>0</v>
      </c>
      <c r="O190" s="3" t="str">
        <f>IFERROR(IF(IFERROR(INDEX(Рецепты!$H$6:$H$85,MATCH(Меню!$D$13,Рецепты!$H$6:$H$85,0)+9)=Меню!$D$13,FALSE),INDEX(Рецепты!$N$6:$N$85,MATCH(Меню!$D$13,Рецепты!$H$6:$H$85,0)+9),""),"")</f>
        <v/>
      </c>
    </row>
    <row r="191" spans="1:15">
      <c r="A191" s="3" t="str">
        <f>IF($E191="","",Меню!$A$13)</f>
        <v/>
      </c>
      <c r="B191" s="3" t="str">
        <f>IF($E191="","",Меню!$B$13)</f>
        <v/>
      </c>
      <c r="C191" s="3" t="str">
        <f>IF($E191="","",Меню!$C$13)</f>
        <v/>
      </c>
      <c r="D191" s="3" t="str">
        <f>IF($E191="","",Меню!$D$13)</f>
        <v/>
      </c>
      <c r="E191" s="3" t="str">
        <f>IFERROR(IF(IFERROR(INDEX(Рецепты!$H$6:$H$85,MATCH(Меню!$D$13,Рецепты!$H$6:$H$85,0)+10)=Меню!$D$13,FALSE),INDEX(Рецепты!$J$6:$J$85,MATCH(Меню!$D$13,Рецепты!$H$6:$H$85,0)+10),""),"")</f>
        <v/>
      </c>
      <c r="F191" s="3" t="str">
        <f>IF($E191="","",INDEX(Рецепты!$K$6:$K$85,MATCH(Меню!$D$13,Рецепты!$H$6:$H$85,0)+10))</f>
        <v/>
      </c>
      <c r="G191" s="3" t="str">
        <f>IF($E191="","",INDEX(Рецепты!$M$6:$M$85,MATCH(Меню!$D$13,Рецепты!$H$6:$H$85,0)+10))</f>
        <v/>
      </c>
      <c r="H191" s="12">
        <f>IFERROR(IF(IFERROR(INDEX(Рецепты!$H$6:$H$85,MATCH(Меню!$D$13,Рецепты!$H$6:$H$85,0)+10)=Меню!$D$13,FALSE),INDEX(Рецепты!$L$6:$L$85,MATCH(Меню!$D$13,Рецепты!$H$6:$H$85,0)+10),0),0)</f>
        <v>0</v>
      </c>
      <c r="I191" s="12" t="str">
        <f>IF($F191="","",Меню!$E$13)</f>
        <v/>
      </c>
      <c r="J191" s="12">
        <f t="shared" si="2"/>
        <v>0</v>
      </c>
      <c r="K191" s="12">
        <f>IFERROR($J191/100*INDEX(Продукты!$G$6:$G$66,MATCH($E191,Продукты!$A$6:$A$66,0)),0)</f>
        <v>0</v>
      </c>
      <c r="L191" s="12">
        <f>IFERROR($J191/100*INDEX(Продукты!$H$6:$H$66,MATCH($E191,Продукты!$A$6:$A$66,0)),0)</f>
        <v>0</v>
      </c>
      <c r="M191" s="12">
        <f>IFERROR($J191/100*INDEX(Продукты!$I$6:$I$66,MATCH($E191,Продукты!$A$6:$A$66,0)),0)</f>
        <v>0</v>
      </c>
      <c r="N191" s="12">
        <f>IFERROR($J191/100*INDEX(Продукты!$J$6:$J$66,MATCH($E191,Продукты!$A$6:$A$66,0)),0)</f>
        <v>0</v>
      </c>
      <c r="O191" s="3" t="str">
        <f>IFERROR(IF(IFERROR(INDEX(Рецепты!$H$6:$H$85,MATCH(Меню!$D$13,Рецепты!$H$6:$H$85,0)+10)=Меню!$D$13,FALSE),INDEX(Рецепты!$N$6:$N$85,MATCH(Меню!$D$13,Рецепты!$H$6:$H$85,0)+10),""),"")</f>
        <v/>
      </c>
    </row>
    <row r="192" spans="1:15">
      <c r="A192" s="3" t="str">
        <f>IF($E192="","",Меню!$A$13)</f>
        <v/>
      </c>
      <c r="B192" s="3" t="str">
        <f>IF($E192="","",Меню!$B$13)</f>
        <v/>
      </c>
      <c r="C192" s="3" t="str">
        <f>IF($E192="","",Меню!$C$13)</f>
        <v/>
      </c>
      <c r="D192" s="3" t="str">
        <f>IF($E192="","",Меню!$D$13)</f>
        <v/>
      </c>
      <c r="E192" s="3" t="str">
        <f>IFERROR(IF(IFERROR(INDEX(Рецепты!$H$6:$H$85,MATCH(Меню!$D$13,Рецепты!$H$6:$H$85,0)+11)=Меню!$D$13,FALSE),INDEX(Рецепты!$J$6:$J$85,MATCH(Меню!$D$13,Рецепты!$H$6:$H$85,0)+11),""),"")</f>
        <v/>
      </c>
      <c r="F192" s="3" t="str">
        <f>IF($E192="","",INDEX(Рецепты!$K$6:$K$85,MATCH(Меню!$D$13,Рецепты!$H$6:$H$85,0)+11))</f>
        <v/>
      </c>
      <c r="G192" s="3" t="str">
        <f>IF($E192="","",INDEX(Рецепты!$M$6:$M$85,MATCH(Меню!$D$13,Рецепты!$H$6:$H$85,0)+11))</f>
        <v/>
      </c>
      <c r="H192" s="12">
        <f>IFERROR(IF(IFERROR(INDEX(Рецепты!$H$6:$H$85,MATCH(Меню!$D$13,Рецепты!$H$6:$H$85,0)+11)=Меню!$D$13,FALSE),INDEX(Рецепты!$L$6:$L$85,MATCH(Меню!$D$13,Рецепты!$H$6:$H$85,0)+11),0),0)</f>
        <v>0</v>
      </c>
      <c r="I192" s="12" t="str">
        <f>IF($F192="","",Меню!$E$13)</f>
        <v/>
      </c>
      <c r="J192" s="12">
        <f t="shared" si="2"/>
        <v>0</v>
      </c>
      <c r="K192" s="12">
        <f>IFERROR($J192/100*INDEX(Продукты!$G$6:$G$66,MATCH($E192,Продукты!$A$6:$A$66,0)),0)</f>
        <v>0</v>
      </c>
      <c r="L192" s="12">
        <f>IFERROR($J192/100*INDEX(Продукты!$H$6:$H$66,MATCH($E192,Продукты!$A$6:$A$66,0)),0)</f>
        <v>0</v>
      </c>
      <c r="M192" s="12">
        <f>IFERROR($J192/100*INDEX(Продукты!$I$6:$I$66,MATCH($E192,Продукты!$A$6:$A$66,0)),0)</f>
        <v>0</v>
      </c>
      <c r="N192" s="12">
        <f>IFERROR($J192/100*INDEX(Продукты!$J$6:$J$66,MATCH($E192,Продукты!$A$6:$A$66,0)),0)</f>
        <v>0</v>
      </c>
      <c r="O192" s="3" t="str">
        <f>IFERROR(IF(IFERROR(INDEX(Рецепты!$H$6:$H$85,MATCH(Меню!$D$13,Рецепты!$H$6:$H$85,0)+11)=Меню!$D$13,FALSE),INDEX(Рецепты!$N$6:$N$85,MATCH(Меню!$D$13,Рецепты!$H$6:$H$85,0)+11),""),"")</f>
        <v/>
      </c>
    </row>
    <row r="193" spans="1:15">
      <c r="A193" s="3" t="str">
        <f>IF($E193="","",Меню!$A$13)</f>
        <v/>
      </c>
      <c r="B193" s="3" t="str">
        <f>IF($E193="","",Меню!$B$13)</f>
        <v/>
      </c>
      <c r="C193" s="3" t="str">
        <f>IF($E193="","",Меню!$C$13)</f>
        <v/>
      </c>
      <c r="D193" s="3" t="str">
        <f>IF($E193="","",Меню!$D$13)</f>
        <v/>
      </c>
      <c r="E193" s="3" t="str">
        <f>IFERROR(IF(IFERROR(INDEX(Рецепты!$H$6:$H$85,MATCH(Меню!$D$13,Рецепты!$H$6:$H$85,0)+12)=Меню!$D$13,FALSE),INDEX(Рецепты!$J$6:$J$85,MATCH(Меню!$D$13,Рецепты!$H$6:$H$85,0)+12),""),"")</f>
        <v/>
      </c>
      <c r="F193" s="3" t="str">
        <f>IF($E193="","",INDEX(Рецепты!$K$6:$K$85,MATCH(Меню!$D$13,Рецепты!$H$6:$H$85,0)+12))</f>
        <v/>
      </c>
      <c r="G193" s="3" t="str">
        <f>IF($E193="","",INDEX(Рецепты!$M$6:$M$85,MATCH(Меню!$D$13,Рецепты!$H$6:$H$85,0)+12))</f>
        <v/>
      </c>
      <c r="H193" s="12">
        <f>IFERROR(IF(IFERROR(INDEX(Рецепты!$H$6:$H$85,MATCH(Меню!$D$13,Рецепты!$H$6:$H$85,0)+12)=Меню!$D$13,FALSE),INDEX(Рецепты!$L$6:$L$85,MATCH(Меню!$D$13,Рецепты!$H$6:$H$85,0)+12),0),0)</f>
        <v>0</v>
      </c>
      <c r="I193" s="12" t="str">
        <f>IF($F193="","",Меню!$E$13)</f>
        <v/>
      </c>
      <c r="J193" s="12">
        <f t="shared" si="2"/>
        <v>0</v>
      </c>
      <c r="K193" s="12">
        <f>IFERROR($J193/100*INDEX(Продукты!$G$6:$G$66,MATCH($E193,Продукты!$A$6:$A$66,0)),0)</f>
        <v>0</v>
      </c>
      <c r="L193" s="12">
        <f>IFERROR($J193/100*INDEX(Продукты!$H$6:$H$66,MATCH($E193,Продукты!$A$6:$A$66,0)),0)</f>
        <v>0</v>
      </c>
      <c r="M193" s="12">
        <f>IFERROR($J193/100*INDEX(Продукты!$I$6:$I$66,MATCH($E193,Продукты!$A$6:$A$66,0)),0)</f>
        <v>0</v>
      </c>
      <c r="N193" s="12">
        <f>IFERROR($J193/100*INDEX(Продукты!$J$6:$J$66,MATCH($E193,Продукты!$A$6:$A$66,0)),0)</f>
        <v>0</v>
      </c>
      <c r="O193" s="3" t="str">
        <f>IFERROR(IF(IFERROR(INDEX(Рецепты!$H$6:$H$85,MATCH(Меню!$D$13,Рецепты!$H$6:$H$85,0)+12)=Меню!$D$13,FALSE),INDEX(Рецепты!$N$6:$N$85,MATCH(Меню!$D$13,Рецепты!$H$6:$H$85,0)+12),""),"")</f>
        <v/>
      </c>
    </row>
    <row r="194" spans="1:15">
      <c r="A194" s="3" t="str">
        <f>IF($E194="","",Меню!$A$13)</f>
        <v/>
      </c>
      <c r="B194" s="3" t="str">
        <f>IF($E194="","",Меню!$B$13)</f>
        <v/>
      </c>
      <c r="C194" s="3" t="str">
        <f>IF($E194="","",Меню!$C$13)</f>
        <v/>
      </c>
      <c r="D194" s="3" t="str">
        <f>IF($E194="","",Меню!$D$13)</f>
        <v/>
      </c>
      <c r="E194" s="3" t="str">
        <f>IFERROR(IF(IFERROR(INDEX(Рецепты!$H$6:$H$85,MATCH(Меню!$D$13,Рецепты!$H$6:$H$85,0)+13)=Меню!$D$13,FALSE),INDEX(Рецепты!$J$6:$J$85,MATCH(Меню!$D$13,Рецепты!$H$6:$H$85,0)+13),""),"")</f>
        <v/>
      </c>
      <c r="F194" s="3" t="str">
        <f>IF($E194="","",INDEX(Рецепты!$K$6:$K$85,MATCH(Меню!$D$13,Рецепты!$H$6:$H$85,0)+13))</f>
        <v/>
      </c>
      <c r="G194" s="3" t="str">
        <f>IF($E194="","",INDEX(Рецепты!$M$6:$M$85,MATCH(Меню!$D$13,Рецепты!$H$6:$H$85,0)+13))</f>
        <v/>
      </c>
      <c r="H194" s="12">
        <f>IFERROR(IF(IFERROR(INDEX(Рецепты!$H$6:$H$85,MATCH(Меню!$D$13,Рецепты!$H$6:$H$85,0)+13)=Меню!$D$13,FALSE),INDEX(Рецепты!$L$6:$L$85,MATCH(Меню!$D$13,Рецепты!$H$6:$H$85,0)+13),0),0)</f>
        <v>0</v>
      </c>
      <c r="I194" s="12" t="str">
        <f>IF($F194="","",Меню!$E$13)</f>
        <v/>
      </c>
      <c r="J194" s="12">
        <f t="shared" si="2"/>
        <v>0</v>
      </c>
      <c r="K194" s="12">
        <f>IFERROR($J194/100*INDEX(Продукты!$G$6:$G$66,MATCH($E194,Продукты!$A$6:$A$66,0)),0)</f>
        <v>0</v>
      </c>
      <c r="L194" s="12">
        <f>IFERROR($J194/100*INDEX(Продукты!$H$6:$H$66,MATCH($E194,Продукты!$A$6:$A$66,0)),0)</f>
        <v>0</v>
      </c>
      <c r="M194" s="12">
        <f>IFERROR($J194/100*INDEX(Продукты!$I$6:$I$66,MATCH($E194,Продукты!$A$6:$A$66,0)),0)</f>
        <v>0</v>
      </c>
      <c r="N194" s="12">
        <f>IFERROR($J194/100*INDEX(Продукты!$J$6:$J$66,MATCH($E194,Продукты!$A$6:$A$66,0)),0)</f>
        <v>0</v>
      </c>
      <c r="O194" s="3" t="str">
        <f>IFERROR(IF(IFERROR(INDEX(Рецепты!$H$6:$H$85,MATCH(Меню!$D$13,Рецепты!$H$6:$H$85,0)+13)=Меню!$D$13,FALSE),INDEX(Рецепты!$N$6:$N$85,MATCH(Меню!$D$13,Рецепты!$H$6:$H$85,0)+13),""),"")</f>
        <v/>
      </c>
    </row>
    <row r="195" spans="1:15">
      <c r="A195" s="3" t="str">
        <f>IF($E195="","",Меню!$A$13)</f>
        <v/>
      </c>
      <c r="B195" s="3" t="str">
        <f>IF($E195="","",Меню!$B$13)</f>
        <v/>
      </c>
      <c r="C195" s="3" t="str">
        <f>IF($E195="","",Меню!$C$13)</f>
        <v/>
      </c>
      <c r="D195" s="3" t="str">
        <f>IF($E195="","",Меню!$D$13)</f>
        <v/>
      </c>
      <c r="E195" s="3" t="str">
        <f>IFERROR(IF(IFERROR(INDEX(Рецепты!$H$6:$H$85,MATCH(Меню!$D$13,Рецепты!$H$6:$H$85,0)+14)=Меню!$D$13,FALSE),INDEX(Рецепты!$J$6:$J$85,MATCH(Меню!$D$13,Рецепты!$H$6:$H$85,0)+14),""),"")</f>
        <v/>
      </c>
      <c r="F195" s="3" t="str">
        <f>IF($E195="","",INDEX(Рецепты!$K$6:$K$85,MATCH(Меню!$D$13,Рецепты!$H$6:$H$85,0)+14))</f>
        <v/>
      </c>
      <c r="G195" s="3" t="str">
        <f>IF($E195="","",INDEX(Рецепты!$M$6:$M$85,MATCH(Меню!$D$13,Рецепты!$H$6:$H$85,0)+14))</f>
        <v/>
      </c>
      <c r="H195" s="12">
        <f>IFERROR(IF(IFERROR(INDEX(Рецепты!$H$6:$H$85,MATCH(Меню!$D$13,Рецепты!$H$6:$H$85,0)+14)=Меню!$D$13,FALSE),INDEX(Рецепты!$L$6:$L$85,MATCH(Меню!$D$13,Рецепты!$H$6:$H$85,0)+14),0),0)</f>
        <v>0</v>
      </c>
      <c r="I195" s="12" t="str">
        <f>IF($F195="","",Меню!$E$13)</f>
        <v/>
      </c>
      <c r="J195" s="12">
        <f t="shared" si="2"/>
        <v>0</v>
      </c>
      <c r="K195" s="12">
        <f>IFERROR($J195/100*INDEX(Продукты!$G$6:$G$66,MATCH($E195,Продукты!$A$6:$A$66,0)),0)</f>
        <v>0</v>
      </c>
      <c r="L195" s="12">
        <f>IFERROR($J195/100*INDEX(Продукты!$H$6:$H$66,MATCH($E195,Продукты!$A$6:$A$66,0)),0)</f>
        <v>0</v>
      </c>
      <c r="M195" s="12">
        <f>IFERROR($J195/100*INDEX(Продукты!$I$6:$I$66,MATCH($E195,Продукты!$A$6:$A$66,0)),0)</f>
        <v>0</v>
      </c>
      <c r="N195" s="12">
        <f>IFERROR($J195/100*INDEX(Продукты!$J$6:$J$66,MATCH($E195,Продукты!$A$6:$A$66,0)),0)</f>
        <v>0</v>
      </c>
      <c r="O195" s="3" t="str">
        <f>IFERROR(IF(IFERROR(INDEX(Рецепты!$H$6:$H$85,MATCH(Меню!$D$13,Рецепты!$H$6:$H$85,0)+14)=Меню!$D$13,FALSE),INDEX(Рецепты!$N$6:$N$85,MATCH(Меню!$D$13,Рецепты!$H$6:$H$85,0)+14),""),"")</f>
        <v/>
      </c>
    </row>
    <row r="196" spans="1:15">
      <c r="A196" s="3" t="str">
        <f>IF($E196="","",Меню!$A$13)</f>
        <v/>
      </c>
      <c r="B196" s="3" t="str">
        <f>IF($E196="","",Меню!$B$13)</f>
        <v/>
      </c>
      <c r="C196" s="3" t="str">
        <f>IF($E196="","",Меню!$C$13)</f>
        <v/>
      </c>
      <c r="D196" s="3" t="str">
        <f>IF($E196="","",Меню!$D$13)</f>
        <v/>
      </c>
      <c r="E196" s="3" t="str">
        <f>IFERROR(IF(IFERROR(INDEX(Рецепты!$H$6:$H$85,MATCH(Меню!$D$13,Рецепты!$H$6:$H$85,0)+15)=Меню!$D$13,FALSE),INDEX(Рецепты!$J$6:$J$85,MATCH(Меню!$D$13,Рецепты!$H$6:$H$85,0)+15),""),"")</f>
        <v/>
      </c>
      <c r="F196" s="3" t="str">
        <f>IF($E196="","",INDEX(Рецепты!$K$6:$K$85,MATCH(Меню!$D$13,Рецепты!$H$6:$H$85,0)+15))</f>
        <v/>
      </c>
      <c r="G196" s="3" t="str">
        <f>IF($E196="","",INDEX(Рецепты!$M$6:$M$85,MATCH(Меню!$D$13,Рецепты!$H$6:$H$85,0)+15))</f>
        <v/>
      </c>
      <c r="H196" s="12">
        <f>IFERROR(IF(IFERROR(INDEX(Рецепты!$H$6:$H$85,MATCH(Меню!$D$13,Рецепты!$H$6:$H$85,0)+15)=Меню!$D$13,FALSE),INDEX(Рецепты!$L$6:$L$85,MATCH(Меню!$D$13,Рецепты!$H$6:$H$85,0)+15),0),0)</f>
        <v>0</v>
      </c>
      <c r="I196" s="12" t="str">
        <f>IF($F196="","",Меню!$E$13)</f>
        <v/>
      </c>
      <c r="J196" s="12">
        <f t="shared" si="2"/>
        <v>0</v>
      </c>
      <c r="K196" s="12">
        <f>IFERROR($J196/100*INDEX(Продукты!$G$6:$G$66,MATCH($E196,Продукты!$A$6:$A$66,0)),0)</f>
        <v>0</v>
      </c>
      <c r="L196" s="12">
        <f>IFERROR($J196/100*INDEX(Продукты!$H$6:$H$66,MATCH($E196,Продукты!$A$6:$A$66,0)),0)</f>
        <v>0</v>
      </c>
      <c r="M196" s="12">
        <f>IFERROR($J196/100*INDEX(Продукты!$I$6:$I$66,MATCH($E196,Продукты!$A$6:$A$66,0)),0)</f>
        <v>0</v>
      </c>
      <c r="N196" s="12">
        <f>IFERROR($J196/100*INDEX(Продукты!$J$6:$J$66,MATCH($E196,Продукты!$A$6:$A$66,0)),0)</f>
        <v>0</v>
      </c>
      <c r="O196" s="3" t="str">
        <f>IFERROR(IF(IFERROR(INDEX(Рецепты!$H$6:$H$85,MATCH(Меню!$D$13,Рецепты!$H$6:$H$85,0)+15)=Меню!$D$13,FALSE),INDEX(Рецепты!$N$6:$N$85,MATCH(Меню!$D$13,Рецепты!$H$6:$H$85,0)+15),""),"")</f>
        <v/>
      </c>
    </row>
    <row r="197" spans="1:15">
      <c r="A197" s="3" t="str">
        <f>IF($E197="","",Меню!$A$13)</f>
        <v/>
      </c>
      <c r="B197" s="3" t="str">
        <f>IF($E197="","",Меню!$B$13)</f>
        <v/>
      </c>
      <c r="C197" s="3" t="str">
        <f>IF($E197="","",Меню!$C$13)</f>
        <v/>
      </c>
      <c r="D197" s="3" t="str">
        <f>IF($E197="","",Меню!$D$13)</f>
        <v/>
      </c>
      <c r="E197" s="3" t="str">
        <f>IFERROR(IF(IFERROR(INDEX(Рецепты!$H$6:$H$85,MATCH(Меню!$D$13,Рецепты!$H$6:$H$85,0)+16)=Меню!$D$13,FALSE),INDEX(Рецепты!$J$6:$J$85,MATCH(Меню!$D$13,Рецепты!$H$6:$H$85,0)+16),""),"")</f>
        <v/>
      </c>
      <c r="F197" s="3" t="str">
        <f>IF($E197="","",INDEX(Рецепты!$K$6:$K$85,MATCH(Меню!$D$13,Рецепты!$H$6:$H$85,0)+16))</f>
        <v/>
      </c>
      <c r="G197" s="3" t="str">
        <f>IF($E197="","",INDEX(Рецепты!$M$6:$M$85,MATCH(Меню!$D$13,Рецепты!$H$6:$H$85,0)+16))</f>
        <v/>
      </c>
      <c r="H197" s="12">
        <f>IFERROR(IF(IFERROR(INDEX(Рецепты!$H$6:$H$85,MATCH(Меню!$D$13,Рецепты!$H$6:$H$85,0)+16)=Меню!$D$13,FALSE),INDEX(Рецепты!$L$6:$L$85,MATCH(Меню!$D$13,Рецепты!$H$6:$H$85,0)+16),0),0)</f>
        <v>0</v>
      </c>
      <c r="I197" s="12" t="str">
        <f>IF($F197="","",Меню!$E$13)</f>
        <v/>
      </c>
      <c r="J197" s="12">
        <f t="shared" si="2"/>
        <v>0</v>
      </c>
      <c r="K197" s="12">
        <f>IFERROR($J197/100*INDEX(Продукты!$G$6:$G$66,MATCH($E197,Продукты!$A$6:$A$66,0)),0)</f>
        <v>0</v>
      </c>
      <c r="L197" s="12">
        <f>IFERROR($J197/100*INDEX(Продукты!$H$6:$H$66,MATCH($E197,Продукты!$A$6:$A$66,0)),0)</f>
        <v>0</v>
      </c>
      <c r="M197" s="12">
        <f>IFERROR($J197/100*INDEX(Продукты!$I$6:$I$66,MATCH($E197,Продукты!$A$6:$A$66,0)),0)</f>
        <v>0</v>
      </c>
      <c r="N197" s="12">
        <f>IFERROR($J197/100*INDEX(Продукты!$J$6:$J$66,MATCH($E197,Продукты!$A$6:$A$66,0)),0)</f>
        <v>0</v>
      </c>
      <c r="O197" s="3" t="str">
        <f>IFERROR(IF(IFERROR(INDEX(Рецепты!$H$6:$H$85,MATCH(Меню!$D$13,Рецепты!$H$6:$H$85,0)+16)=Меню!$D$13,FALSE),INDEX(Рецепты!$N$6:$N$85,MATCH(Меню!$D$13,Рецепты!$H$6:$H$85,0)+16),""),"")</f>
        <v/>
      </c>
    </row>
    <row r="198" spans="1:15">
      <c r="A198" s="3" t="str">
        <f>IF($E198="","",Меню!$A$13)</f>
        <v/>
      </c>
      <c r="B198" s="3" t="str">
        <f>IF($E198="","",Меню!$B$13)</f>
        <v/>
      </c>
      <c r="C198" s="3" t="str">
        <f>IF($E198="","",Меню!$C$13)</f>
        <v/>
      </c>
      <c r="D198" s="3" t="str">
        <f>IF($E198="","",Меню!$D$13)</f>
        <v/>
      </c>
      <c r="E198" s="3" t="str">
        <f>IFERROR(IF(IFERROR(INDEX(Рецепты!$H$6:$H$85,MATCH(Меню!$D$13,Рецепты!$H$6:$H$85,0)+17)=Меню!$D$13,FALSE),INDEX(Рецепты!$J$6:$J$85,MATCH(Меню!$D$13,Рецепты!$H$6:$H$85,0)+17),""),"")</f>
        <v/>
      </c>
      <c r="F198" s="3" t="str">
        <f>IF($E198="","",INDEX(Рецепты!$K$6:$K$85,MATCH(Меню!$D$13,Рецепты!$H$6:$H$85,0)+17))</f>
        <v/>
      </c>
      <c r="G198" s="3" t="str">
        <f>IF($E198="","",INDEX(Рецепты!$M$6:$M$85,MATCH(Меню!$D$13,Рецепты!$H$6:$H$85,0)+17))</f>
        <v/>
      </c>
      <c r="H198" s="12">
        <f>IFERROR(IF(IFERROR(INDEX(Рецепты!$H$6:$H$85,MATCH(Меню!$D$13,Рецепты!$H$6:$H$85,0)+17)=Меню!$D$13,FALSE),INDEX(Рецепты!$L$6:$L$85,MATCH(Меню!$D$13,Рецепты!$H$6:$H$85,0)+17),0),0)</f>
        <v>0</v>
      </c>
      <c r="I198" s="12" t="str">
        <f>IF($F198="","",Меню!$E$13)</f>
        <v/>
      </c>
      <c r="J198" s="12">
        <f t="shared" ref="J198:J261" si="3">IFERROR($H198*$I198,0)</f>
        <v>0</v>
      </c>
      <c r="K198" s="12">
        <f>IFERROR($J198/100*INDEX(Продукты!$G$6:$G$66,MATCH($E198,Продукты!$A$6:$A$66,0)),0)</f>
        <v>0</v>
      </c>
      <c r="L198" s="12">
        <f>IFERROR($J198/100*INDEX(Продукты!$H$6:$H$66,MATCH($E198,Продукты!$A$6:$A$66,0)),0)</f>
        <v>0</v>
      </c>
      <c r="M198" s="12">
        <f>IFERROR($J198/100*INDEX(Продукты!$I$6:$I$66,MATCH($E198,Продукты!$A$6:$A$66,0)),0)</f>
        <v>0</v>
      </c>
      <c r="N198" s="12">
        <f>IFERROR($J198/100*INDEX(Продукты!$J$6:$J$66,MATCH($E198,Продукты!$A$6:$A$66,0)),0)</f>
        <v>0</v>
      </c>
      <c r="O198" s="3" t="str">
        <f>IFERROR(IF(IFERROR(INDEX(Рецепты!$H$6:$H$85,MATCH(Меню!$D$13,Рецепты!$H$6:$H$85,0)+17)=Меню!$D$13,FALSE),INDEX(Рецепты!$N$6:$N$85,MATCH(Меню!$D$13,Рецепты!$H$6:$H$85,0)+17),""),"")</f>
        <v/>
      </c>
    </row>
    <row r="199" spans="1:15">
      <c r="A199" s="3" t="str">
        <f>IF($E199="","",Меню!$A$13)</f>
        <v/>
      </c>
      <c r="B199" s="3" t="str">
        <f>IF($E199="","",Меню!$B$13)</f>
        <v/>
      </c>
      <c r="C199" s="3" t="str">
        <f>IF($E199="","",Меню!$C$13)</f>
        <v/>
      </c>
      <c r="D199" s="3" t="str">
        <f>IF($E199="","",Меню!$D$13)</f>
        <v/>
      </c>
      <c r="E199" s="3" t="str">
        <f>IFERROR(IF(IFERROR(INDEX(Рецепты!$H$6:$H$85,MATCH(Меню!$D$13,Рецепты!$H$6:$H$85,0)+18)=Меню!$D$13,FALSE),INDEX(Рецепты!$J$6:$J$85,MATCH(Меню!$D$13,Рецепты!$H$6:$H$85,0)+18),""),"")</f>
        <v/>
      </c>
      <c r="F199" s="3" t="str">
        <f>IF($E199="","",INDEX(Рецепты!$K$6:$K$85,MATCH(Меню!$D$13,Рецепты!$H$6:$H$85,0)+18))</f>
        <v/>
      </c>
      <c r="G199" s="3" t="str">
        <f>IF($E199="","",INDEX(Рецепты!$M$6:$M$85,MATCH(Меню!$D$13,Рецепты!$H$6:$H$85,0)+18))</f>
        <v/>
      </c>
      <c r="H199" s="12">
        <f>IFERROR(IF(IFERROR(INDEX(Рецепты!$H$6:$H$85,MATCH(Меню!$D$13,Рецепты!$H$6:$H$85,0)+18)=Меню!$D$13,FALSE),INDEX(Рецепты!$L$6:$L$85,MATCH(Меню!$D$13,Рецепты!$H$6:$H$85,0)+18),0),0)</f>
        <v>0</v>
      </c>
      <c r="I199" s="12" t="str">
        <f>IF($F199="","",Меню!$E$13)</f>
        <v/>
      </c>
      <c r="J199" s="12">
        <f t="shared" si="3"/>
        <v>0</v>
      </c>
      <c r="K199" s="12">
        <f>IFERROR($J199/100*INDEX(Продукты!$G$6:$G$66,MATCH($E199,Продукты!$A$6:$A$66,0)),0)</f>
        <v>0</v>
      </c>
      <c r="L199" s="12">
        <f>IFERROR($J199/100*INDEX(Продукты!$H$6:$H$66,MATCH($E199,Продукты!$A$6:$A$66,0)),0)</f>
        <v>0</v>
      </c>
      <c r="M199" s="12">
        <f>IFERROR($J199/100*INDEX(Продукты!$I$6:$I$66,MATCH($E199,Продукты!$A$6:$A$66,0)),0)</f>
        <v>0</v>
      </c>
      <c r="N199" s="12">
        <f>IFERROR($J199/100*INDEX(Продукты!$J$6:$J$66,MATCH($E199,Продукты!$A$6:$A$66,0)),0)</f>
        <v>0</v>
      </c>
      <c r="O199" s="3" t="str">
        <f>IFERROR(IF(IFERROR(INDEX(Рецепты!$H$6:$H$85,MATCH(Меню!$D$13,Рецепты!$H$6:$H$85,0)+18)=Меню!$D$13,FALSE),INDEX(Рецепты!$N$6:$N$85,MATCH(Меню!$D$13,Рецепты!$H$6:$H$85,0)+18),""),"")</f>
        <v/>
      </c>
    </row>
    <row r="200" spans="1:15">
      <c r="A200" s="3" t="str">
        <f>IF($E200="","",Меню!$A$13)</f>
        <v/>
      </c>
      <c r="B200" s="3" t="str">
        <f>IF($E200="","",Меню!$B$13)</f>
        <v/>
      </c>
      <c r="C200" s="3" t="str">
        <f>IF($E200="","",Меню!$C$13)</f>
        <v/>
      </c>
      <c r="D200" s="3" t="str">
        <f>IF($E200="","",Меню!$D$13)</f>
        <v/>
      </c>
      <c r="E200" s="3" t="str">
        <f>IFERROR(IF(IFERROR(INDEX(Рецепты!$H$6:$H$85,MATCH(Меню!$D$13,Рецепты!$H$6:$H$85,0)+19)=Меню!$D$13,FALSE),INDEX(Рецепты!$J$6:$J$85,MATCH(Меню!$D$13,Рецепты!$H$6:$H$85,0)+19),""),"")</f>
        <v/>
      </c>
      <c r="F200" s="3" t="str">
        <f>IF($E200="","",INDEX(Рецепты!$K$6:$K$85,MATCH(Меню!$D$13,Рецепты!$H$6:$H$85,0)+19))</f>
        <v/>
      </c>
      <c r="G200" s="3" t="str">
        <f>IF($E200="","",INDEX(Рецепты!$M$6:$M$85,MATCH(Меню!$D$13,Рецепты!$H$6:$H$85,0)+19))</f>
        <v/>
      </c>
      <c r="H200" s="12">
        <f>IFERROR(IF(IFERROR(INDEX(Рецепты!$H$6:$H$85,MATCH(Меню!$D$13,Рецепты!$H$6:$H$85,0)+19)=Меню!$D$13,FALSE),INDEX(Рецепты!$L$6:$L$85,MATCH(Меню!$D$13,Рецепты!$H$6:$H$85,0)+19),0),0)</f>
        <v>0</v>
      </c>
      <c r="I200" s="12" t="str">
        <f>IF($F200="","",Меню!$E$13)</f>
        <v/>
      </c>
      <c r="J200" s="12">
        <f t="shared" si="3"/>
        <v>0</v>
      </c>
      <c r="K200" s="12">
        <f>IFERROR($J200/100*INDEX(Продукты!$G$6:$G$66,MATCH($E200,Продукты!$A$6:$A$66,0)),0)</f>
        <v>0</v>
      </c>
      <c r="L200" s="12">
        <f>IFERROR($J200/100*INDEX(Продукты!$H$6:$H$66,MATCH($E200,Продукты!$A$6:$A$66,0)),0)</f>
        <v>0</v>
      </c>
      <c r="M200" s="12">
        <f>IFERROR($J200/100*INDEX(Продукты!$I$6:$I$66,MATCH($E200,Продукты!$A$6:$A$66,0)),0)</f>
        <v>0</v>
      </c>
      <c r="N200" s="12">
        <f>IFERROR($J200/100*INDEX(Продукты!$J$6:$J$66,MATCH($E200,Продукты!$A$6:$A$66,0)),0)</f>
        <v>0</v>
      </c>
      <c r="O200" s="3" t="str">
        <f>IFERROR(IF(IFERROR(INDEX(Рецепты!$H$6:$H$85,MATCH(Меню!$D$13,Рецепты!$H$6:$H$85,0)+19)=Меню!$D$13,FALSE),INDEX(Рецепты!$N$6:$N$85,MATCH(Меню!$D$13,Рецепты!$H$6:$H$85,0)+19),""),"")</f>
        <v/>
      </c>
    </row>
    <row r="201" spans="1:15">
      <c r="A201" s="3" t="str">
        <f>IF($E201="","",Меню!$A$13)</f>
        <v/>
      </c>
      <c r="B201" s="3" t="str">
        <f>IF($E201="","",Меню!$B$13)</f>
        <v/>
      </c>
      <c r="C201" s="3" t="str">
        <f>IF($E201="","",Меню!$C$13)</f>
        <v/>
      </c>
      <c r="D201" s="3" t="str">
        <f>IF($E201="","",Меню!$D$13)</f>
        <v/>
      </c>
      <c r="E201" s="3" t="str">
        <f>IFERROR(IF(IFERROR(INDEX(Рецепты!$H$6:$H$85,MATCH(Меню!$D$13,Рецепты!$H$6:$H$85,0)+20)=Меню!$D$13,FALSE),INDEX(Рецепты!$J$6:$J$85,MATCH(Меню!$D$13,Рецепты!$H$6:$H$85,0)+20),""),"")</f>
        <v/>
      </c>
      <c r="F201" s="3" t="str">
        <f>IF($E201="","",INDEX(Рецепты!$K$6:$K$85,MATCH(Меню!$D$13,Рецепты!$H$6:$H$85,0)+20))</f>
        <v/>
      </c>
      <c r="G201" s="3" t="str">
        <f>IF($E201="","",INDEX(Рецепты!$M$6:$M$85,MATCH(Меню!$D$13,Рецепты!$H$6:$H$85,0)+20))</f>
        <v/>
      </c>
      <c r="H201" s="12">
        <f>IFERROR(IF(IFERROR(INDEX(Рецепты!$H$6:$H$85,MATCH(Меню!$D$13,Рецепты!$H$6:$H$85,0)+20)=Меню!$D$13,FALSE),INDEX(Рецепты!$L$6:$L$85,MATCH(Меню!$D$13,Рецепты!$H$6:$H$85,0)+20),0),0)</f>
        <v>0</v>
      </c>
      <c r="I201" s="12" t="str">
        <f>IF($F201="","",Меню!$E$13)</f>
        <v/>
      </c>
      <c r="J201" s="12">
        <f t="shared" si="3"/>
        <v>0</v>
      </c>
      <c r="K201" s="12">
        <f>IFERROR($J201/100*INDEX(Продукты!$G$6:$G$66,MATCH($E201,Продукты!$A$6:$A$66,0)),0)</f>
        <v>0</v>
      </c>
      <c r="L201" s="12">
        <f>IFERROR($J201/100*INDEX(Продукты!$H$6:$H$66,MATCH($E201,Продукты!$A$6:$A$66,0)),0)</f>
        <v>0</v>
      </c>
      <c r="M201" s="12">
        <f>IFERROR($J201/100*INDEX(Продукты!$I$6:$I$66,MATCH($E201,Продукты!$A$6:$A$66,0)),0)</f>
        <v>0</v>
      </c>
      <c r="N201" s="12">
        <f>IFERROR($J201/100*INDEX(Продукты!$J$6:$J$66,MATCH($E201,Продукты!$A$6:$A$66,0)),0)</f>
        <v>0</v>
      </c>
      <c r="O201" s="3" t="str">
        <f>IFERROR(IF(IFERROR(INDEX(Рецепты!$H$6:$H$85,MATCH(Меню!$D$13,Рецепты!$H$6:$H$85,0)+20)=Меню!$D$13,FALSE),INDEX(Рецепты!$N$6:$N$85,MATCH(Меню!$D$13,Рецепты!$H$6:$H$85,0)+20),""),"")</f>
        <v/>
      </c>
    </row>
    <row r="202" spans="1:15">
      <c r="A202" s="3" t="str">
        <f>IF($E202="","",Меню!$A$13)</f>
        <v/>
      </c>
      <c r="B202" s="3" t="str">
        <f>IF($E202="","",Меню!$B$13)</f>
        <v/>
      </c>
      <c r="C202" s="3" t="str">
        <f>IF($E202="","",Меню!$C$13)</f>
        <v/>
      </c>
      <c r="D202" s="3" t="str">
        <f>IF($E202="","",Меню!$D$13)</f>
        <v/>
      </c>
      <c r="E202" s="3" t="str">
        <f>IFERROR(IF(IFERROR(INDEX(Рецепты!$H$6:$H$85,MATCH(Меню!$D$13,Рецепты!$H$6:$H$85,0)+21)=Меню!$D$13,FALSE),INDEX(Рецепты!$J$6:$J$85,MATCH(Меню!$D$13,Рецепты!$H$6:$H$85,0)+21),""),"")</f>
        <v/>
      </c>
      <c r="F202" s="3" t="str">
        <f>IF($E202="","",INDEX(Рецепты!$K$6:$K$85,MATCH(Меню!$D$13,Рецепты!$H$6:$H$85,0)+21))</f>
        <v/>
      </c>
      <c r="G202" s="3" t="str">
        <f>IF($E202="","",INDEX(Рецепты!$M$6:$M$85,MATCH(Меню!$D$13,Рецепты!$H$6:$H$85,0)+21))</f>
        <v/>
      </c>
      <c r="H202" s="12">
        <f>IFERROR(IF(IFERROR(INDEX(Рецепты!$H$6:$H$85,MATCH(Меню!$D$13,Рецепты!$H$6:$H$85,0)+21)=Меню!$D$13,FALSE),INDEX(Рецепты!$L$6:$L$85,MATCH(Меню!$D$13,Рецепты!$H$6:$H$85,0)+21),0),0)</f>
        <v>0</v>
      </c>
      <c r="I202" s="12" t="str">
        <f>IF($F202="","",Меню!$E$13)</f>
        <v/>
      </c>
      <c r="J202" s="12">
        <f t="shared" si="3"/>
        <v>0</v>
      </c>
      <c r="K202" s="12">
        <f>IFERROR($J202/100*INDEX(Продукты!$G$6:$G$66,MATCH($E202,Продукты!$A$6:$A$66,0)),0)</f>
        <v>0</v>
      </c>
      <c r="L202" s="12">
        <f>IFERROR($J202/100*INDEX(Продукты!$H$6:$H$66,MATCH($E202,Продукты!$A$6:$A$66,0)),0)</f>
        <v>0</v>
      </c>
      <c r="M202" s="12">
        <f>IFERROR($J202/100*INDEX(Продукты!$I$6:$I$66,MATCH($E202,Продукты!$A$6:$A$66,0)),0)</f>
        <v>0</v>
      </c>
      <c r="N202" s="12">
        <f>IFERROR($J202/100*INDEX(Продукты!$J$6:$J$66,MATCH($E202,Продукты!$A$6:$A$66,0)),0)</f>
        <v>0</v>
      </c>
      <c r="O202" s="3" t="str">
        <f>IFERROR(IF(IFERROR(INDEX(Рецепты!$H$6:$H$85,MATCH(Меню!$D$13,Рецепты!$H$6:$H$85,0)+21)=Меню!$D$13,FALSE),INDEX(Рецепты!$N$6:$N$85,MATCH(Меню!$D$13,Рецепты!$H$6:$H$85,0)+21),""),"")</f>
        <v/>
      </c>
    </row>
    <row r="203" spans="1:15">
      <c r="A203" s="3" t="str">
        <f>IF($E203="","",Меню!$A$13)</f>
        <v/>
      </c>
      <c r="B203" s="3" t="str">
        <f>IF($E203="","",Меню!$B$13)</f>
        <v/>
      </c>
      <c r="C203" s="3" t="str">
        <f>IF($E203="","",Меню!$C$13)</f>
        <v/>
      </c>
      <c r="D203" s="3" t="str">
        <f>IF($E203="","",Меню!$D$13)</f>
        <v/>
      </c>
      <c r="E203" s="3" t="str">
        <f>IFERROR(IF(IFERROR(INDEX(Рецепты!$H$6:$H$85,MATCH(Меню!$D$13,Рецепты!$H$6:$H$85,0)+22)=Меню!$D$13,FALSE),INDEX(Рецепты!$J$6:$J$85,MATCH(Меню!$D$13,Рецепты!$H$6:$H$85,0)+22),""),"")</f>
        <v/>
      </c>
      <c r="F203" s="3" t="str">
        <f>IF($E203="","",INDEX(Рецепты!$K$6:$K$85,MATCH(Меню!$D$13,Рецепты!$H$6:$H$85,0)+22))</f>
        <v/>
      </c>
      <c r="G203" s="3" t="str">
        <f>IF($E203="","",INDEX(Рецепты!$M$6:$M$85,MATCH(Меню!$D$13,Рецепты!$H$6:$H$85,0)+22))</f>
        <v/>
      </c>
      <c r="H203" s="12">
        <f>IFERROR(IF(IFERROR(INDEX(Рецепты!$H$6:$H$85,MATCH(Меню!$D$13,Рецепты!$H$6:$H$85,0)+22)=Меню!$D$13,FALSE),INDEX(Рецепты!$L$6:$L$85,MATCH(Меню!$D$13,Рецепты!$H$6:$H$85,0)+22),0),0)</f>
        <v>0</v>
      </c>
      <c r="I203" s="12" t="str">
        <f>IF($F203="","",Меню!$E$13)</f>
        <v/>
      </c>
      <c r="J203" s="12">
        <f t="shared" si="3"/>
        <v>0</v>
      </c>
      <c r="K203" s="12">
        <f>IFERROR($J203/100*INDEX(Продукты!$G$6:$G$66,MATCH($E203,Продукты!$A$6:$A$66,0)),0)</f>
        <v>0</v>
      </c>
      <c r="L203" s="12">
        <f>IFERROR($J203/100*INDEX(Продукты!$H$6:$H$66,MATCH($E203,Продукты!$A$6:$A$66,0)),0)</f>
        <v>0</v>
      </c>
      <c r="M203" s="12">
        <f>IFERROR($J203/100*INDEX(Продукты!$I$6:$I$66,MATCH($E203,Продукты!$A$6:$A$66,0)),0)</f>
        <v>0</v>
      </c>
      <c r="N203" s="12">
        <f>IFERROR($J203/100*INDEX(Продукты!$J$6:$J$66,MATCH($E203,Продукты!$A$6:$A$66,0)),0)</f>
        <v>0</v>
      </c>
      <c r="O203" s="3" t="str">
        <f>IFERROR(IF(IFERROR(INDEX(Рецепты!$H$6:$H$85,MATCH(Меню!$D$13,Рецепты!$H$6:$H$85,0)+22)=Меню!$D$13,FALSE),INDEX(Рецепты!$N$6:$N$85,MATCH(Меню!$D$13,Рецепты!$H$6:$H$85,0)+22),""),"")</f>
        <v/>
      </c>
    </row>
    <row r="204" spans="1:15">
      <c r="A204" s="3" t="str">
        <f>IF($E204="","",Меню!$A$13)</f>
        <v/>
      </c>
      <c r="B204" s="3" t="str">
        <f>IF($E204="","",Меню!$B$13)</f>
        <v/>
      </c>
      <c r="C204" s="3" t="str">
        <f>IF($E204="","",Меню!$C$13)</f>
        <v/>
      </c>
      <c r="D204" s="3" t="str">
        <f>IF($E204="","",Меню!$D$13)</f>
        <v/>
      </c>
      <c r="E204" s="3" t="str">
        <f>IFERROR(IF(IFERROR(INDEX(Рецепты!$H$6:$H$85,MATCH(Меню!$D$13,Рецепты!$H$6:$H$85,0)+23)=Меню!$D$13,FALSE),INDEX(Рецепты!$J$6:$J$85,MATCH(Меню!$D$13,Рецепты!$H$6:$H$85,0)+23),""),"")</f>
        <v/>
      </c>
      <c r="F204" s="3" t="str">
        <f>IF($E204="","",INDEX(Рецепты!$K$6:$K$85,MATCH(Меню!$D$13,Рецепты!$H$6:$H$85,0)+23))</f>
        <v/>
      </c>
      <c r="G204" s="3" t="str">
        <f>IF($E204="","",INDEX(Рецепты!$M$6:$M$85,MATCH(Меню!$D$13,Рецепты!$H$6:$H$85,0)+23))</f>
        <v/>
      </c>
      <c r="H204" s="12">
        <f>IFERROR(IF(IFERROR(INDEX(Рецепты!$H$6:$H$85,MATCH(Меню!$D$13,Рецепты!$H$6:$H$85,0)+23)=Меню!$D$13,FALSE),INDEX(Рецепты!$L$6:$L$85,MATCH(Меню!$D$13,Рецепты!$H$6:$H$85,0)+23),0),0)</f>
        <v>0</v>
      </c>
      <c r="I204" s="12" t="str">
        <f>IF($F204="","",Меню!$E$13)</f>
        <v/>
      </c>
      <c r="J204" s="12">
        <f t="shared" si="3"/>
        <v>0</v>
      </c>
      <c r="K204" s="12">
        <f>IFERROR($J204/100*INDEX(Продукты!$G$6:$G$66,MATCH($E204,Продукты!$A$6:$A$66,0)),0)</f>
        <v>0</v>
      </c>
      <c r="L204" s="12">
        <f>IFERROR($J204/100*INDEX(Продукты!$H$6:$H$66,MATCH($E204,Продукты!$A$6:$A$66,0)),0)</f>
        <v>0</v>
      </c>
      <c r="M204" s="12">
        <f>IFERROR($J204/100*INDEX(Продукты!$I$6:$I$66,MATCH($E204,Продукты!$A$6:$A$66,0)),0)</f>
        <v>0</v>
      </c>
      <c r="N204" s="12">
        <f>IFERROR($J204/100*INDEX(Продукты!$J$6:$J$66,MATCH($E204,Продукты!$A$6:$A$66,0)),0)</f>
        <v>0</v>
      </c>
      <c r="O204" s="3" t="str">
        <f>IFERROR(IF(IFERROR(INDEX(Рецепты!$H$6:$H$85,MATCH(Меню!$D$13,Рецепты!$H$6:$H$85,0)+23)=Меню!$D$13,FALSE),INDEX(Рецепты!$N$6:$N$85,MATCH(Меню!$D$13,Рецепты!$H$6:$H$85,0)+23),""),"")</f>
        <v/>
      </c>
    </row>
    <row r="205" spans="1:15">
      <c r="A205" s="3" t="str">
        <f>IF($E205="","",Меню!$A$13)</f>
        <v/>
      </c>
      <c r="B205" s="3" t="str">
        <f>IF($E205="","",Меню!$B$13)</f>
        <v/>
      </c>
      <c r="C205" s="3" t="str">
        <f>IF($E205="","",Меню!$C$13)</f>
        <v/>
      </c>
      <c r="D205" s="3" t="str">
        <f>IF($E205="","",Меню!$D$13)</f>
        <v/>
      </c>
      <c r="E205" s="3" t="str">
        <f>IFERROR(IF(IFERROR(INDEX(Рецепты!$H$6:$H$85,MATCH(Меню!$D$13,Рецепты!$H$6:$H$85,0)+24)=Меню!$D$13,FALSE),INDEX(Рецепты!$J$6:$J$85,MATCH(Меню!$D$13,Рецепты!$H$6:$H$85,0)+24),""),"")</f>
        <v/>
      </c>
      <c r="F205" s="3" t="str">
        <f>IF($E205="","",INDEX(Рецепты!$K$6:$K$85,MATCH(Меню!$D$13,Рецепты!$H$6:$H$85,0)+24))</f>
        <v/>
      </c>
      <c r="G205" s="3" t="str">
        <f>IF($E205="","",INDEX(Рецепты!$M$6:$M$85,MATCH(Меню!$D$13,Рецепты!$H$6:$H$85,0)+24))</f>
        <v/>
      </c>
      <c r="H205" s="12">
        <f>IFERROR(IF(IFERROR(INDEX(Рецепты!$H$6:$H$85,MATCH(Меню!$D$13,Рецепты!$H$6:$H$85,0)+24)=Меню!$D$13,FALSE),INDEX(Рецепты!$L$6:$L$85,MATCH(Меню!$D$13,Рецепты!$H$6:$H$85,0)+24),0),0)</f>
        <v>0</v>
      </c>
      <c r="I205" s="12" t="str">
        <f>IF($F205="","",Меню!$E$13)</f>
        <v/>
      </c>
      <c r="J205" s="12">
        <f t="shared" si="3"/>
        <v>0</v>
      </c>
      <c r="K205" s="12">
        <f>IFERROR($J205/100*INDEX(Продукты!$G$6:$G$66,MATCH($E205,Продукты!$A$6:$A$66,0)),0)</f>
        <v>0</v>
      </c>
      <c r="L205" s="12">
        <f>IFERROR($J205/100*INDEX(Продукты!$H$6:$H$66,MATCH($E205,Продукты!$A$6:$A$66,0)),0)</f>
        <v>0</v>
      </c>
      <c r="M205" s="12">
        <f>IFERROR($J205/100*INDEX(Продукты!$I$6:$I$66,MATCH($E205,Продукты!$A$6:$A$66,0)),0)</f>
        <v>0</v>
      </c>
      <c r="N205" s="12">
        <f>IFERROR($J205/100*INDEX(Продукты!$J$6:$J$66,MATCH($E205,Продукты!$A$6:$A$66,0)),0)</f>
        <v>0</v>
      </c>
      <c r="O205" s="3" t="str">
        <f>IFERROR(IF(IFERROR(INDEX(Рецепты!$H$6:$H$85,MATCH(Меню!$D$13,Рецепты!$H$6:$H$85,0)+24)=Меню!$D$13,FALSE),INDEX(Рецепты!$N$6:$N$85,MATCH(Меню!$D$13,Рецепты!$H$6:$H$85,0)+24),""),"")</f>
        <v/>
      </c>
    </row>
    <row r="206" spans="1:15">
      <c r="A206" s="3" t="str">
        <f>IF($E206="","",Меню!$A$14)</f>
        <v/>
      </c>
      <c r="B206" s="3" t="str">
        <f>IF($E206="","",Меню!$B$14)</f>
        <v/>
      </c>
      <c r="C206" s="3" t="str">
        <f>IF($E206="","",Меню!$C$14)</f>
        <v/>
      </c>
      <c r="D206" s="3" t="str">
        <f>IF($E206="","",Меню!$D$14)</f>
        <v/>
      </c>
      <c r="E206" s="3" t="str">
        <f>IFERROR(IF(IFERROR(INDEX(Рецепты!$H$6:$H$85,MATCH(Меню!$D$14,Рецепты!$H$6:$H$85,0)+0)=Меню!$D$14,FALSE),INDEX(Рецепты!$J$6:$J$85,MATCH(Меню!$D$14,Рецепты!$H$6:$H$85,0)+0),""),"")</f>
        <v/>
      </c>
      <c r="F206" s="3" t="str">
        <f>IF($E206="","",INDEX(Рецепты!$K$6:$K$85,MATCH(Меню!$D$14,Рецепты!$H$6:$H$85,0)+0))</f>
        <v/>
      </c>
      <c r="G206" s="3" t="str">
        <f>IF($E206="","",INDEX(Рецепты!$M$6:$M$85,MATCH(Меню!$D$14,Рецепты!$H$6:$H$85,0)+0))</f>
        <v/>
      </c>
      <c r="H206" s="12">
        <f>IFERROR(IF(IFERROR(INDEX(Рецепты!$H$6:$H$85,MATCH(Меню!$D$14,Рецепты!$H$6:$H$85,0)+0)=Меню!$D$14,FALSE),INDEX(Рецепты!$L$6:$L$85,MATCH(Меню!$D$14,Рецепты!$H$6:$H$85,0)+0),0),0)</f>
        <v>0</v>
      </c>
      <c r="I206" s="12" t="str">
        <f>IF($F206="","",Меню!$E$14)</f>
        <v/>
      </c>
      <c r="J206" s="12">
        <f t="shared" si="3"/>
        <v>0</v>
      </c>
      <c r="K206" s="12">
        <f>IFERROR($J206/100*INDEX(Продукты!$G$6:$G$66,MATCH($E206,Продукты!$A$6:$A$66,0)),0)</f>
        <v>0</v>
      </c>
      <c r="L206" s="12">
        <f>IFERROR($J206/100*INDEX(Продукты!$H$6:$H$66,MATCH($E206,Продукты!$A$6:$A$66,0)),0)</f>
        <v>0</v>
      </c>
      <c r="M206" s="12">
        <f>IFERROR($J206/100*INDEX(Продукты!$I$6:$I$66,MATCH($E206,Продукты!$A$6:$A$66,0)),0)</f>
        <v>0</v>
      </c>
      <c r="N206" s="12">
        <f>IFERROR($J206/100*INDEX(Продукты!$J$6:$J$66,MATCH($E206,Продукты!$A$6:$A$66,0)),0)</f>
        <v>0</v>
      </c>
      <c r="O206" s="3" t="str">
        <f>IFERROR(IF(IFERROR(INDEX(Рецепты!$H$6:$H$85,MATCH(Меню!$D$14,Рецепты!$H$6:$H$85,0)+0)=Меню!$D$14,FALSE),INDEX(Рецепты!$N$6:$N$85,MATCH(Меню!$D$14,Рецепты!$H$6:$H$85,0)+0),""),"")</f>
        <v/>
      </c>
    </row>
    <row r="207" spans="1:15">
      <c r="A207" s="3" t="str">
        <f>IF($E207="","",Меню!$A$14)</f>
        <v/>
      </c>
      <c r="B207" s="3" t="str">
        <f>IF($E207="","",Меню!$B$14)</f>
        <v/>
      </c>
      <c r="C207" s="3" t="str">
        <f>IF($E207="","",Меню!$C$14)</f>
        <v/>
      </c>
      <c r="D207" s="3" t="str">
        <f>IF($E207="","",Меню!$D$14)</f>
        <v/>
      </c>
      <c r="E207" s="3" t="str">
        <f>IFERROR(IF(IFERROR(INDEX(Рецепты!$H$6:$H$85,MATCH(Меню!$D$14,Рецепты!$H$6:$H$85,0)+1)=Меню!$D$14,FALSE),INDEX(Рецепты!$J$6:$J$85,MATCH(Меню!$D$14,Рецепты!$H$6:$H$85,0)+1),""),"")</f>
        <v/>
      </c>
      <c r="F207" s="3" t="str">
        <f>IF($E207="","",INDEX(Рецепты!$K$6:$K$85,MATCH(Меню!$D$14,Рецепты!$H$6:$H$85,0)+1))</f>
        <v/>
      </c>
      <c r="G207" s="3" t="str">
        <f>IF($E207="","",INDEX(Рецепты!$M$6:$M$85,MATCH(Меню!$D$14,Рецепты!$H$6:$H$85,0)+1))</f>
        <v/>
      </c>
      <c r="H207" s="12">
        <f>IFERROR(IF(IFERROR(INDEX(Рецепты!$H$6:$H$85,MATCH(Меню!$D$14,Рецепты!$H$6:$H$85,0)+1)=Меню!$D$14,FALSE),INDEX(Рецепты!$L$6:$L$85,MATCH(Меню!$D$14,Рецепты!$H$6:$H$85,0)+1),0),0)</f>
        <v>0</v>
      </c>
      <c r="I207" s="12" t="str">
        <f>IF($F207="","",Меню!$E$14)</f>
        <v/>
      </c>
      <c r="J207" s="12">
        <f t="shared" si="3"/>
        <v>0</v>
      </c>
      <c r="K207" s="12">
        <f>IFERROR($J207/100*INDEX(Продукты!$G$6:$G$66,MATCH($E207,Продукты!$A$6:$A$66,0)),0)</f>
        <v>0</v>
      </c>
      <c r="L207" s="12">
        <f>IFERROR($J207/100*INDEX(Продукты!$H$6:$H$66,MATCH($E207,Продукты!$A$6:$A$66,0)),0)</f>
        <v>0</v>
      </c>
      <c r="M207" s="12">
        <f>IFERROR($J207/100*INDEX(Продукты!$I$6:$I$66,MATCH($E207,Продукты!$A$6:$A$66,0)),0)</f>
        <v>0</v>
      </c>
      <c r="N207" s="12">
        <f>IFERROR($J207/100*INDEX(Продукты!$J$6:$J$66,MATCH($E207,Продукты!$A$6:$A$66,0)),0)</f>
        <v>0</v>
      </c>
      <c r="O207" s="3" t="str">
        <f>IFERROR(IF(IFERROR(INDEX(Рецепты!$H$6:$H$85,MATCH(Меню!$D$14,Рецепты!$H$6:$H$85,0)+1)=Меню!$D$14,FALSE),INDEX(Рецепты!$N$6:$N$85,MATCH(Меню!$D$14,Рецепты!$H$6:$H$85,0)+1),""),"")</f>
        <v/>
      </c>
    </row>
    <row r="208" spans="1:15">
      <c r="A208" s="3" t="str">
        <f>IF($E208="","",Меню!$A$14)</f>
        <v/>
      </c>
      <c r="B208" s="3" t="str">
        <f>IF($E208="","",Меню!$B$14)</f>
        <v/>
      </c>
      <c r="C208" s="3" t="str">
        <f>IF($E208="","",Меню!$C$14)</f>
        <v/>
      </c>
      <c r="D208" s="3" t="str">
        <f>IF($E208="","",Меню!$D$14)</f>
        <v/>
      </c>
      <c r="E208" s="3" t="str">
        <f>IFERROR(IF(IFERROR(INDEX(Рецепты!$H$6:$H$85,MATCH(Меню!$D$14,Рецепты!$H$6:$H$85,0)+2)=Меню!$D$14,FALSE),INDEX(Рецепты!$J$6:$J$85,MATCH(Меню!$D$14,Рецепты!$H$6:$H$85,0)+2),""),"")</f>
        <v/>
      </c>
      <c r="F208" s="3" t="str">
        <f>IF($E208="","",INDEX(Рецепты!$K$6:$K$85,MATCH(Меню!$D$14,Рецепты!$H$6:$H$85,0)+2))</f>
        <v/>
      </c>
      <c r="G208" s="3" t="str">
        <f>IF($E208="","",INDEX(Рецепты!$M$6:$M$85,MATCH(Меню!$D$14,Рецепты!$H$6:$H$85,0)+2))</f>
        <v/>
      </c>
      <c r="H208" s="12">
        <f>IFERROR(IF(IFERROR(INDEX(Рецепты!$H$6:$H$85,MATCH(Меню!$D$14,Рецепты!$H$6:$H$85,0)+2)=Меню!$D$14,FALSE),INDEX(Рецепты!$L$6:$L$85,MATCH(Меню!$D$14,Рецепты!$H$6:$H$85,0)+2),0),0)</f>
        <v>0</v>
      </c>
      <c r="I208" s="12" t="str">
        <f>IF($F208="","",Меню!$E$14)</f>
        <v/>
      </c>
      <c r="J208" s="12">
        <f t="shared" si="3"/>
        <v>0</v>
      </c>
      <c r="K208" s="12">
        <f>IFERROR($J208/100*INDEX(Продукты!$G$6:$G$66,MATCH($E208,Продукты!$A$6:$A$66,0)),0)</f>
        <v>0</v>
      </c>
      <c r="L208" s="12">
        <f>IFERROR($J208/100*INDEX(Продукты!$H$6:$H$66,MATCH($E208,Продукты!$A$6:$A$66,0)),0)</f>
        <v>0</v>
      </c>
      <c r="M208" s="12">
        <f>IFERROR($J208/100*INDEX(Продукты!$I$6:$I$66,MATCH($E208,Продукты!$A$6:$A$66,0)),0)</f>
        <v>0</v>
      </c>
      <c r="N208" s="12">
        <f>IFERROR($J208/100*INDEX(Продукты!$J$6:$J$66,MATCH($E208,Продукты!$A$6:$A$66,0)),0)</f>
        <v>0</v>
      </c>
      <c r="O208" s="3" t="str">
        <f>IFERROR(IF(IFERROR(INDEX(Рецепты!$H$6:$H$85,MATCH(Меню!$D$14,Рецепты!$H$6:$H$85,0)+2)=Меню!$D$14,FALSE),INDEX(Рецепты!$N$6:$N$85,MATCH(Меню!$D$14,Рецепты!$H$6:$H$85,0)+2),""),"")</f>
        <v/>
      </c>
    </row>
    <row r="209" spans="1:15">
      <c r="A209" s="3" t="str">
        <f>IF($E209="","",Меню!$A$14)</f>
        <v/>
      </c>
      <c r="B209" s="3" t="str">
        <f>IF($E209="","",Меню!$B$14)</f>
        <v/>
      </c>
      <c r="C209" s="3" t="str">
        <f>IF($E209="","",Меню!$C$14)</f>
        <v/>
      </c>
      <c r="D209" s="3" t="str">
        <f>IF($E209="","",Меню!$D$14)</f>
        <v/>
      </c>
      <c r="E209" s="3" t="str">
        <f>IFERROR(IF(IFERROR(INDEX(Рецепты!$H$6:$H$85,MATCH(Меню!$D$14,Рецепты!$H$6:$H$85,0)+3)=Меню!$D$14,FALSE),INDEX(Рецепты!$J$6:$J$85,MATCH(Меню!$D$14,Рецепты!$H$6:$H$85,0)+3),""),"")</f>
        <v/>
      </c>
      <c r="F209" s="3" t="str">
        <f>IF($E209="","",INDEX(Рецепты!$K$6:$K$85,MATCH(Меню!$D$14,Рецепты!$H$6:$H$85,0)+3))</f>
        <v/>
      </c>
      <c r="G209" s="3" t="str">
        <f>IF($E209="","",INDEX(Рецепты!$M$6:$M$85,MATCH(Меню!$D$14,Рецепты!$H$6:$H$85,0)+3))</f>
        <v/>
      </c>
      <c r="H209" s="12">
        <f>IFERROR(IF(IFERROR(INDEX(Рецепты!$H$6:$H$85,MATCH(Меню!$D$14,Рецепты!$H$6:$H$85,0)+3)=Меню!$D$14,FALSE),INDEX(Рецепты!$L$6:$L$85,MATCH(Меню!$D$14,Рецепты!$H$6:$H$85,0)+3),0),0)</f>
        <v>0</v>
      </c>
      <c r="I209" s="12" t="str">
        <f>IF($F209="","",Меню!$E$14)</f>
        <v/>
      </c>
      <c r="J209" s="12">
        <f t="shared" si="3"/>
        <v>0</v>
      </c>
      <c r="K209" s="12">
        <f>IFERROR($J209/100*INDEX(Продукты!$G$6:$G$66,MATCH($E209,Продукты!$A$6:$A$66,0)),0)</f>
        <v>0</v>
      </c>
      <c r="L209" s="12">
        <f>IFERROR($J209/100*INDEX(Продукты!$H$6:$H$66,MATCH($E209,Продукты!$A$6:$A$66,0)),0)</f>
        <v>0</v>
      </c>
      <c r="M209" s="12">
        <f>IFERROR($J209/100*INDEX(Продукты!$I$6:$I$66,MATCH($E209,Продукты!$A$6:$A$66,0)),0)</f>
        <v>0</v>
      </c>
      <c r="N209" s="12">
        <f>IFERROR($J209/100*INDEX(Продукты!$J$6:$J$66,MATCH($E209,Продукты!$A$6:$A$66,0)),0)</f>
        <v>0</v>
      </c>
      <c r="O209" s="3" t="str">
        <f>IFERROR(IF(IFERROR(INDEX(Рецепты!$H$6:$H$85,MATCH(Меню!$D$14,Рецепты!$H$6:$H$85,0)+3)=Меню!$D$14,FALSE),INDEX(Рецепты!$N$6:$N$85,MATCH(Меню!$D$14,Рецепты!$H$6:$H$85,0)+3),""),"")</f>
        <v/>
      </c>
    </row>
    <row r="210" spans="1:15">
      <c r="A210" s="3" t="str">
        <f>IF($E210="","",Меню!$A$14)</f>
        <v/>
      </c>
      <c r="B210" s="3" t="str">
        <f>IF($E210="","",Меню!$B$14)</f>
        <v/>
      </c>
      <c r="C210" s="3" t="str">
        <f>IF($E210="","",Меню!$C$14)</f>
        <v/>
      </c>
      <c r="D210" s="3" t="str">
        <f>IF($E210="","",Меню!$D$14)</f>
        <v/>
      </c>
      <c r="E210" s="3" t="str">
        <f>IFERROR(IF(IFERROR(INDEX(Рецепты!$H$6:$H$85,MATCH(Меню!$D$14,Рецепты!$H$6:$H$85,0)+4)=Меню!$D$14,FALSE),INDEX(Рецепты!$J$6:$J$85,MATCH(Меню!$D$14,Рецепты!$H$6:$H$85,0)+4),""),"")</f>
        <v/>
      </c>
      <c r="F210" s="3" t="str">
        <f>IF($E210="","",INDEX(Рецепты!$K$6:$K$85,MATCH(Меню!$D$14,Рецепты!$H$6:$H$85,0)+4))</f>
        <v/>
      </c>
      <c r="G210" s="3" t="str">
        <f>IF($E210="","",INDEX(Рецепты!$M$6:$M$85,MATCH(Меню!$D$14,Рецепты!$H$6:$H$85,0)+4))</f>
        <v/>
      </c>
      <c r="H210" s="12">
        <f>IFERROR(IF(IFERROR(INDEX(Рецепты!$H$6:$H$85,MATCH(Меню!$D$14,Рецепты!$H$6:$H$85,0)+4)=Меню!$D$14,FALSE),INDEX(Рецепты!$L$6:$L$85,MATCH(Меню!$D$14,Рецепты!$H$6:$H$85,0)+4),0),0)</f>
        <v>0</v>
      </c>
      <c r="I210" s="12" t="str">
        <f>IF($F210="","",Меню!$E$14)</f>
        <v/>
      </c>
      <c r="J210" s="12">
        <f t="shared" si="3"/>
        <v>0</v>
      </c>
      <c r="K210" s="12">
        <f>IFERROR($J210/100*INDEX(Продукты!$G$6:$G$66,MATCH($E210,Продукты!$A$6:$A$66,0)),0)</f>
        <v>0</v>
      </c>
      <c r="L210" s="12">
        <f>IFERROR($J210/100*INDEX(Продукты!$H$6:$H$66,MATCH($E210,Продукты!$A$6:$A$66,0)),0)</f>
        <v>0</v>
      </c>
      <c r="M210" s="12">
        <f>IFERROR($J210/100*INDEX(Продукты!$I$6:$I$66,MATCH($E210,Продукты!$A$6:$A$66,0)),0)</f>
        <v>0</v>
      </c>
      <c r="N210" s="12">
        <f>IFERROR($J210/100*INDEX(Продукты!$J$6:$J$66,MATCH($E210,Продукты!$A$6:$A$66,0)),0)</f>
        <v>0</v>
      </c>
      <c r="O210" s="3" t="str">
        <f>IFERROR(IF(IFERROR(INDEX(Рецепты!$H$6:$H$85,MATCH(Меню!$D$14,Рецепты!$H$6:$H$85,0)+4)=Меню!$D$14,FALSE),INDEX(Рецепты!$N$6:$N$85,MATCH(Меню!$D$14,Рецепты!$H$6:$H$85,0)+4),""),"")</f>
        <v/>
      </c>
    </row>
    <row r="211" spans="1:15">
      <c r="A211" s="3" t="str">
        <f>IF($E211="","",Меню!$A$14)</f>
        <v/>
      </c>
      <c r="B211" s="3" t="str">
        <f>IF($E211="","",Меню!$B$14)</f>
        <v/>
      </c>
      <c r="C211" s="3" t="str">
        <f>IF($E211="","",Меню!$C$14)</f>
        <v/>
      </c>
      <c r="D211" s="3" t="str">
        <f>IF($E211="","",Меню!$D$14)</f>
        <v/>
      </c>
      <c r="E211" s="3" t="str">
        <f>IFERROR(IF(IFERROR(INDEX(Рецепты!$H$6:$H$85,MATCH(Меню!$D$14,Рецепты!$H$6:$H$85,0)+5)=Меню!$D$14,FALSE),INDEX(Рецепты!$J$6:$J$85,MATCH(Меню!$D$14,Рецепты!$H$6:$H$85,0)+5),""),"")</f>
        <v/>
      </c>
      <c r="F211" s="3" t="str">
        <f>IF($E211="","",INDEX(Рецепты!$K$6:$K$85,MATCH(Меню!$D$14,Рецепты!$H$6:$H$85,0)+5))</f>
        <v/>
      </c>
      <c r="G211" s="3" t="str">
        <f>IF($E211="","",INDEX(Рецепты!$M$6:$M$85,MATCH(Меню!$D$14,Рецепты!$H$6:$H$85,0)+5))</f>
        <v/>
      </c>
      <c r="H211" s="12">
        <f>IFERROR(IF(IFERROR(INDEX(Рецепты!$H$6:$H$85,MATCH(Меню!$D$14,Рецепты!$H$6:$H$85,0)+5)=Меню!$D$14,FALSE),INDEX(Рецепты!$L$6:$L$85,MATCH(Меню!$D$14,Рецепты!$H$6:$H$85,0)+5),0),0)</f>
        <v>0</v>
      </c>
      <c r="I211" s="12" t="str">
        <f>IF($F211="","",Меню!$E$14)</f>
        <v/>
      </c>
      <c r="J211" s="12">
        <f t="shared" si="3"/>
        <v>0</v>
      </c>
      <c r="K211" s="12">
        <f>IFERROR($J211/100*INDEX(Продукты!$G$6:$G$66,MATCH($E211,Продукты!$A$6:$A$66,0)),0)</f>
        <v>0</v>
      </c>
      <c r="L211" s="12">
        <f>IFERROR($J211/100*INDEX(Продукты!$H$6:$H$66,MATCH($E211,Продукты!$A$6:$A$66,0)),0)</f>
        <v>0</v>
      </c>
      <c r="M211" s="12">
        <f>IFERROR($J211/100*INDEX(Продукты!$I$6:$I$66,MATCH($E211,Продукты!$A$6:$A$66,0)),0)</f>
        <v>0</v>
      </c>
      <c r="N211" s="12">
        <f>IFERROR($J211/100*INDEX(Продукты!$J$6:$J$66,MATCH($E211,Продукты!$A$6:$A$66,0)),0)</f>
        <v>0</v>
      </c>
      <c r="O211" s="3" t="str">
        <f>IFERROR(IF(IFERROR(INDEX(Рецепты!$H$6:$H$85,MATCH(Меню!$D$14,Рецепты!$H$6:$H$85,0)+5)=Меню!$D$14,FALSE),INDEX(Рецепты!$N$6:$N$85,MATCH(Меню!$D$14,Рецепты!$H$6:$H$85,0)+5),""),"")</f>
        <v/>
      </c>
    </row>
    <row r="212" spans="1:15">
      <c r="A212" s="3" t="str">
        <f>IF($E212="","",Меню!$A$14)</f>
        <v/>
      </c>
      <c r="B212" s="3" t="str">
        <f>IF($E212="","",Меню!$B$14)</f>
        <v/>
      </c>
      <c r="C212" s="3" t="str">
        <f>IF($E212="","",Меню!$C$14)</f>
        <v/>
      </c>
      <c r="D212" s="3" t="str">
        <f>IF($E212="","",Меню!$D$14)</f>
        <v/>
      </c>
      <c r="E212" s="3" t="str">
        <f>IFERROR(IF(IFERROR(INDEX(Рецепты!$H$6:$H$85,MATCH(Меню!$D$14,Рецепты!$H$6:$H$85,0)+6)=Меню!$D$14,FALSE),INDEX(Рецепты!$J$6:$J$85,MATCH(Меню!$D$14,Рецепты!$H$6:$H$85,0)+6),""),"")</f>
        <v/>
      </c>
      <c r="F212" s="3" t="str">
        <f>IF($E212="","",INDEX(Рецепты!$K$6:$K$85,MATCH(Меню!$D$14,Рецепты!$H$6:$H$85,0)+6))</f>
        <v/>
      </c>
      <c r="G212" s="3" t="str">
        <f>IF($E212="","",INDEX(Рецепты!$M$6:$M$85,MATCH(Меню!$D$14,Рецепты!$H$6:$H$85,0)+6))</f>
        <v/>
      </c>
      <c r="H212" s="12">
        <f>IFERROR(IF(IFERROR(INDEX(Рецепты!$H$6:$H$85,MATCH(Меню!$D$14,Рецепты!$H$6:$H$85,0)+6)=Меню!$D$14,FALSE),INDEX(Рецепты!$L$6:$L$85,MATCH(Меню!$D$14,Рецепты!$H$6:$H$85,0)+6),0),0)</f>
        <v>0</v>
      </c>
      <c r="I212" s="12" t="str">
        <f>IF($F212="","",Меню!$E$14)</f>
        <v/>
      </c>
      <c r="J212" s="12">
        <f t="shared" si="3"/>
        <v>0</v>
      </c>
      <c r="K212" s="12">
        <f>IFERROR($J212/100*INDEX(Продукты!$G$6:$G$66,MATCH($E212,Продукты!$A$6:$A$66,0)),0)</f>
        <v>0</v>
      </c>
      <c r="L212" s="12">
        <f>IFERROR($J212/100*INDEX(Продукты!$H$6:$H$66,MATCH($E212,Продукты!$A$6:$A$66,0)),0)</f>
        <v>0</v>
      </c>
      <c r="M212" s="12">
        <f>IFERROR($J212/100*INDEX(Продукты!$I$6:$I$66,MATCH($E212,Продукты!$A$6:$A$66,0)),0)</f>
        <v>0</v>
      </c>
      <c r="N212" s="12">
        <f>IFERROR($J212/100*INDEX(Продукты!$J$6:$J$66,MATCH($E212,Продукты!$A$6:$A$66,0)),0)</f>
        <v>0</v>
      </c>
      <c r="O212" s="3" t="str">
        <f>IFERROR(IF(IFERROR(INDEX(Рецепты!$H$6:$H$85,MATCH(Меню!$D$14,Рецепты!$H$6:$H$85,0)+6)=Меню!$D$14,FALSE),INDEX(Рецепты!$N$6:$N$85,MATCH(Меню!$D$14,Рецепты!$H$6:$H$85,0)+6),""),"")</f>
        <v/>
      </c>
    </row>
    <row r="213" spans="1:15">
      <c r="A213" s="3" t="str">
        <f>IF($E213="","",Меню!$A$14)</f>
        <v/>
      </c>
      <c r="B213" s="3" t="str">
        <f>IF($E213="","",Меню!$B$14)</f>
        <v/>
      </c>
      <c r="C213" s="3" t="str">
        <f>IF($E213="","",Меню!$C$14)</f>
        <v/>
      </c>
      <c r="D213" s="3" t="str">
        <f>IF($E213="","",Меню!$D$14)</f>
        <v/>
      </c>
      <c r="E213" s="3" t="str">
        <f>IFERROR(IF(IFERROR(INDEX(Рецепты!$H$6:$H$85,MATCH(Меню!$D$14,Рецепты!$H$6:$H$85,0)+7)=Меню!$D$14,FALSE),INDEX(Рецепты!$J$6:$J$85,MATCH(Меню!$D$14,Рецепты!$H$6:$H$85,0)+7),""),"")</f>
        <v/>
      </c>
      <c r="F213" s="3" t="str">
        <f>IF($E213="","",INDEX(Рецепты!$K$6:$K$85,MATCH(Меню!$D$14,Рецепты!$H$6:$H$85,0)+7))</f>
        <v/>
      </c>
      <c r="G213" s="3" t="str">
        <f>IF($E213="","",INDEX(Рецепты!$M$6:$M$85,MATCH(Меню!$D$14,Рецепты!$H$6:$H$85,0)+7))</f>
        <v/>
      </c>
      <c r="H213" s="12">
        <f>IFERROR(IF(IFERROR(INDEX(Рецепты!$H$6:$H$85,MATCH(Меню!$D$14,Рецепты!$H$6:$H$85,0)+7)=Меню!$D$14,FALSE),INDEX(Рецепты!$L$6:$L$85,MATCH(Меню!$D$14,Рецепты!$H$6:$H$85,0)+7),0),0)</f>
        <v>0</v>
      </c>
      <c r="I213" s="12" t="str">
        <f>IF($F213="","",Меню!$E$14)</f>
        <v/>
      </c>
      <c r="J213" s="12">
        <f t="shared" si="3"/>
        <v>0</v>
      </c>
      <c r="K213" s="12">
        <f>IFERROR($J213/100*INDEX(Продукты!$G$6:$G$66,MATCH($E213,Продукты!$A$6:$A$66,0)),0)</f>
        <v>0</v>
      </c>
      <c r="L213" s="12">
        <f>IFERROR($J213/100*INDEX(Продукты!$H$6:$H$66,MATCH($E213,Продукты!$A$6:$A$66,0)),0)</f>
        <v>0</v>
      </c>
      <c r="M213" s="12">
        <f>IFERROR($J213/100*INDEX(Продукты!$I$6:$I$66,MATCH($E213,Продукты!$A$6:$A$66,0)),0)</f>
        <v>0</v>
      </c>
      <c r="N213" s="12">
        <f>IFERROR($J213/100*INDEX(Продукты!$J$6:$J$66,MATCH($E213,Продукты!$A$6:$A$66,0)),0)</f>
        <v>0</v>
      </c>
      <c r="O213" s="3" t="str">
        <f>IFERROR(IF(IFERROR(INDEX(Рецепты!$H$6:$H$85,MATCH(Меню!$D$14,Рецепты!$H$6:$H$85,0)+7)=Меню!$D$14,FALSE),INDEX(Рецепты!$N$6:$N$85,MATCH(Меню!$D$14,Рецепты!$H$6:$H$85,0)+7),""),"")</f>
        <v/>
      </c>
    </row>
    <row r="214" spans="1:15">
      <c r="A214" s="3" t="str">
        <f>IF($E214="","",Меню!$A$14)</f>
        <v/>
      </c>
      <c r="B214" s="3" t="str">
        <f>IF($E214="","",Меню!$B$14)</f>
        <v/>
      </c>
      <c r="C214" s="3" t="str">
        <f>IF($E214="","",Меню!$C$14)</f>
        <v/>
      </c>
      <c r="D214" s="3" t="str">
        <f>IF($E214="","",Меню!$D$14)</f>
        <v/>
      </c>
      <c r="E214" s="3" t="str">
        <f>IFERROR(IF(IFERROR(INDEX(Рецепты!$H$6:$H$85,MATCH(Меню!$D$14,Рецепты!$H$6:$H$85,0)+8)=Меню!$D$14,FALSE),INDEX(Рецепты!$J$6:$J$85,MATCH(Меню!$D$14,Рецепты!$H$6:$H$85,0)+8),""),"")</f>
        <v/>
      </c>
      <c r="F214" s="3" t="str">
        <f>IF($E214="","",INDEX(Рецепты!$K$6:$K$85,MATCH(Меню!$D$14,Рецепты!$H$6:$H$85,0)+8))</f>
        <v/>
      </c>
      <c r="G214" s="3" t="str">
        <f>IF($E214="","",INDEX(Рецепты!$M$6:$M$85,MATCH(Меню!$D$14,Рецепты!$H$6:$H$85,0)+8))</f>
        <v/>
      </c>
      <c r="H214" s="12">
        <f>IFERROR(IF(IFERROR(INDEX(Рецепты!$H$6:$H$85,MATCH(Меню!$D$14,Рецепты!$H$6:$H$85,0)+8)=Меню!$D$14,FALSE),INDEX(Рецепты!$L$6:$L$85,MATCH(Меню!$D$14,Рецепты!$H$6:$H$85,0)+8),0),0)</f>
        <v>0</v>
      </c>
      <c r="I214" s="12" t="str">
        <f>IF($F214="","",Меню!$E$14)</f>
        <v/>
      </c>
      <c r="J214" s="12">
        <f t="shared" si="3"/>
        <v>0</v>
      </c>
      <c r="K214" s="12">
        <f>IFERROR($J214/100*INDEX(Продукты!$G$6:$G$66,MATCH($E214,Продукты!$A$6:$A$66,0)),0)</f>
        <v>0</v>
      </c>
      <c r="L214" s="12">
        <f>IFERROR($J214/100*INDEX(Продукты!$H$6:$H$66,MATCH($E214,Продукты!$A$6:$A$66,0)),0)</f>
        <v>0</v>
      </c>
      <c r="M214" s="12">
        <f>IFERROR($J214/100*INDEX(Продукты!$I$6:$I$66,MATCH($E214,Продукты!$A$6:$A$66,0)),0)</f>
        <v>0</v>
      </c>
      <c r="N214" s="12">
        <f>IFERROR($J214/100*INDEX(Продукты!$J$6:$J$66,MATCH($E214,Продукты!$A$6:$A$66,0)),0)</f>
        <v>0</v>
      </c>
      <c r="O214" s="3" t="str">
        <f>IFERROR(IF(IFERROR(INDEX(Рецепты!$H$6:$H$85,MATCH(Меню!$D$14,Рецепты!$H$6:$H$85,0)+8)=Меню!$D$14,FALSE),INDEX(Рецепты!$N$6:$N$85,MATCH(Меню!$D$14,Рецепты!$H$6:$H$85,0)+8),""),"")</f>
        <v/>
      </c>
    </row>
    <row r="215" spans="1:15">
      <c r="A215" s="3" t="str">
        <f>IF($E215="","",Меню!$A$14)</f>
        <v/>
      </c>
      <c r="B215" s="3" t="str">
        <f>IF($E215="","",Меню!$B$14)</f>
        <v/>
      </c>
      <c r="C215" s="3" t="str">
        <f>IF($E215="","",Меню!$C$14)</f>
        <v/>
      </c>
      <c r="D215" s="3" t="str">
        <f>IF($E215="","",Меню!$D$14)</f>
        <v/>
      </c>
      <c r="E215" s="3" t="str">
        <f>IFERROR(IF(IFERROR(INDEX(Рецепты!$H$6:$H$85,MATCH(Меню!$D$14,Рецепты!$H$6:$H$85,0)+9)=Меню!$D$14,FALSE),INDEX(Рецепты!$J$6:$J$85,MATCH(Меню!$D$14,Рецепты!$H$6:$H$85,0)+9),""),"")</f>
        <v/>
      </c>
      <c r="F215" s="3" t="str">
        <f>IF($E215="","",INDEX(Рецепты!$K$6:$K$85,MATCH(Меню!$D$14,Рецепты!$H$6:$H$85,0)+9))</f>
        <v/>
      </c>
      <c r="G215" s="3" t="str">
        <f>IF($E215="","",INDEX(Рецепты!$M$6:$M$85,MATCH(Меню!$D$14,Рецепты!$H$6:$H$85,0)+9))</f>
        <v/>
      </c>
      <c r="H215" s="12">
        <f>IFERROR(IF(IFERROR(INDEX(Рецепты!$H$6:$H$85,MATCH(Меню!$D$14,Рецепты!$H$6:$H$85,0)+9)=Меню!$D$14,FALSE),INDEX(Рецепты!$L$6:$L$85,MATCH(Меню!$D$14,Рецепты!$H$6:$H$85,0)+9),0),0)</f>
        <v>0</v>
      </c>
      <c r="I215" s="12" t="str">
        <f>IF($F215="","",Меню!$E$14)</f>
        <v/>
      </c>
      <c r="J215" s="12">
        <f t="shared" si="3"/>
        <v>0</v>
      </c>
      <c r="K215" s="12">
        <f>IFERROR($J215/100*INDEX(Продукты!$G$6:$G$66,MATCH($E215,Продукты!$A$6:$A$66,0)),0)</f>
        <v>0</v>
      </c>
      <c r="L215" s="12">
        <f>IFERROR($J215/100*INDEX(Продукты!$H$6:$H$66,MATCH($E215,Продукты!$A$6:$A$66,0)),0)</f>
        <v>0</v>
      </c>
      <c r="M215" s="12">
        <f>IFERROR($J215/100*INDEX(Продукты!$I$6:$I$66,MATCH($E215,Продукты!$A$6:$A$66,0)),0)</f>
        <v>0</v>
      </c>
      <c r="N215" s="12">
        <f>IFERROR($J215/100*INDEX(Продукты!$J$6:$J$66,MATCH($E215,Продукты!$A$6:$A$66,0)),0)</f>
        <v>0</v>
      </c>
      <c r="O215" s="3" t="str">
        <f>IFERROR(IF(IFERROR(INDEX(Рецепты!$H$6:$H$85,MATCH(Меню!$D$14,Рецепты!$H$6:$H$85,0)+9)=Меню!$D$14,FALSE),INDEX(Рецепты!$N$6:$N$85,MATCH(Меню!$D$14,Рецепты!$H$6:$H$85,0)+9),""),"")</f>
        <v/>
      </c>
    </row>
    <row r="216" spans="1:15">
      <c r="A216" s="3" t="str">
        <f>IF($E216="","",Меню!$A$14)</f>
        <v/>
      </c>
      <c r="B216" s="3" t="str">
        <f>IF($E216="","",Меню!$B$14)</f>
        <v/>
      </c>
      <c r="C216" s="3" t="str">
        <f>IF($E216="","",Меню!$C$14)</f>
        <v/>
      </c>
      <c r="D216" s="3" t="str">
        <f>IF($E216="","",Меню!$D$14)</f>
        <v/>
      </c>
      <c r="E216" s="3" t="str">
        <f>IFERROR(IF(IFERROR(INDEX(Рецепты!$H$6:$H$85,MATCH(Меню!$D$14,Рецепты!$H$6:$H$85,0)+10)=Меню!$D$14,FALSE),INDEX(Рецепты!$J$6:$J$85,MATCH(Меню!$D$14,Рецепты!$H$6:$H$85,0)+10),""),"")</f>
        <v/>
      </c>
      <c r="F216" s="3" t="str">
        <f>IF($E216="","",INDEX(Рецепты!$K$6:$K$85,MATCH(Меню!$D$14,Рецепты!$H$6:$H$85,0)+10))</f>
        <v/>
      </c>
      <c r="G216" s="3" t="str">
        <f>IF($E216="","",INDEX(Рецепты!$M$6:$M$85,MATCH(Меню!$D$14,Рецепты!$H$6:$H$85,0)+10))</f>
        <v/>
      </c>
      <c r="H216" s="12">
        <f>IFERROR(IF(IFERROR(INDEX(Рецепты!$H$6:$H$85,MATCH(Меню!$D$14,Рецепты!$H$6:$H$85,0)+10)=Меню!$D$14,FALSE),INDEX(Рецепты!$L$6:$L$85,MATCH(Меню!$D$14,Рецепты!$H$6:$H$85,0)+10),0),0)</f>
        <v>0</v>
      </c>
      <c r="I216" s="12" t="str">
        <f>IF($F216="","",Меню!$E$14)</f>
        <v/>
      </c>
      <c r="J216" s="12">
        <f t="shared" si="3"/>
        <v>0</v>
      </c>
      <c r="K216" s="12">
        <f>IFERROR($J216/100*INDEX(Продукты!$G$6:$G$66,MATCH($E216,Продукты!$A$6:$A$66,0)),0)</f>
        <v>0</v>
      </c>
      <c r="L216" s="12">
        <f>IFERROR($J216/100*INDEX(Продукты!$H$6:$H$66,MATCH($E216,Продукты!$A$6:$A$66,0)),0)</f>
        <v>0</v>
      </c>
      <c r="M216" s="12">
        <f>IFERROR($J216/100*INDEX(Продукты!$I$6:$I$66,MATCH($E216,Продукты!$A$6:$A$66,0)),0)</f>
        <v>0</v>
      </c>
      <c r="N216" s="12">
        <f>IFERROR($J216/100*INDEX(Продукты!$J$6:$J$66,MATCH($E216,Продукты!$A$6:$A$66,0)),0)</f>
        <v>0</v>
      </c>
      <c r="O216" s="3" t="str">
        <f>IFERROR(IF(IFERROR(INDEX(Рецепты!$H$6:$H$85,MATCH(Меню!$D$14,Рецепты!$H$6:$H$85,0)+10)=Меню!$D$14,FALSE),INDEX(Рецепты!$N$6:$N$85,MATCH(Меню!$D$14,Рецепты!$H$6:$H$85,0)+10),""),"")</f>
        <v/>
      </c>
    </row>
    <row r="217" spans="1:15">
      <c r="A217" s="3" t="str">
        <f>IF($E217="","",Меню!$A$14)</f>
        <v/>
      </c>
      <c r="B217" s="3" t="str">
        <f>IF($E217="","",Меню!$B$14)</f>
        <v/>
      </c>
      <c r="C217" s="3" t="str">
        <f>IF($E217="","",Меню!$C$14)</f>
        <v/>
      </c>
      <c r="D217" s="3" t="str">
        <f>IF($E217="","",Меню!$D$14)</f>
        <v/>
      </c>
      <c r="E217" s="3" t="str">
        <f>IFERROR(IF(IFERROR(INDEX(Рецепты!$H$6:$H$85,MATCH(Меню!$D$14,Рецепты!$H$6:$H$85,0)+11)=Меню!$D$14,FALSE),INDEX(Рецепты!$J$6:$J$85,MATCH(Меню!$D$14,Рецепты!$H$6:$H$85,0)+11),""),"")</f>
        <v/>
      </c>
      <c r="F217" s="3" t="str">
        <f>IF($E217="","",INDEX(Рецепты!$K$6:$K$85,MATCH(Меню!$D$14,Рецепты!$H$6:$H$85,0)+11))</f>
        <v/>
      </c>
      <c r="G217" s="3" t="str">
        <f>IF($E217="","",INDEX(Рецепты!$M$6:$M$85,MATCH(Меню!$D$14,Рецепты!$H$6:$H$85,0)+11))</f>
        <v/>
      </c>
      <c r="H217" s="12">
        <f>IFERROR(IF(IFERROR(INDEX(Рецепты!$H$6:$H$85,MATCH(Меню!$D$14,Рецепты!$H$6:$H$85,0)+11)=Меню!$D$14,FALSE),INDEX(Рецепты!$L$6:$L$85,MATCH(Меню!$D$14,Рецепты!$H$6:$H$85,0)+11),0),0)</f>
        <v>0</v>
      </c>
      <c r="I217" s="12" t="str">
        <f>IF($F217="","",Меню!$E$14)</f>
        <v/>
      </c>
      <c r="J217" s="12">
        <f t="shared" si="3"/>
        <v>0</v>
      </c>
      <c r="K217" s="12">
        <f>IFERROR($J217/100*INDEX(Продукты!$G$6:$G$66,MATCH($E217,Продукты!$A$6:$A$66,0)),0)</f>
        <v>0</v>
      </c>
      <c r="L217" s="12">
        <f>IFERROR($J217/100*INDEX(Продукты!$H$6:$H$66,MATCH($E217,Продукты!$A$6:$A$66,0)),0)</f>
        <v>0</v>
      </c>
      <c r="M217" s="12">
        <f>IFERROR($J217/100*INDEX(Продукты!$I$6:$I$66,MATCH($E217,Продукты!$A$6:$A$66,0)),0)</f>
        <v>0</v>
      </c>
      <c r="N217" s="12">
        <f>IFERROR($J217/100*INDEX(Продукты!$J$6:$J$66,MATCH($E217,Продукты!$A$6:$A$66,0)),0)</f>
        <v>0</v>
      </c>
      <c r="O217" s="3" t="str">
        <f>IFERROR(IF(IFERROR(INDEX(Рецепты!$H$6:$H$85,MATCH(Меню!$D$14,Рецепты!$H$6:$H$85,0)+11)=Меню!$D$14,FALSE),INDEX(Рецепты!$N$6:$N$85,MATCH(Меню!$D$14,Рецепты!$H$6:$H$85,0)+11),""),"")</f>
        <v/>
      </c>
    </row>
    <row r="218" spans="1:15">
      <c r="A218" s="3" t="str">
        <f>IF($E218="","",Меню!$A$14)</f>
        <v/>
      </c>
      <c r="B218" s="3" t="str">
        <f>IF($E218="","",Меню!$B$14)</f>
        <v/>
      </c>
      <c r="C218" s="3" t="str">
        <f>IF($E218="","",Меню!$C$14)</f>
        <v/>
      </c>
      <c r="D218" s="3" t="str">
        <f>IF($E218="","",Меню!$D$14)</f>
        <v/>
      </c>
      <c r="E218" s="3" t="str">
        <f>IFERROR(IF(IFERROR(INDEX(Рецепты!$H$6:$H$85,MATCH(Меню!$D$14,Рецепты!$H$6:$H$85,0)+12)=Меню!$D$14,FALSE),INDEX(Рецепты!$J$6:$J$85,MATCH(Меню!$D$14,Рецепты!$H$6:$H$85,0)+12),""),"")</f>
        <v/>
      </c>
      <c r="F218" s="3" t="str">
        <f>IF($E218="","",INDEX(Рецепты!$K$6:$K$85,MATCH(Меню!$D$14,Рецепты!$H$6:$H$85,0)+12))</f>
        <v/>
      </c>
      <c r="G218" s="3" t="str">
        <f>IF($E218="","",INDEX(Рецепты!$M$6:$M$85,MATCH(Меню!$D$14,Рецепты!$H$6:$H$85,0)+12))</f>
        <v/>
      </c>
      <c r="H218" s="12">
        <f>IFERROR(IF(IFERROR(INDEX(Рецепты!$H$6:$H$85,MATCH(Меню!$D$14,Рецепты!$H$6:$H$85,0)+12)=Меню!$D$14,FALSE),INDEX(Рецепты!$L$6:$L$85,MATCH(Меню!$D$14,Рецепты!$H$6:$H$85,0)+12),0),0)</f>
        <v>0</v>
      </c>
      <c r="I218" s="12" t="str">
        <f>IF($F218="","",Меню!$E$14)</f>
        <v/>
      </c>
      <c r="J218" s="12">
        <f t="shared" si="3"/>
        <v>0</v>
      </c>
      <c r="K218" s="12">
        <f>IFERROR($J218/100*INDEX(Продукты!$G$6:$G$66,MATCH($E218,Продукты!$A$6:$A$66,0)),0)</f>
        <v>0</v>
      </c>
      <c r="L218" s="12">
        <f>IFERROR($J218/100*INDEX(Продукты!$H$6:$H$66,MATCH($E218,Продукты!$A$6:$A$66,0)),0)</f>
        <v>0</v>
      </c>
      <c r="M218" s="12">
        <f>IFERROR($J218/100*INDEX(Продукты!$I$6:$I$66,MATCH($E218,Продукты!$A$6:$A$66,0)),0)</f>
        <v>0</v>
      </c>
      <c r="N218" s="12">
        <f>IFERROR($J218/100*INDEX(Продукты!$J$6:$J$66,MATCH($E218,Продукты!$A$6:$A$66,0)),0)</f>
        <v>0</v>
      </c>
      <c r="O218" s="3" t="str">
        <f>IFERROR(IF(IFERROR(INDEX(Рецепты!$H$6:$H$85,MATCH(Меню!$D$14,Рецепты!$H$6:$H$85,0)+12)=Меню!$D$14,FALSE),INDEX(Рецепты!$N$6:$N$85,MATCH(Меню!$D$14,Рецепты!$H$6:$H$85,0)+12),""),"")</f>
        <v/>
      </c>
    </row>
    <row r="219" spans="1:15">
      <c r="A219" s="3" t="str">
        <f>IF($E219="","",Меню!$A$14)</f>
        <v/>
      </c>
      <c r="B219" s="3" t="str">
        <f>IF($E219="","",Меню!$B$14)</f>
        <v/>
      </c>
      <c r="C219" s="3" t="str">
        <f>IF($E219="","",Меню!$C$14)</f>
        <v/>
      </c>
      <c r="D219" s="3" t="str">
        <f>IF($E219="","",Меню!$D$14)</f>
        <v/>
      </c>
      <c r="E219" s="3" t="str">
        <f>IFERROR(IF(IFERROR(INDEX(Рецепты!$H$6:$H$85,MATCH(Меню!$D$14,Рецепты!$H$6:$H$85,0)+13)=Меню!$D$14,FALSE),INDEX(Рецепты!$J$6:$J$85,MATCH(Меню!$D$14,Рецепты!$H$6:$H$85,0)+13),""),"")</f>
        <v/>
      </c>
      <c r="F219" s="3" t="str">
        <f>IF($E219="","",INDEX(Рецепты!$K$6:$K$85,MATCH(Меню!$D$14,Рецепты!$H$6:$H$85,0)+13))</f>
        <v/>
      </c>
      <c r="G219" s="3" t="str">
        <f>IF($E219="","",INDEX(Рецепты!$M$6:$M$85,MATCH(Меню!$D$14,Рецепты!$H$6:$H$85,0)+13))</f>
        <v/>
      </c>
      <c r="H219" s="12">
        <f>IFERROR(IF(IFERROR(INDEX(Рецепты!$H$6:$H$85,MATCH(Меню!$D$14,Рецепты!$H$6:$H$85,0)+13)=Меню!$D$14,FALSE),INDEX(Рецепты!$L$6:$L$85,MATCH(Меню!$D$14,Рецепты!$H$6:$H$85,0)+13),0),0)</f>
        <v>0</v>
      </c>
      <c r="I219" s="12" t="str">
        <f>IF($F219="","",Меню!$E$14)</f>
        <v/>
      </c>
      <c r="J219" s="12">
        <f t="shared" si="3"/>
        <v>0</v>
      </c>
      <c r="K219" s="12">
        <f>IFERROR($J219/100*INDEX(Продукты!$G$6:$G$66,MATCH($E219,Продукты!$A$6:$A$66,0)),0)</f>
        <v>0</v>
      </c>
      <c r="L219" s="12">
        <f>IFERROR($J219/100*INDEX(Продукты!$H$6:$H$66,MATCH($E219,Продукты!$A$6:$A$66,0)),0)</f>
        <v>0</v>
      </c>
      <c r="M219" s="12">
        <f>IFERROR($J219/100*INDEX(Продукты!$I$6:$I$66,MATCH($E219,Продукты!$A$6:$A$66,0)),0)</f>
        <v>0</v>
      </c>
      <c r="N219" s="12">
        <f>IFERROR($J219/100*INDEX(Продукты!$J$6:$J$66,MATCH($E219,Продукты!$A$6:$A$66,0)),0)</f>
        <v>0</v>
      </c>
      <c r="O219" s="3" t="str">
        <f>IFERROR(IF(IFERROR(INDEX(Рецепты!$H$6:$H$85,MATCH(Меню!$D$14,Рецепты!$H$6:$H$85,0)+13)=Меню!$D$14,FALSE),INDEX(Рецепты!$N$6:$N$85,MATCH(Меню!$D$14,Рецепты!$H$6:$H$85,0)+13),""),"")</f>
        <v/>
      </c>
    </row>
    <row r="220" spans="1:15">
      <c r="A220" s="3" t="str">
        <f>IF($E220="","",Меню!$A$14)</f>
        <v/>
      </c>
      <c r="B220" s="3" t="str">
        <f>IF($E220="","",Меню!$B$14)</f>
        <v/>
      </c>
      <c r="C220" s="3" t="str">
        <f>IF($E220="","",Меню!$C$14)</f>
        <v/>
      </c>
      <c r="D220" s="3" t="str">
        <f>IF($E220="","",Меню!$D$14)</f>
        <v/>
      </c>
      <c r="E220" s="3" t="str">
        <f>IFERROR(IF(IFERROR(INDEX(Рецепты!$H$6:$H$85,MATCH(Меню!$D$14,Рецепты!$H$6:$H$85,0)+14)=Меню!$D$14,FALSE),INDEX(Рецепты!$J$6:$J$85,MATCH(Меню!$D$14,Рецепты!$H$6:$H$85,0)+14),""),"")</f>
        <v/>
      </c>
      <c r="F220" s="3" t="str">
        <f>IF($E220="","",INDEX(Рецепты!$K$6:$K$85,MATCH(Меню!$D$14,Рецепты!$H$6:$H$85,0)+14))</f>
        <v/>
      </c>
      <c r="G220" s="3" t="str">
        <f>IF($E220="","",INDEX(Рецепты!$M$6:$M$85,MATCH(Меню!$D$14,Рецепты!$H$6:$H$85,0)+14))</f>
        <v/>
      </c>
      <c r="H220" s="12">
        <f>IFERROR(IF(IFERROR(INDEX(Рецепты!$H$6:$H$85,MATCH(Меню!$D$14,Рецепты!$H$6:$H$85,0)+14)=Меню!$D$14,FALSE),INDEX(Рецепты!$L$6:$L$85,MATCH(Меню!$D$14,Рецепты!$H$6:$H$85,0)+14),0),0)</f>
        <v>0</v>
      </c>
      <c r="I220" s="12" t="str">
        <f>IF($F220="","",Меню!$E$14)</f>
        <v/>
      </c>
      <c r="J220" s="12">
        <f t="shared" si="3"/>
        <v>0</v>
      </c>
      <c r="K220" s="12">
        <f>IFERROR($J220/100*INDEX(Продукты!$G$6:$G$66,MATCH($E220,Продукты!$A$6:$A$66,0)),0)</f>
        <v>0</v>
      </c>
      <c r="L220" s="12">
        <f>IFERROR($J220/100*INDEX(Продукты!$H$6:$H$66,MATCH($E220,Продукты!$A$6:$A$66,0)),0)</f>
        <v>0</v>
      </c>
      <c r="M220" s="12">
        <f>IFERROR($J220/100*INDEX(Продукты!$I$6:$I$66,MATCH($E220,Продукты!$A$6:$A$66,0)),0)</f>
        <v>0</v>
      </c>
      <c r="N220" s="12">
        <f>IFERROR($J220/100*INDEX(Продукты!$J$6:$J$66,MATCH($E220,Продукты!$A$6:$A$66,0)),0)</f>
        <v>0</v>
      </c>
      <c r="O220" s="3" t="str">
        <f>IFERROR(IF(IFERROR(INDEX(Рецепты!$H$6:$H$85,MATCH(Меню!$D$14,Рецепты!$H$6:$H$85,0)+14)=Меню!$D$14,FALSE),INDEX(Рецепты!$N$6:$N$85,MATCH(Меню!$D$14,Рецепты!$H$6:$H$85,0)+14),""),"")</f>
        <v/>
      </c>
    </row>
    <row r="221" spans="1:15">
      <c r="A221" s="3" t="str">
        <f>IF($E221="","",Меню!$A$14)</f>
        <v/>
      </c>
      <c r="B221" s="3" t="str">
        <f>IF($E221="","",Меню!$B$14)</f>
        <v/>
      </c>
      <c r="C221" s="3" t="str">
        <f>IF($E221="","",Меню!$C$14)</f>
        <v/>
      </c>
      <c r="D221" s="3" t="str">
        <f>IF($E221="","",Меню!$D$14)</f>
        <v/>
      </c>
      <c r="E221" s="3" t="str">
        <f>IFERROR(IF(IFERROR(INDEX(Рецепты!$H$6:$H$85,MATCH(Меню!$D$14,Рецепты!$H$6:$H$85,0)+15)=Меню!$D$14,FALSE),INDEX(Рецепты!$J$6:$J$85,MATCH(Меню!$D$14,Рецепты!$H$6:$H$85,0)+15),""),"")</f>
        <v/>
      </c>
      <c r="F221" s="3" t="str">
        <f>IF($E221="","",INDEX(Рецепты!$K$6:$K$85,MATCH(Меню!$D$14,Рецепты!$H$6:$H$85,0)+15))</f>
        <v/>
      </c>
      <c r="G221" s="3" t="str">
        <f>IF($E221="","",INDEX(Рецепты!$M$6:$M$85,MATCH(Меню!$D$14,Рецепты!$H$6:$H$85,0)+15))</f>
        <v/>
      </c>
      <c r="H221" s="12">
        <f>IFERROR(IF(IFERROR(INDEX(Рецепты!$H$6:$H$85,MATCH(Меню!$D$14,Рецепты!$H$6:$H$85,0)+15)=Меню!$D$14,FALSE),INDEX(Рецепты!$L$6:$L$85,MATCH(Меню!$D$14,Рецепты!$H$6:$H$85,0)+15),0),0)</f>
        <v>0</v>
      </c>
      <c r="I221" s="12" t="str">
        <f>IF($F221="","",Меню!$E$14)</f>
        <v/>
      </c>
      <c r="J221" s="12">
        <f t="shared" si="3"/>
        <v>0</v>
      </c>
      <c r="K221" s="12">
        <f>IFERROR($J221/100*INDEX(Продукты!$G$6:$G$66,MATCH($E221,Продукты!$A$6:$A$66,0)),0)</f>
        <v>0</v>
      </c>
      <c r="L221" s="12">
        <f>IFERROR($J221/100*INDEX(Продукты!$H$6:$H$66,MATCH($E221,Продукты!$A$6:$A$66,0)),0)</f>
        <v>0</v>
      </c>
      <c r="M221" s="12">
        <f>IFERROR($J221/100*INDEX(Продукты!$I$6:$I$66,MATCH($E221,Продукты!$A$6:$A$66,0)),0)</f>
        <v>0</v>
      </c>
      <c r="N221" s="12">
        <f>IFERROR($J221/100*INDEX(Продукты!$J$6:$J$66,MATCH($E221,Продукты!$A$6:$A$66,0)),0)</f>
        <v>0</v>
      </c>
      <c r="O221" s="3" t="str">
        <f>IFERROR(IF(IFERROR(INDEX(Рецепты!$H$6:$H$85,MATCH(Меню!$D$14,Рецепты!$H$6:$H$85,0)+15)=Меню!$D$14,FALSE),INDEX(Рецепты!$N$6:$N$85,MATCH(Меню!$D$14,Рецепты!$H$6:$H$85,0)+15),""),"")</f>
        <v/>
      </c>
    </row>
    <row r="222" spans="1:15">
      <c r="A222" s="3" t="str">
        <f>IF($E222="","",Меню!$A$14)</f>
        <v/>
      </c>
      <c r="B222" s="3" t="str">
        <f>IF($E222="","",Меню!$B$14)</f>
        <v/>
      </c>
      <c r="C222" s="3" t="str">
        <f>IF($E222="","",Меню!$C$14)</f>
        <v/>
      </c>
      <c r="D222" s="3" t="str">
        <f>IF($E222="","",Меню!$D$14)</f>
        <v/>
      </c>
      <c r="E222" s="3" t="str">
        <f>IFERROR(IF(IFERROR(INDEX(Рецепты!$H$6:$H$85,MATCH(Меню!$D$14,Рецепты!$H$6:$H$85,0)+16)=Меню!$D$14,FALSE),INDEX(Рецепты!$J$6:$J$85,MATCH(Меню!$D$14,Рецепты!$H$6:$H$85,0)+16),""),"")</f>
        <v/>
      </c>
      <c r="F222" s="3" t="str">
        <f>IF($E222="","",INDEX(Рецепты!$K$6:$K$85,MATCH(Меню!$D$14,Рецепты!$H$6:$H$85,0)+16))</f>
        <v/>
      </c>
      <c r="G222" s="3" t="str">
        <f>IF($E222="","",INDEX(Рецепты!$M$6:$M$85,MATCH(Меню!$D$14,Рецепты!$H$6:$H$85,0)+16))</f>
        <v/>
      </c>
      <c r="H222" s="12">
        <f>IFERROR(IF(IFERROR(INDEX(Рецепты!$H$6:$H$85,MATCH(Меню!$D$14,Рецепты!$H$6:$H$85,0)+16)=Меню!$D$14,FALSE),INDEX(Рецепты!$L$6:$L$85,MATCH(Меню!$D$14,Рецепты!$H$6:$H$85,0)+16),0),0)</f>
        <v>0</v>
      </c>
      <c r="I222" s="12" t="str">
        <f>IF($F222="","",Меню!$E$14)</f>
        <v/>
      </c>
      <c r="J222" s="12">
        <f t="shared" si="3"/>
        <v>0</v>
      </c>
      <c r="K222" s="12">
        <f>IFERROR($J222/100*INDEX(Продукты!$G$6:$G$66,MATCH($E222,Продукты!$A$6:$A$66,0)),0)</f>
        <v>0</v>
      </c>
      <c r="L222" s="12">
        <f>IFERROR($J222/100*INDEX(Продукты!$H$6:$H$66,MATCH($E222,Продукты!$A$6:$A$66,0)),0)</f>
        <v>0</v>
      </c>
      <c r="M222" s="12">
        <f>IFERROR($J222/100*INDEX(Продукты!$I$6:$I$66,MATCH($E222,Продукты!$A$6:$A$66,0)),0)</f>
        <v>0</v>
      </c>
      <c r="N222" s="12">
        <f>IFERROR($J222/100*INDEX(Продукты!$J$6:$J$66,MATCH($E222,Продукты!$A$6:$A$66,0)),0)</f>
        <v>0</v>
      </c>
      <c r="O222" s="3" t="str">
        <f>IFERROR(IF(IFERROR(INDEX(Рецепты!$H$6:$H$85,MATCH(Меню!$D$14,Рецепты!$H$6:$H$85,0)+16)=Меню!$D$14,FALSE),INDEX(Рецепты!$N$6:$N$85,MATCH(Меню!$D$14,Рецепты!$H$6:$H$85,0)+16),""),"")</f>
        <v/>
      </c>
    </row>
    <row r="223" spans="1:15">
      <c r="A223" s="3" t="str">
        <f>IF($E223="","",Меню!$A$14)</f>
        <v/>
      </c>
      <c r="B223" s="3" t="str">
        <f>IF($E223="","",Меню!$B$14)</f>
        <v/>
      </c>
      <c r="C223" s="3" t="str">
        <f>IF($E223="","",Меню!$C$14)</f>
        <v/>
      </c>
      <c r="D223" s="3" t="str">
        <f>IF($E223="","",Меню!$D$14)</f>
        <v/>
      </c>
      <c r="E223" s="3" t="str">
        <f>IFERROR(IF(IFERROR(INDEX(Рецепты!$H$6:$H$85,MATCH(Меню!$D$14,Рецепты!$H$6:$H$85,0)+17)=Меню!$D$14,FALSE),INDEX(Рецепты!$J$6:$J$85,MATCH(Меню!$D$14,Рецепты!$H$6:$H$85,0)+17),""),"")</f>
        <v/>
      </c>
      <c r="F223" s="3" t="str">
        <f>IF($E223="","",INDEX(Рецепты!$K$6:$K$85,MATCH(Меню!$D$14,Рецепты!$H$6:$H$85,0)+17))</f>
        <v/>
      </c>
      <c r="G223" s="3" t="str">
        <f>IF($E223="","",INDEX(Рецепты!$M$6:$M$85,MATCH(Меню!$D$14,Рецепты!$H$6:$H$85,0)+17))</f>
        <v/>
      </c>
      <c r="H223" s="12">
        <f>IFERROR(IF(IFERROR(INDEX(Рецепты!$H$6:$H$85,MATCH(Меню!$D$14,Рецепты!$H$6:$H$85,0)+17)=Меню!$D$14,FALSE),INDEX(Рецепты!$L$6:$L$85,MATCH(Меню!$D$14,Рецепты!$H$6:$H$85,0)+17),0),0)</f>
        <v>0</v>
      </c>
      <c r="I223" s="12" t="str">
        <f>IF($F223="","",Меню!$E$14)</f>
        <v/>
      </c>
      <c r="J223" s="12">
        <f t="shared" si="3"/>
        <v>0</v>
      </c>
      <c r="K223" s="12">
        <f>IFERROR($J223/100*INDEX(Продукты!$G$6:$G$66,MATCH($E223,Продукты!$A$6:$A$66,0)),0)</f>
        <v>0</v>
      </c>
      <c r="L223" s="12">
        <f>IFERROR($J223/100*INDEX(Продукты!$H$6:$H$66,MATCH($E223,Продукты!$A$6:$A$66,0)),0)</f>
        <v>0</v>
      </c>
      <c r="M223" s="12">
        <f>IFERROR($J223/100*INDEX(Продукты!$I$6:$I$66,MATCH($E223,Продукты!$A$6:$A$66,0)),0)</f>
        <v>0</v>
      </c>
      <c r="N223" s="12">
        <f>IFERROR($J223/100*INDEX(Продукты!$J$6:$J$66,MATCH($E223,Продукты!$A$6:$A$66,0)),0)</f>
        <v>0</v>
      </c>
      <c r="O223" s="3" t="str">
        <f>IFERROR(IF(IFERROR(INDEX(Рецепты!$H$6:$H$85,MATCH(Меню!$D$14,Рецепты!$H$6:$H$85,0)+17)=Меню!$D$14,FALSE),INDEX(Рецепты!$N$6:$N$85,MATCH(Меню!$D$14,Рецепты!$H$6:$H$85,0)+17),""),"")</f>
        <v/>
      </c>
    </row>
    <row r="224" spans="1:15">
      <c r="A224" s="3" t="str">
        <f>IF($E224="","",Меню!$A$14)</f>
        <v/>
      </c>
      <c r="B224" s="3" t="str">
        <f>IF($E224="","",Меню!$B$14)</f>
        <v/>
      </c>
      <c r="C224" s="3" t="str">
        <f>IF($E224="","",Меню!$C$14)</f>
        <v/>
      </c>
      <c r="D224" s="3" t="str">
        <f>IF($E224="","",Меню!$D$14)</f>
        <v/>
      </c>
      <c r="E224" s="3" t="str">
        <f>IFERROR(IF(IFERROR(INDEX(Рецепты!$H$6:$H$85,MATCH(Меню!$D$14,Рецепты!$H$6:$H$85,0)+18)=Меню!$D$14,FALSE),INDEX(Рецепты!$J$6:$J$85,MATCH(Меню!$D$14,Рецепты!$H$6:$H$85,0)+18),""),"")</f>
        <v/>
      </c>
      <c r="F224" s="3" t="str">
        <f>IF($E224="","",INDEX(Рецепты!$K$6:$K$85,MATCH(Меню!$D$14,Рецепты!$H$6:$H$85,0)+18))</f>
        <v/>
      </c>
      <c r="G224" s="3" t="str">
        <f>IF($E224="","",INDEX(Рецепты!$M$6:$M$85,MATCH(Меню!$D$14,Рецепты!$H$6:$H$85,0)+18))</f>
        <v/>
      </c>
      <c r="H224" s="12">
        <f>IFERROR(IF(IFERROR(INDEX(Рецепты!$H$6:$H$85,MATCH(Меню!$D$14,Рецепты!$H$6:$H$85,0)+18)=Меню!$D$14,FALSE),INDEX(Рецепты!$L$6:$L$85,MATCH(Меню!$D$14,Рецепты!$H$6:$H$85,0)+18),0),0)</f>
        <v>0</v>
      </c>
      <c r="I224" s="12" t="str">
        <f>IF($F224="","",Меню!$E$14)</f>
        <v/>
      </c>
      <c r="J224" s="12">
        <f t="shared" si="3"/>
        <v>0</v>
      </c>
      <c r="K224" s="12">
        <f>IFERROR($J224/100*INDEX(Продукты!$G$6:$G$66,MATCH($E224,Продукты!$A$6:$A$66,0)),0)</f>
        <v>0</v>
      </c>
      <c r="L224" s="12">
        <f>IFERROR($J224/100*INDEX(Продукты!$H$6:$H$66,MATCH($E224,Продукты!$A$6:$A$66,0)),0)</f>
        <v>0</v>
      </c>
      <c r="M224" s="12">
        <f>IFERROR($J224/100*INDEX(Продукты!$I$6:$I$66,MATCH($E224,Продукты!$A$6:$A$66,0)),0)</f>
        <v>0</v>
      </c>
      <c r="N224" s="12">
        <f>IFERROR($J224/100*INDEX(Продукты!$J$6:$J$66,MATCH($E224,Продукты!$A$6:$A$66,0)),0)</f>
        <v>0</v>
      </c>
      <c r="O224" s="3" t="str">
        <f>IFERROR(IF(IFERROR(INDEX(Рецепты!$H$6:$H$85,MATCH(Меню!$D$14,Рецепты!$H$6:$H$85,0)+18)=Меню!$D$14,FALSE),INDEX(Рецепты!$N$6:$N$85,MATCH(Меню!$D$14,Рецепты!$H$6:$H$85,0)+18),""),"")</f>
        <v/>
      </c>
    </row>
    <row r="225" spans="1:15">
      <c r="A225" s="3" t="str">
        <f>IF($E225="","",Меню!$A$14)</f>
        <v/>
      </c>
      <c r="B225" s="3" t="str">
        <f>IF($E225="","",Меню!$B$14)</f>
        <v/>
      </c>
      <c r="C225" s="3" t="str">
        <f>IF($E225="","",Меню!$C$14)</f>
        <v/>
      </c>
      <c r="D225" s="3" t="str">
        <f>IF($E225="","",Меню!$D$14)</f>
        <v/>
      </c>
      <c r="E225" s="3" t="str">
        <f>IFERROR(IF(IFERROR(INDEX(Рецепты!$H$6:$H$85,MATCH(Меню!$D$14,Рецепты!$H$6:$H$85,0)+19)=Меню!$D$14,FALSE),INDEX(Рецепты!$J$6:$J$85,MATCH(Меню!$D$14,Рецепты!$H$6:$H$85,0)+19),""),"")</f>
        <v/>
      </c>
      <c r="F225" s="3" t="str">
        <f>IF($E225="","",INDEX(Рецепты!$K$6:$K$85,MATCH(Меню!$D$14,Рецепты!$H$6:$H$85,0)+19))</f>
        <v/>
      </c>
      <c r="G225" s="3" t="str">
        <f>IF($E225="","",INDEX(Рецепты!$M$6:$M$85,MATCH(Меню!$D$14,Рецепты!$H$6:$H$85,0)+19))</f>
        <v/>
      </c>
      <c r="H225" s="12">
        <f>IFERROR(IF(IFERROR(INDEX(Рецепты!$H$6:$H$85,MATCH(Меню!$D$14,Рецепты!$H$6:$H$85,0)+19)=Меню!$D$14,FALSE),INDEX(Рецепты!$L$6:$L$85,MATCH(Меню!$D$14,Рецепты!$H$6:$H$85,0)+19),0),0)</f>
        <v>0</v>
      </c>
      <c r="I225" s="12" t="str">
        <f>IF($F225="","",Меню!$E$14)</f>
        <v/>
      </c>
      <c r="J225" s="12">
        <f t="shared" si="3"/>
        <v>0</v>
      </c>
      <c r="K225" s="12">
        <f>IFERROR($J225/100*INDEX(Продукты!$G$6:$G$66,MATCH($E225,Продукты!$A$6:$A$66,0)),0)</f>
        <v>0</v>
      </c>
      <c r="L225" s="12">
        <f>IFERROR($J225/100*INDEX(Продукты!$H$6:$H$66,MATCH($E225,Продукты!$A$6:$A$66,0)),0)</f>
        <v>0</v>
      </c>
      <c r="M225" s="12">
        <f>IFERROR($J225/100*INDEX(Продукты!$I$6:$I$66,MATCH($E225,Продукты!$A$6:$A$66,0)),0)</f>
        <v>0</v>
      </c>
      <c r="N225" s="12">
        <f>IFERROR($J225/100*INDEX(Продукты!$J$6:$J$66,MATCH($E225,Продукты!$A$6:$A$66,0)),0)</f>
        <v>0</v>
      </c>
      <c r="O225" s="3" t="str">
        <f>IFERROR(IF(IFERROR(INDEX(Рецепты!$H$6:$H$85,MATCH(Меню!$D$14,Рецепты!$H$6:$H$85,0)+19)=Меню!$D$14,FALSE),INDEX(Рецепты!$N$6:$N$85,MATCH(Меню!$D$14,Рецепты!$H$6:$H$85,0)+19),""),"")</f>
        <v/>
      </c>
    </row>
    <row r="226" spans="1:15">
      <c r="A226" s="3" t="str">
        <f>IF($E226="","",Меню!$A$14)</f>
        <v/>
      </c>
      <c r="B226" s="3" t="str">
        <f>IF($E226="","",Меню!$B$14)</f>
        <v/>
      </c>
      <c r="C226" s="3" t="str">
        <f>IF($E226="","",Меню!$C$14)</f>
        <v/>
      </c>
      <c r="D226" s="3" t="str">
        <f>IF($E226="","",Меню!$D$14)</f>
        <v/>
      </c>
      <c r="E226" s="3" t="str">
        <f>IFERROR(IF(IFERROR(INDEX(Рецепты!$H$6:$H$85,MATCH(Меню!$D$14,Рецепты!$H$6:$H$85,0)+20)=Меню!$D$14,FALSE),INDEX(Рецепты!$J$6:$J$85,MATCH(Меню!$D$14,Рецепты!$H$6:$H$85,0)+20),""),"")</f>
        <v/>
      </c>
      <c r="F226" s="3" t="str">
        <f>IF($E226="","",INDEX(Рецепты!$K$6:$K$85,MATCH(Меню!$D$14,Рецепты!$H$6:$H$85,0)+20))</f>
        <v/>
      </c>
      <c r="G226" s="3" t="str">
        <f>IF($E226="","",INDEX(Рецепты!$M$6:$M$85,MATCH(Меню!$D$14,Рецепты!$H$6:$H$85,0)+20))</f>
        <v/>
      </c>
      <c r="H226" s="12">
        <f>IFERROR(IF(IFERROR(INDEX(Рецепты!$H$6:$H$85,MATCH(Меню!$D$14,Рецепты!$H$6:$H$85,0)+20)=Меню!$D$14,FALSE),INDEX(Рецепты!$L$6:$L$85,MATCH(Меню!$D$14,Рецепты!$H$6:$H$85,0)+20),0),0)</f>
        <v>0</v>
      </c>
      <c r="I226" s="12" t="str">
        <f>IF($F226="","",Меню!$E$14)</f>
        <v/>
      </c>
      <c r="J226" s="12">
        <f t="shared" si="3"/>
        <v>0</v>
      </c>
      <c r="K226" s="12">
        <f>IFERROR($J226/100*INDEX(Продукты!$G$6:$G$66,MATCH($E226,Продукты!$A$6:$A$66,0)),0)</f>
        <v>0</v>
      </c>
      <c r="L226" s="12">
        <f>IFERROR($J226/100*INDEX(Продукты!$H$6:$H$66,MATCH($E226,Продукты!$A$6:$A$66,0)),0)</f>
        <v>0</v>
      </c>
      <c r="M226" s="12">
        <f>IFERROR($J226/100*INDEX(Продукты!$I$6:$I$66,MATCH($E226,Продукты!$A$6:$A$66,0)),0)</f>
        <v>0</v>
      </c>
      <c r="N226" s="12">
        <f>IFERROR($J226/100*INDEX(Продукты!$J$6:$J$66,MATCH($E226,Продукты!$A$6:$A$66,0)),0)</f>
        <v>0</v>
      </c>
      <c r="O226" s="3" t="str">
        <f>IFERROR(IF(IFERROR(INDEX(Рецепты!$H$6:$H$85,MATCH(Меню!$D$14,Рецепты!$H$6:$H$85,0)+20)=Меню!$D$14,FALSE),INDEX(Рецепты!$N$6:$N$85,MATCH(Меню!$D$14,Рецепты!$H$6:$H$85,0)+20),""),"")</f>
        <v/>
      </c>
    </row>
    <row r="227" spans="1:15">
      <c r="A227" s="3" t="str">
        <f>IF($E227="","",Меню!$A$14)</f>
        <v/>
      </c>
      <c r="B227" s="3" t="str">
        <f>IF($E227="","",Меню!$B$14)</f>
        <v/>
      </c>
      <c r="C227" s="3" t="str">
        <f>IF($E227="","",Меню!$C$14)</f>
        <v/>
      </c>
      <c r="D227" s="3" t="str">
        <f>IF($E227="","",Меню!$D$14)</f>
        <v/>
      </c>
      <c r="E227" s="3" t="str">
        <f>IFERROR(IF(IFERROR(INDEX(Рецепты!$H$6:$H$85,MATCH(Меню!$D$14,Рецепты!$H$6:$H$85,0)+21)=Меню!$D$14,FALSE),INDEX(Рецепты!$J$6:$J$85,MATCH(Меню!$D$14,Рецепты!$H$6:$H$85,0)+21),""),"")</f>
        <v/>
      </c>
      <c r="F227" s="3" t="str">
        <f>IF($E227="","",INDEX(Рецепты!$K$6:$K$85,MATCH(Меню!$D$14,Рецепты!$H$6:$H$85,0)+21))</f>
        <v/>
      </c>
      <c r="G227" s="3" t="str">
        <f>IF($E227="","",INDEX(Рецепты!$M$6:$M$85,MATCH(Меню!$D$14,Рецепты!$H$6:$H$85,0)+21))</f>
        <v/>
      </c>
      <c r="H227" s="12">
        <f>IFERROR(IF(IFERROR(INDEX(Рецепты!$H$6:$H$85,MATCH(Меню!$D$14,Рецепты!$H$6:$H$85,0)+21)=Меню!$D$14,FALSE),INDEX(Рецепты!$L$6:$L$85,MATCH(Меню!$D$14,Рецепты!$H$6:$H$85,0)+21),0),0)</f>
        <v>0</v>
      </c>
      <c r="I227" s="12" t="str">
        <f>IF($F227="","",Меню!$E$14)</f>
        <v/>
      </c>
      <c r="J227" s="12">
        <f t="shared" si="3"/>
        <v>0</v>
      </c>
      <c r="K227" s="12">
        <f>IFERROR($J227/100*INDEX(Продукты!$G$6:$G$66,MATCH($E227,Продукты!$A$6:$A$66,0)),0)</f>
        <v>0</v>
      </c>
      <c r="L227" s="12">
        <f>IFERROR($J227/100*INDEX(Продукты!$H$6:$H$66,MATCH($E227,Продукты!$A$6:$A$66,0)),0)</f>
        <v>0</v>
      </c>
      <c r="M227" s="12">
        <f>IFERROR($J227/100*INDEX(Продукты!$I$6:$I$66,MATCH($E227,Продукты!$A$6:$A$66,0)),0)</f>
        <v>0</v>
      </c>
      <c r="N227" s="12">
        <f>IFERROR($J227/100*INDEX(Продукты!$J$6:$J$66,MATCH($E227,Продукты!$A$6:$A$66,0)),0)</f>
        <v>0</v>
      </c>
      <c r="O227" s="3" t="str">
        <f>IFERROR(IF(IFERROR(INDEX(Рецепты!$H$6:$H$85,MATCH(Меню!$D$14,Рецепты!$H$6:$H$85,0)+21)=Меню!$D$14,FALSE),INDEX(Рецепты!$N$6:$N$85,MATCH(Меню!$D$14,Рецепты!$H$6:$H$85,0)+21),""),"")</f>
        <v/>
      </c>
    </row>
    <row r="228" spans="1:15">
      <c r="A228" s="3" t="str">
        <f>IF($E228="","",Меню!$A$14)</f>
        <v/>
      </c>
      <c r="B228" s="3" t="str">
        <f>IF($E228="","",Меню!$B$14)</f>
        <v/>
      </c>
      <c r="C228" s="3" t="str">
        <f>IF($E228="","",Меню!$C$14)</f>
        <v/>
      </c>
      <c r="D228" s="3" t="str">
        <f>IF($E228="","",Меню!$D$14)</f>
        <v/>
      </c>
      <c r="E228" s="3" t="str">
        <f>IFERROR(IF(IFERROR(INDEX(Рецепты!$H$6:$H$85,MATCH(Меню!$D$14,Рецепты!$H$6:$H$85,0)+22)=Меню!$D$14,FALSE),INDEX(Рецепты!$J$6:$J$85,MATCH(Меню!$D$14,Рецепты!$H$6:$H$85,0)+22),""),"")</f>
        <v/>
      </c>
      <c r="F228" s="3" t="str">
        <f>IF($E228="","",INDEX(Рецепты!$K$6:$K$85,MATCH(Меню!$D$14,Рецепты!$H$6:$H$85,0)+22))</f>
        <v/>
      </c>
      <c r="G228" s="3" t="str">
        <f>IF($E228="","",INDEX(Рецепты!$M$6:$M$85,MATCH(Меню!$D$14,Рецепты!$H$6:$H$85,0)+22))</f>
        <v/>
      </c>
      <c r="H228" s="12">
        <f>IFERROR(IF(IFERROR(INDEX(Рецепты!$H$6:$H$85,MATCH(Меню!$D$14,Рецепты!$H$6:$H$85,0)+22)=Меню!$D$14,FALSE),INDEX(Рецепты!$L$6:$L$85,MATCH(Меню!$D$14,Рецепты!$H$6:$H$85,0)+22),0),0)</f>
        <v>0</v>
      </c>
      <c r="I228" s="12" t="str">
        <f>IF($F228="","",Меню!$E$14)</f>
        <v/>
      </c>
      <c r="J228" s="12">
        <f t="shared" si="3"/>
        <v>0</v>
      </c>
      <c r="K228" s="12">
        <f>IFERROR($J228/100*INDEX(Продукты!$G$6:$G$66,MATCH($E228,Продукты!$A$6:$A$66,0)),0)</f>
        <v>0</v>
      </c>
      <c r="L228" s="12">
        <f>IFERROR($J228/100*INDEX(Продукты!$H$6:$H$66,MATCH($E228,Продукты!$A$6:$A$66,0)),0)</f>
        <v>0</v>
      </c>
      <c r="M228" s="12">
        <f>IFERROR($J228/100*INDEX(Продукты!$I$6:$I$66,MATCH($E228,Продукты!$A$6:$A$66,0)),0)</f>
        <v>0</v>
      </c>
      <c r="N228" s="12">
        <f>IFERROR($J228/100*INDEX(Продукты!$J$6:$J$66,MATCH($E228,Продукты!$A$6:$A$66,0)),0)</f>
        <v>0</v>
      </c>
      <c r="O228" s="3" t="str">
        <f>IFERROR(IF(IFERROR(INDEX(Рецепты!$H$6:$H$85,MATCH(Меню!$D$14,Рецепты!$H$6:$H$85,0)+22)=Меню!$D$14,FALSE),INDEX(Рецепты!$N$6:$N$85,MATCH(Меню!$D$14,Рецепты!$H$6:$H$85,0)+22),""),"")</f>
        <v/>
      </c>
    </row>
    <row r="229" spans="1:15">
      <c r="A229" s="3" t="str">
        <f>IF($E229="","",Меню!$A$14)</f>
        <v/>
      </c>
      <c r="B229" s="3" t="str">
        <f>IF($E229="","",Меню!$B$14)</f>
        <v/>
      </c>
      <c r="C229" s="3" t="str">
        <f>IF($E229="","",Меню!$C$14)</f>
        <v/>
      </c>
      <c r="D229" s="3" t="str">
        <f>IF($E229="","",Меню!$D$14)</f>
        <v/>
      </c>
      <c r="E229" s="3" t="str">
        <f>IFERROR(IF(IFERROR(INDEX(Рецепты!$H$6:$H$85,MATCH(Меню!$D$14,Рецепты!$H$6:$H$85,0)+23)=Меню!$D$14,FALSE),INDEX(Рецепты!$J$6:$J$85,MATCH(Меню!$D$14,Рецепты!$H$6:$H$85,0)+23),""),"")</f>
        <v/>
      </c>
      <c r="F229" s="3" t="str">
        <f>IF($E229="","",INDEX(Рецепты!$K$6:$K$85,MATCH(Меню!$D$14,Рецепты!$H$6:$H$85,0)+23))</f>
        <v/>
      </c>
      <c r="G229" s="3" t="str">
        <f>IF($E229="","",INDEX(Рецепты!$M$6:$M$85,MATCH(Меню!$D$14,Рецепты!$H$6:$H$85,0)+23))</f>
        <v/>
      </c>
      <c r="H229" s="12">
        <f>IFERROR(IF(IFERROR(INDEX(Рецепты!$H$6:$H$85,MATCH(Меню!$D$14,Рецепты!$H$6:$H$85,0)+23)=Меню!$D$14,FALSE),INDEX(Рецепты!$L$6:$L$85,MATCH(Меню!$D$14,Рецепты!$H$6:$H$85,0)+23),0),0)</f>
        <v>0</v>
      </c>
      <c r="I229" s="12" t="str">
        <f>IF($F229="","",Меню!$E$14)</f>
        <v/>
      </c>
      <c r="J229" s="12">
        <f t="shared" si="3"/>
        <v>0</v>
      </c>
      <c r="K229" s="12">
        <f>IFERROR($J229/100*INDEX(Продукты!$G$6:$G$66,MATCH($E229,Продукты!$A$6:$A$66,0)),0)</f>
        <v>0</v>
      </c>
      <c r="L229" s="12">
        <f>IFERROR($J229/100*INDEX(Продукты!$H$6:$H$66,MATCH($E229,Продукты!$A$6:$A$66,0)),0)</f>
        <v>0</v>
      </c>
      <c r="M229" s="12">
        <f>IFERROR($J229/100*INDEX(Продукты!$I$6:$I$66,MATCH($E229,Продукты!$A$6:$A$66,0)),0)</f>
        <v>0</v>
      </c>
      <c r="N229" s="12">
        <f>IFERROR($J229/100*INDEX(Продукты!$J$6:$J$66,MATCH($E229,Продукты!$A$6:$A$66,0)),0)</f>
        <v>0</v>
      </c>
      <c r="O229" s="3" t="str">
        <f>IFERROR(IF(IFERROR(INDEX(Рецепты!$H$6:$H$85,MATCH(Меню!$D$14,Рецепты!$H$6:$H$85,0)+23)=Меню!$D$14,FALSE),INDEX(Рецепты!$N$6:$N$85,MATCH(Меню!$D$14,Рецепты!$H$6:$H$85,0)+23),""),"")</f>
        <v/>
      </c>
    </row>
    <row r="230" spans="1:15">
      <c r="A230" s="3" t="str">
        <f>IF($E230="","",Меню!$A$14)</f>
        <v/>
      </c>
      <c r="B230" s="3" t="str">
        <f>IF($E230="","",Меню!$B$14)</f>
        <v/>
      </c>
      <c r="C230" s="3" t="str">
        <f>IF($E230="","",Меню!$C$14)</f>
        <v/>
      </c>
      <c r="D230" s="3" t="str">
        <f>IF($E230="","",Меню!$D$14)</f>
        <v/>
      </c>
      <c r="E230" s="3" t="str">
        <f>IFERROR(IF(IFERROR(INDEX(Рецепты!$H$6:$H$85,MATCH(Меню!$D$14,Рецепты!$H$6:$H$85,0)+24)=Меню!$D$14,FALSE),INDEX(Рецепты!$J$6:$J$85,MATCH(Меню!$D$14,Рецепты!$H$6:$H$85,0)+24),""),"")</f>
        <v/>
      </c>
      <c r="F230" s="3" t="str">
        <f>IF($E230="","",INDEX(Рецепты!$K$6:$K$85,MATCH(Меню!$D$14,Рецепты!$H$6:$H$85,0)+24))</f>
        <v/>
      </c>
      <c r="G230" s="3" t="str">
        <f>IF($E230="","",INDEX(Рецепты!$M$6:$M$85,MATCH(Меню!$D$14,Рецепты!$H$6:$H$85,0)+24))</f>
        <v/>
      </c>
      <c r="H230" s="12">
        <f>IFERROR(IF(IFERROR(INDEX(Рецепты!$H$6:$H$85,MATCH(Меню!$D$14,Рецепты!$H$6:$H$85,0)+24)=Меню!$D$14,FALSE),INDEX(Рецепты!$L$6:$L$85,MATCH(Меню!$D$14,Рецепты!$H$6:$H$85,0)+24),0),0)</f>
        <v>0</v>
      </c>
      <c r="I230" s="12" t="str">
        <f>IF($F230="","",Меню!$E$14)</f>
        <v/>
      </c>
      <c r="J230" s="12">
        <f t="shared" si="3"/>
        <v>0</v>
      </c>
      <c r="K230" s="12">
        <f>IFERROR($J230/100*INDEX(Продукты!$G$6:$G$66,MATCH($E230,Продукты!$A$6:$A$66,0)),0)</f>
        <v>0</v>
      </c>
      <c r="L230" s="12">
        <f>IFERROR($J230/100*INDEX(Продукты!$H$6:$H$66,MATCH($E230,Продукты!$A$6:$A$66,0)),0)</f>
        <v>0</v>
      </c>
      <c r="M230" s="12">
        <f>IFERROR($J230/100*INDEX(Продукты!$I$6:$I$66,MATCH($E230,Продукты!$A$6:$A$66,0)),0)</f>
        <v>0</v>
      </c>
      <c r="N230" s="12">
        <f>IFERROR($J230/100*INDEX(Продукты!$J$6:$J$66,MATCH($E230,Продукты!$A$6:$A$66,0)),0)</f>
        <v>0</v>
      </c>
      <c r="O230" s="3" t="str">
        <f>IFERROR(IF(IFERROR(INDEX(Рецепты!$H$6:$H$85,MATCH(Меню!$D$14,Рецепты!$H$6:$H$85,0)+24)=Меню!$D$14,FALSE),INDEX(Рецепты!$N$6:$N$85,MATCH(Меню!$D$14,Рецепты!$H$6:$H$85,0)+24),""),"")</f>
        <v/>
      </c>
    </row>
    <row r="231" spans="1:15">
      <c r="A231" s="3" t="str">
        <f>IF($E231="","",Меню!$A$15)</f>
        <v/>
      </c>
      <c r="B231" s="3" t="str">
        <f>IF($E231="","",Меню!$B$15)</f>
        <v/>
      </c>
      <c r="C231" s="3" t="str">
        <f>IF($E231="","",Меню!$C$15)</f>
        <v/>
      </c>
      <c r="D231" s="3" t="str">
        <f>IF($E231="","",Меню!$D$15)</f>
        <v/>
      </c>
      <c r="E231" s="3" t="str">
        <f>IFERROR(IF(IFERROR(INDEX(Рецепты!$H$6:$H$85,MATCH(Меню!$D$15,Рецепты!$H$6:$H$85,0)+0)=Меню!$D$15,FALSE),INDEX(Рецепты!$J$6:$J$85,MATCH(Меню!$D$15,Рецепты!$H$6:$H$85,0)+0),""),"")</f>
        <v/>
      </c>
      <c r="F231" s="3" t="str">
        <f>IF($E231="","",INDEX(Рецепты!$K$6:$K$85,MATCH(Меню!$D$15,Рецепты!$H$6:$H$85,0)+0))</f>
        <v/>
      </c>
      <c r="G231" s="3" t="str">
        <f>IF($E231="","",INDEX(Рецепты!$M$6:$M$85,MATCH(Меню!$D$15,Рецепты!$H$6:$H$85,0)+0))</f>
        <v/>
      </c>
      <c r="H231" s="12">
        <f>IFERROR(IF(IFERROR(INDEX(Рецепты!$H$6:$H$85,MATCH(Меню!$D$15,Рецепты!$H$6:$H$85,0)+0)=Меню!$D$15,FALSE),INDEX(Рецепты!$L$6:$L$85,MATCH(Меню!$D$15,Рецепты!$H$6:$H$85,0)+0),0),0)</f>
        <v>0</v>
      </c>
      <c r="I231" s="12" t="str">
        <f>IF($F231="","",Меню!$E$15)</f>
        <v/>
      </c>
      <c r="J231" s="12">
        <f t="shared" si="3"/>
        <v>0</v>
      </c>
      <c r="K231" s="12">
        <f>IFERROR($J231/100*INDEX(Продукты!$G$6:$G$66,MATCH($E231,Продукты!$A$6:$A$66,0)),0)</f>
        <v>0</v>
      </c>
      <c r="L231" s="12">
        <f>IFERROR($J231/100*INDEX(Продукты!$H$6:$H$66,MATCH($E231,Продукты!$A$6:$A$66,0)),0)</f>
        <v>0</v>
      </c>
      <c r="M231" s="12">
        <f>IFERROR($J231/100*INDEX(Продукты!$I$6:$I$66,MATCH($E231,Продукты!$A$6:$A$66,0)),0)</f>
        <v>0</v>
      </c>
      <c r="N231" s="12">
        <f>IFERROR($J231/100*INDEX(Продукты!$J$6:$J$66,MATCH($E231,Продукты!$A$6:$A$66,0)),0)</f>
        <v>0</v>
      </c>
      <c r="O231" s="3" t="str">
        <f>IFERROR(IF(IFERROR(INDEX(Рецепты!$H$6:$H$85,MATCH(Меню!$D$15,Рецепты!$H$6:$H$85,0)+0)=Меню!$D$15,FALSE),INDEX(Рецепты!$N$6:$N$85,MATCH(Меню!$D$15,Рецепты!$H$6:$H$85,0)+0),""),"")</f>
        <v/>
      </c>
    </row>
    <row r="232" spans="1:15">
      <c r="A232" s="3" t="str">
        <f>IF($E232="","",Меню!$A$15)</f>
        <v/>
      </c>
      <c r="B232" s="3" t="str">
        <f>IF($E232="","",Меню!$B$15)</f>
        <v/>
      </c>
      <c r="C232" s="3" t="str">
        <f>IF($E232="","",Меню!$C$15)</f>
        <v/>
      </c>
      <c r="D232" s="3" t="str">
        <f>IF($E232="","",Меню!$D$15)</f>
        <v/>
      </c>
      <c r="E232" s="3" t="str">
        <f>IFERROR(IF(IFERROR(INDEX(Рецепты!$H$6:$H$85,MATCH(Меню!$D$15,Рецепты!$H$6:$H$85,0)+1)=Меню!$D$15,FALSE),INDEX(Рецепты!$J$6:$J$85,MATCH(Меню!$D$15,Рецепты!$H$6:$H$85,0)+1),""),"")</f>
        <v/>
      </c>
      <c r="F232" s="3" t="str">
        <f>IF($E232="","",INDEX(Рецепты!$K$6:$K$85,MATCH(Меню!$D$15,Рецепты!$H$6:$H$85,0)+1))</f>
        <v/>
      </c>
      <c r="G232" s="3" t="str">
        <f>IF($E232="","",INDEX(Рецепты!$M$6:$M$85,MATCH(Меню!$D$15,Рецепты!$H$6:$H$85,0)+1))</f>
        <v/>
      </c>
      <c r="H232" s="12">
        <f>IFERROR(IF(IFERROR(INDEX(Рецепты!$H$6:$H$85,MATCH(Меню!$D$15,Рецепты!$H$6:$H$85,0)+1)=Меню!$D$15,FALSE),INDEX(Рецепты!$L$6:$L$85,MATCH(Меню!$D$15,Рецепты!$H$6:$H$85,0)+1),0),0)</f>
        <v>0</v>
      </c>
      <c r="I232" s="12" t="str">
        <f>IF($F232="","",Меню!$E$15)</f>
        <v/>
      </c>
      <c r="J232" s="12">
        <f t="shared" si="3"/>
        <v>0</v>
      </c>
      <c r="K232" s="12">
        <f>IFERROR($J232/100*INDEX(Продукты!$G$6:$G$66,MATCH($E232,Продукты!$A$6:$A$66,0)),0)</f>
        <v>0</v>
      </c>
      <c r="L232" s="12">
        <f>IFERROR($J232/100*INDEX(Продукты!$H$6:$H$66,MATCH($E232,Продукты!$A$6:$A$66,0)),0)</f>
        <v>0</v>
      </c>
      <c r="M232" s="12">
        <f>IFERROR($J232/100*INDEX(Продукты!$I$6:$I$66,MATCH($E232,Продукты!$A$6:$A$66,0)),0)</f>
        <v>0</v>
      </c>
      <c r="N232" s="12">
        <f>IFERROR($J232/100*INDEX(Продукты!$J$6:$J$66,MATCH($E232,Продукты!$A$6:$A$66,0)),0)</f>
        <v>0</v>
      </c>
      <c r="O232" s="3" t="str">
        <f>IFERROR(IF(IFERROR(INDEX(Рецепты!$H$6:$H$85,MATCH(Меню!$D$15,Рецепты!$H$6:$H$85,0)+1)=Меню!$D$15,FALSE),INDEX(Рецепты!$N$6:$N$85,MATCH(Меню!$D$15,Рецепты!$H$6:$H$85,0)+1),""),"")</f>
        <v/>
      </c>
    </row>
    <row r="233" spans="1:15">
      <c r="A233" s="3" t="str">
        <f>IF($E233="","",Меню!$A$15)</f>
        <v/>
      </c>
      <c r="B233" s="3" t="str">
        <f>IF($E233="","",Меню!$B$15)</f>
        <v/>
      </c>
      <c r="C233" s="3" t="str">
        <f>IF($E233="","",Меню!$C$15)</f>
        <v/>
      </c>
      <c r="D233" s="3" t="str">
        <f>IF($E233="","",Меню!$D$15)</f>
        <v/>
      </c>
      <c r="E233" s="3" t="str">
        <f>IFERROR(IF(IFERROR(INDEX(Рецепты!$H$6:$H$85,MATCH(Меню!$D$15,Рецепты!$H$6:$H$85,0)+2)=Меню!$D$15,FALSE),INDEX(Рецепты!$J$6:$J$85,MATCH(Меню!$D$15,Рецепты!$H$6:$H$85,0)+2),""),"")</f>
        <v/>
      </c>
      <c r="F233" s="3" t="str">
        <f>IF($E233="","",INDEX(Рецепты!$K$6:$K$85,MATCH(Меню!$D$15,Рецепты!$H$6:$H$85,0)+2))</f>
        <v/>
      </c>
      <c r="G233" s="3" t="str">
        <f>IF($E233="","",INDEX(Рецепты!$M$6:$M$85,MATCH(Меню!$D$15,Рецепты!$H$6:$H$85,0)+2))</f>
        <v/>
      </c>
      <c r="H233" s="12">
        <f>IFERROR(IF(IFERROR(INDEX(Рецепты!$H$6:$H$85,MATCH(Меню!$D$15,Рецепты!$H$6:$H$85,0)+2)=Меню!$D$15,FALSE),INDEX(Рецепты!$L$6:$L$85,MATCH(Меню!$D$15,Рецепты!$H$6:$H$85,0)+2),0),0)</f>
        <v>0</v>
      </c>
      <c r="I233" s="12" t="str">
        <f>IF($F233="","",Меню!$E$15)</f>
        <v/>
      </c>
      <c r="J233" s="12">
        <f t="shared" si="3"/>
        <v>0</v>
      </c>
      <c r="K233" s="12">
        <f>IFERROR($J233/100*INDEX(Продукты!$G$6:$G$66,MATCH($E233,Продукты!$A$6:$A$66,0)),0)</f>
        <v>0</v>
      </c>
      <c r="L233" s="12">
        <f>IFERROR($J233/100*INDEX(Продукты!$H$6:$H$66,MATCH($E233,Продукты!$A$6:$A$66,0)),0)</f>
        <v>0</v>
      </c>
      <c r="M233" s="12">
        <f>IFERROR($J233/100*INDEX(Продукты!$I$6:$I$66,MATCH($E233,Продукты!$A$6:$A$66,0)),0)</f>
        <v>0</v>
      </c>
      <c r="N233" s="12">
        <f>IFERROR($J233/100*INDEX(Продукты!$J$6:$J$66,MATCH($E233,Продукты!$A$6:$A$66,0)),0)</f>
        <v>0</v>
      </c>
      <c r="O233" s="3" t="str">
        <f>IFERROR(IF(IFERROR(INDEX(Рецепты!$H$6:$H$85,MATCH(Меню!$D$15,Рецепты!$H$6:$H$85,0)+2)=Меню!$D$15,FALSE),INDEX(Рецепты!$N$6:$N$85,MATCH(Меню!$D$15,Рецепты!$H$6:$H$85,0)+2),""),"")</f>
        <v/>
      </c>
    </row>
    <row r="234" spans="1:15">
      <c r="A234" s="3" t="str">
        <f>IF($E234="","",Меню!$A$15)</f>
        <v/>
      </c>
      <c r="B234" s="3" t="str">
        <f>IF($E234="","",Меню!$B$15)</f>
        <v/>
      </c>
      <c r="C234" s="3" t="str">
        <f>IF($E234="","",Меню!$C$15)</f>
        <v/>
      </c>
      <c r="D234" s="3" t="str">
        <f>IF($E234="","",Меню!$D$15)</f>
        <v/>
      </c>
      <c r="E234" s="3" t="str">
        <f>IFERROR(IF(IFERROR(INDEX(Рецепты!$H$6:$H$85,MATCH(Меню!$D$15,Рецепты!$H$6:$H$85,0)+3)=Меню!$D$15,FALSE),INDEX(Рецепты!$J$6:$J$85,MATCH(Меню!$D$15,Рецепты!$H$6:$H$85,0)+3),""),"")</f>
        <v/>
      </c>
      <c r="F234" s="3" t="str">
        <f>IF($E234="","",INDEX(Рецепты!$K$6:$K$85,MATCH(Меню!$D$15,Рецепты!$H$6:$H$85,0)+3))</f>
        <v/>
      </c>
      <c r="G234" s="3" t="str">
        <f>IF($E234="","",INDEX(Рецепты!$M$6:$M$85,MATCH(Меню!$D$15,Рецепты!$H$6:$H$85,0)+3))</f>
        <v/>
      </c>
      <c r="H234" s="12">
        <f>IFERROR(IF(IFERROR(INDEX(Рецепты!$H$6:$H$85,MATCH(Меню!$D$15,Рецепты!$H$6:$H$85,0)+3)=Меню!$D$15,FALSE),INDEX(Рецепты!$L$6:$L$85,MATCH(Меню!$D$15,Рецепты!$H$6:$H$85,0)+3),0),0)</f>
        <v>0</v>
      </c>
      <c r="I234" s="12" t="str">
        <f>IF($F234="","",Меню!$E$15)</f>
        <v/>
      </c>
      <c r="J234" s="12">
        <f t="shared" si="3"/>
        <v>0</v>
      </c>
      <c r="K234" s="12">
        <f>IFERROR($J234/100*INDEX(Продукты!$G$6:$G$66,MATCH($E234,Продукты!$A$6:$A$66,0)),0)</f>
        <v>0</v>
      </c>
      <c r="L234" s="12">
        <f>IFERROR($J234/100*INDEX(Продукты!$H$6:$H$66,MATCH($E234,Продукты!$A$6:$A$66,0)),0)</f>
        <v>0</v>
      </c>
      <c r="M234" s="12">
        <f>IFERROR($J234/100*INDEX(Продукты!$I$6:$I$66,MATCH($E234,Продукты!$A$6:$A$66,0)),0)</f>
        <v>0</v>
      </c>
      <c r="N234" s="12">
        <f>IFERROR($J234/100*INDEX(Продукты!$J$6:$J$66,MATCH($E234,Продукты!$A$6:$A$66,0)),0)</f>
        <v>0</v>
      </c>
      <c r="O234" s="3" t="str">
        <f>IFERROR(IF(IFERROR(INDEX(Рецепты!$H$6:$H$85,MATCH(Меню!$D$15,Рецепты!$H$6:$H$85,0)+3)=Меню!$D$15,FALSE),INDEX(Рецепты!$N$6:$N$85,MATCH(Меню!$D$15,Рецепты!$H$6:$H$85,0)+3),""),"")</f>
        <v/>
      </c>
    </row>
    <row r="235" spans="1:15">
      <c r="A235" s="3" t="str">
        <f>IF($E235="","",Меню!$A$15)</f>
        <v/>
      </c>
      <c r="B235" s="3" t="str">
        <f>IF($E235="","",Меню!$B$15)</f>
        <v/>
      </c>
      <c r="C235" s="3" t="str">
        <f>IF($E235="","",Меню!$C$15)</f>
        <v/>
      </c>
      <c r="D235" s="3" t="str">
        <f>IF($E235="","",Меню!$D$15)</f>
        <v/>
      </c>
      <c r="E235" s="3" t="str">
        <f>IFERROR(IF(IFERROR(INDEX(Рецепты!$H$6:$H$85,MATCH(Меню!$D$15,Рецепты!$H$6:$H$85,0)+4)=Меню!$D$15,FALSE),INDEX(Рецепты!$J$6:$J$85,MATCH(Меню!$D$15,Рецепты!$H$6:$H$85,0)+4),""),"")</f>
        <v/>
      </c>
      <c r="F235" s="3" t="str">
        <f>IF($E235="","",INDEX(Рецепты!$K$6:$K$85,MATCH(Меню!$D$15,Рецепты!$H$6:$H$85,0)+4))</f>
        <v/>
      </c>
      <c r="G235" s="3" t="str">
        <f>IF($E235="","",INDEX(Рецепты!$M$6:$M$85,MATCH(Меню!$D$15,Рецепты!$H$6:$H$85,0)+4))</f>
        <v/>
      </c>
      <c r="H235" s="12">
        <f>IFERROR(IF(IFERROR(INDEX(Рецепты!$H$6:$H$85,MATCH(Меню!$D$15,Рецепты!$H$6:$H$85,0)+4)=Меню!$D$15,FALSE),INDEX(Рецепты!$L$6:$L$85,MATCH(Меню!$D$15,Рецепты!$H$6:$H$85,0)+4),0),0)</f>
        <v>0</v>
      </c>
      <c r="I235" s="12" t="str">
        <f>IF($F235="","",Меню!$E$15)</f>
        <v/>
      </c>
      <c r="J235" s="12">
        <f t="shared" si="3"/>
        <v>0</v>
      </c>
      <c r="K235" s="12">
        <f>IFERROR($J235/100*INDEX(Продукты!$G$6:$G$66,MATCH($E235,Продукты!$A$6:$A$66,0)),0)</f>
        <v>0</v>
      </c>
      <c r="L235" s="12">
        <f>IFERROR($J235/100*INDEX(Продукты!$H$6:$H$66,MATCH($E235,Продукты!$A$6:$A$66,0)),0)</f>
        <v>0</v>
      </c>
      <c r="M235" s="12">
        <f>IFERROR($J235/100*INDEX(Продукты!$I$6:$I$66,MATCH($E235,Продукты!$A$6:$A$66,0)),0)</f>
        <v>0</v>
      </c>
      <c r="N235" s="12">
        <f>IFERROR($J235/100*INDEX(Продукты!$J$6:$J$66,MATCH($E235,Продукты!$A$6:$A$66,0)),0)</f>
        <v>0</v>
      </c>
      <c r="O235" s="3" t="str">
        <f>IFERROR(IF(IFERROR(INDEX(Рецепты!$H$6:$H$85,MATCH(Меню!$D$15,Рецепты!$H$6:$H$85,0)+4)=Меню!$D$15,FALSE),INDEX(Рецепты!$N$6:$N$85,MATCH(Меню!$D$15,Рецепты!$H$6:$H$85,0)+4),""),"")</f>
        <v/>
      </c>
    </row>
    <row r="236" spans="1:15">
      <c r="A236" s="3" t="str">
        <f>IF($E236="","",Меню!$A$15)</f>
        <v/>
      </c>
      <c r="B236" s="3" t="str">
        <f>IF($E236="","",Меню!$B$15)</f>
        <v/>
      </c>
      <c r="C236" s="3" t="str">
        <f>IF($E236="","",Меню!$C$15)</f>
        <v/>
      </c>
      <c r="D236" s="3" t="str">
        <f>IF($E236="","",Меню!$D$15)</f>
        <v/>
      </c>
      <c r="E236" s="3" t="str">
        <f>IFERROR(IF(IFERROR(INDEX(Рецепты!$H$6:$H$85,MATCH(Меню!$D$15,Рецепты!$H$6:$H$85,0)+5)=Меню!$D$15,FALSE),INDEX(Рецепты!$J$6:$J$85,MATCH(Меню!$D$15,Рецепты!$H$6:$H$85,0)+5),""),"")</f>
        <v/>
      </c>
      <c r="F236" s="3" t="str">
        <f>IF($E236="","",INDEX(Рецепты!$K$6:$K$85,MATCH(Меню!$D$15,Рецепты!$H$6:$H$85,0)+5))</f>
        <v/>
      </c>
      <c r="G236" s="3" t="str">
        <f>IF($E236="","",INDEX(Рецепты!$M$6:$M$85,MATCH(Меню!$D$15,Рецепты!$H$6:$H$85,0)+5))</f>
        <v/>
      </c>
      <c r="H236" s="12">
        <f>IFERROR(IF(IFERROR(INDEX(Рецепты!$H$6:$H$85,MATCH(Меню!$D$15,Рецепты!$H$6:$H$85,0)+5)=Меню!$D$15,FALSE),INDEX(Рецепты!$L$6:$L$85,MATCH(Меню!$D$15,Рецепты!$H$6:$H$85,0)+5),0),0)</f>
        <v>0</v>
      </c>
      <c r="I236" s="12" t="str">
        <f>IF($F236="","",Меню!$E$15)</f>
        <v/>
      </c>
      <c r="J236" s="12">
        <f t="shared" si="3"/>
        <v>0</v>
      </c>
      <c r="K236" s="12">
        <f>IFERROR($J236/100*INDEX(Продукты!$G$6:$G$66,MATCH($E236,Продукты!$A$6:$A$66,0)),0)</f>
        <v>0</v>
      </c>
      <c r="L236" s="12">
        <f>IFERROR($J236/100*INDEX(Продукты!$H$6:$H$66,MATCH($E236,Продукты!$A$6:$A$66,0)),0)</f>
        <v>0</v>
      </c>
      <c r="M236" s="12">
        <f>IFERROR($J236/100*INDEX(Продукты!$I$6:$I$66,MATCH($E236,Продукты!$A$6:$A$66,0)),0)</f>
        <v>0</v>
      </c>
      <c r="N236" s="12">
        <f>IFERROR($J236/100*INDEX(Продукты!$J$6:$J$66,MATCH($E236,Продукты!$A$6:$A$66,0)),0)</f>
        <v>0</v>
      </c>
      <c r="O236" s="3" t="str">
        <f>IFERROR(IF(IFERROR(INDEX(Рецепты!$H$6:$H$85,MATCH(Меню!$D$15,Рецепты!$H$6:$H$85,0)+5)=Меню!$D$15,FALSE),INDEX(Рецепты!$N$6:$N$85,MATCH(Меню!$D$15,Рецепты!$H$6:$H$85,0)+5),""),"")</f>
        <v/>
      </c>
    </row>
    <row r="237" spans="1:15">
      <c r="A237" s="3" t="str">
        <f>IF($E237="","",Меню!$A$15)</f>
        <v/>
      </c>
      <c r="B237" s="3" t="str">
        <f>IF($E237="","",Меню!$B$15)</f>
        <v/>
      </c>
      <c r="C237" s="3" t="str">
        <f>IF($E237="","",Меню!$C$15)</f>
        <v/>
      </c>
      <c r="D237" s="3" t="str">
        <f>IF($E237="","",Меню!$D$15)</f>
        <v/>
      </c>
      <c r="E237" s="3" t="str">
        <f>IFERROR(IF(IFERROR(INDEX(Рецепты!$H$6:$H$85,MATCH(Меню!$D$15,Рецепты!$H$6:$H$85,0)+6)=Меню!$D$15,FALSE),INDEX(Рецепты!$J$6:$J$85,MATCH(Меню!$D$15,Рецепты!$H$6:$H$85,0)+6),""),"")</f>
        <v/>
      </c>
      <c r="F237" s="3" t="str">
        <f>IF($E237="","",INDEX(Рецепты!$K$6:$K$85,MATCH(Меню!$D$15,Рецепты!$H$6:$H$85,0)+6))</f>
        <v/>
      </c>
      <c r="G237" s="3" t="str">
        <f>IF($E237="","",INDEX(Рецепты!$M$6:$M$85,MATCH(Меню!$D$15,Рецепты!$H$6:$H$85,0)+6))</f>
        <v/>
      </c>
      <c r="H237" s="12">
        <f>IFERROR(IF(IFERROR(INDEX(Рецепты!$H$6:$H$85,MATCH(Меню!$D$15,Рецепты!$H$6:$H$85,0)+6)=Меню!$D$15,FALSE),INDEX(Рецепты!$L$6:$L$85,MATCH(Меню!$D$15,Рецепты!$H$6:$H$85,0)+6),0),0)</f>
        <v>0</v>
      </c>
      <c r="I237" s="12" t="str">
        <f>IF($F237="","",Меню!$E$15)</f>
        <v/>
      </c>
      <c r="J237" s="12">
        <f t="shared" si="3"/>
        <v>0</v>
      </c>
      <c r="K237" s="12">
        <f>IFERROR($J237/100*INDEX(Продукты!$G$6:$G$66,MATCH($E237,Продукты!$A$6:$A$66,0)),0)</f>
        <v>0</v>
      </c>
      <c r="L237" s="12">
        <f>IFERROR($J237/100*INDEX(Продукты!$H$6:$H$66,MATCH($E237,Продукты!$A$6:$A$66,0)),0)</f>
        <v>0</v>
      </c>
      <c r="M237" s="12">
        <f>IFERROR($J237/100*INDEX(Продукты!$I$6:$I$66,MATCH($E237,Продукты!$A$6:$A$66,0)),0)</f>
        <v>0</v>
      </c>
      <c r="N237" s="12">
        <f>IFERROR($J237/100*INDEX(Продукты!$J$6:$J$66,MATCH($E237,Продукты!$A$6:$A$66,0)),0)</f>
        <v>0</v>
      </c>
      <c r="O237" s="3" t="str">
        <f>IFERROR(IF(IFERROR(INDEX(Рецепты!$H$6:$H$85,MATCH(Меню!$D$15,Рецепты!$H$6:$H$85,0)+6)=Меню!$D$15,FALSE),INDEX(Рецепты!$N$6:$N$85,MATCH(Меню!$D$15,Рецепты!$H$6:$H$85,0)+6),""),"")</f>
        <v/>
      </c>
    </row>
    <row r="238" spans="1:15">
      <c r="A238" s="3" t="str">
        <f>IF($E238="","",Меню!$A$15)</f>
        <v/>
      </c>
      <c r="B238" s="3" t="str">
        <f>IF($E238="","",Меню!$B$15)</f>
        <v/>
      </c>
      <c r="C238" s="3" t="str">
        <f>IF($E238="","",Меню!$C$15)</f>
        <v/>
      </c>
      <c r="D238" s="3" t="str">
        <f>IF($E238="","",Меню!$D$15)</f>
        <v/>
      </c>
      <c r="E238" s="3" t="str">
        <f>IFERROR(IF(IFERROR(INDEX(Рецепты!$H$6:$H$85,MATCH(Меню!$D$15,Рецепты!$H$6:$H$85,0)+7)=Меню!$D$15,FALSE),INDEX(Рецепты!$J$6:$J$85,MATCH(Меню!$D$15,Рецепты!$H$6:$H$85,0)+7),""),"")</f>
        <v/>
      </c>
      <c r="F238" s="3" t="str">
        <f>IF($E238="","",INDEX(Рецепты!$K$6:$K$85,MATCH(Меню!$D$15,Рецепты!$H$6:$H$85,0)+7))</f>
        <v/>
      </c>
      <c r="G238" s="3" t="str">
        <f>IF($E238="","",INDEX(Рецепты!$M$6:$M$85,MATCH(Меню!$D$15,Рецепты!$H$6:$H$85,0)+7))</f>
        <v/>
      </c>
      <c r="H238" s="12">
        <f>IFERROR(IF(IFERROR(INDEX(Рецепты!$H$6:$H$85,MATCH(Меню!$D$15,Рецепты!$H$6:$H$85,0)+7)=Меню!$D$15,FALSE),INDEX(Рецепты!$L$6:$L$85,MATCH(Меню!$D$15,Рецепты!$H$6:$H$85,0)+7),0),0)</f>
        <v>0</v>
      </c>
      <c r="I238" s="12" t="str">
        <f>IF($F238="","",Меню!$E$15)</f>
        <v/>
      </c>
      <c r="J238" s="12">
        <f t="shared" si="3"/>
        <v>0</v>
      </c>
      <c r="K238" s="12">
        <f>IFERROR($J238/100*INDEX(Продукты!$G$6:$G$66,MATCH($E238,Продукты!$A$6:$A$66,0)),0)</f>
        <v>0</v>
      </c>
      <c r="L238" s="12">
        <f>IFERROR($J238/100*INDEX(Продукты!$H$6:$H$66,MATCH($E238,Продукты!$A$6:$A$66,0)),0)</f>
        <v>0</v>
      </c>
      <c r="M238" s="12">
        <f>IFERROR($J238/100*INDEX(Продукты!$I$6:$I$66,MATCH($E238,Продукты!$A$6:$A$66,0)),0)</f>
        <v>0</v>
      </c>
      <c r="N238" s="12">
        <f>IFERROR($J238/100*INDEX(Продукты!$J$6:$J$66,MATCH($E238,Продукты!$A$6:$A$66,0)),0)</f>
        <v>0</v>
      </c>
      <c r="O238" s="3" t="str">
        <f>IFERROR(IF(IFERROR(INDEX(Рецепты!$H$6:$H$85,MATCH(Меню!$D$15,Рецепты!$H$6:$H$85,0)+7)=Меню!$D$15,FALSE),INDEX(Рецепты!$N$6:$N$85,MATCH(Меню!$D$15,Рецепты!$H$6:$H$85,0)+7),""),"")</f>
        <v/>
      </c>
    </row>
    <row r="239" spans="1:15">
      <c r="A239" s="3" t="str">
        <f>IF($E239="","",Меню!$A$15)</f>
        <v/>
      </c>
      <c r="B239" s="3" t="str">
        <f>IF($E239="","",Меню!$B$15)</f>
        <v/>
      </c>
      <c r="C239" s="3" t="str">
        <f>IF($E239="","",Меню!$C$15)</f>
        <v/>
      </c>
      <c r="D239" s="3" t="str">
        <f>IF($E239="","",Меню!$D$15)</f>
        <v/>
      </c>
      <c r="E239" s="3" t="str">
        <f>IFERROR(IF(IFERROR(INDEX(Рецепты!$H$6:$H$85,MATCH(Меню!$D$15,Рецепты!$H$6:$H$85,0)+8)=Меню!$D$15,FALSE),INDEX(Рецепты!$J$6:$J$85,MATCH(Меню!$D$15,Рецепты!$H$6:$H$85,0)+8),""),"")</f>
        <v/>
      </c>
      <c r="F239" s="3" t="str">
        <f>IF($E239="","",INDEX(Рецепты!$K$6:$K$85,MATCH(Меню!$D$15,Рецепты!$H$6:$H$85,0)+8))</f>
        <v/>
      </c>
      <c r="G239" s="3" t="str">
        <f>IF($E239="","",INDEX(Рецепты!$M$6:$M$85,MATCH(Меню!$D$15,Рецепты!$H$6:$H$85,0)+8))</f>
        <v/>
      </c>
      <c r="H239" s="12">
        <f>IFERROR(IF(IFERROR(INDEX(Рецепты!$H$6:$H$85,MATCH(Меню!$D$15,Рецепты!$H$6:$H$85,0)+8)=Меню!$D$15,FALSE),INDEX(Рецепты!$L$6:$L$85,MATCH(Меню!$D$15,Рецепты!$H$6:$H$85,0)+8),0),0)</f>
        <v>0</v>
      </c>
      <c r="I239" s="12" t="str">
        <f>IF($F239="","",Меню!$E$15)</f>
        <v/>
      </c>
      <c r="J239" s="12">
        <f t="shared" si="3"/>
        <v>0</v>
      </c>
      <c r="K239" s="12">
        <f>IFERROR($J239/100*INDEX(Продукты!$G$6:$G$66,MATCH($E239,Продукты!$A$6:$A$66,0)),0)</f>
        <v>0</v>
      </c>
      <c r="L239" s="12">
        <f>IFERROR($J239/100*INDEX(Продукты!$H$6:$H$66,MATCH($E239,Продукты!$A$6:$A$66,0)),0)</f>
        <v>0</v>
      </c>
      <c r="M239" s="12">
        <f>IFERROR($J239/100*INDEX(Продукты!$I$6:$I$66,MATCH($E239,Продукты!$A$6:$A$66,0)),0)</f>
        <v>0</v>
      </c>
      <c r="N239" s="12">
        <f>IFERROR($J239/100*INDEX(Продукты!$J$6:$J$66,MATCH($E239,Продукты!$A$6:$A$66,0)),0)</f>
        <v>0</v>
      </c>
      <c r="O239" s="3" t="str">
        <f>IFERROR(IF(IFERROR(INDEX(Рецепты!$H$6:$H$85,MATCH(Меню!$D$15,Рецепты!$H$6:$H$85,0)+8)=Меню!$D$15,FALSE),INDEX(Рецепты!$N$6:$N$85,MATCH(Меню!$D$15,Рецепты!$H$6:$H$85,0)+8),""),"")</f>
        <v/>
      </c>
    </row>
    <row r="240" spans="1:15">
      <c r="A240" s="3" t="str">
        <f>IF($E240="","",Меню!$A$15)</f>
        <v/>
      </c>
      <c r="B240" s="3" t="str">
        <f>IF($E240="","",Меню!$B$15)</f>
        <v/>
      </c>
      <c r="C240" s="3" t="str">
        <f>IF($E240="","",Меню!$C$15)</f>
        <v/>
      </c>
      <c r="D240" s="3" t="str">
        <f>IF($E240="","",Меню!$D$15)</f>
        <v/>
      </c>
      <c r="E240" s="3" t="str">
        <f>IFERROR(IF(IFERROR(INDEX(Рецепты!$H$6:$H$85,MATCH(Меню!$D$15,Рецепты!$H$6:$H$85,0)+9)=Меню!$D$15,FALSE),INDEX(Рецепты!$J$6:$J$85,MATCH(Меню!$D$15,Рецепты!$H$6:$H$85,0)+9),""),"")</f>
        <v/>
      </c>
      <c r="F240" s="3" t="str">
        <f>IF($E240="","",INDEX(Рецепты!$K$6:$K$85,MATCH(Меню!$D$15,Рецепты!$H$6:$H$85,0)+9))</f>
        <v/>
      </c>
      <c r="G240" s="3" t="str">
        <f>IF($E240="","",INDEX(Рецепты!$M$6:$M$85,MATCH(Меню!$D$15,Рецепты!$H$6:$H$85,0)+9))</f>
        <v/>
      </c>
      <c r="H240" s="12">
        <f>IFERROR(IF(IFERROR(INDEX(Рецепты!$H$6:$H$85,MATCH(Меню!$D$15,Рецепты!$H$6:$H$85,0)+9)=Меню!$D$15,FALSE),INDEX(Рецепты!$L$6:$L$85,MATCH(Меню!$D$15,Рецепты!$H$6:$H$85,0)+9),0),0)</f>
        <v>0</v>
      </c>
      <c r="I240" s="12" t="str">
        <f>IF($F240="","",Меню!$E$15)</f>
        <v/>
      </c>
      <c r="J240" s="12">
        <f t="shared" si="3"/>
        <v>0</v>
      </c>
      <c r="K240" s="12">
        <f>IFERROR($J240/100*INDEX(Продукты!$G$6:$G$66,MATCH($E240,Продукты!$A$6:$A$66,0)),0)</f>
        <v>0</v>
      </c>
      <c r="L240" s="12">
        <f>IFERROR($J240/100*INDEX(Продукты!$H$6:$H$66,MATCH($E240,Продукты!$A$6:$A$66,0)),0)</f>
        <v>0</v>
      </c>
      <c r="M240" s="12">
        <f>IFERROR($J240/100*INDEX(Продукты!$I$6:$I$66,MATCH($E240,Продукты!$A$6:$A$66,0)),0)</f>
        <v>0</v>
      </c>
      <c r="N240" s="12">
        <f>IFERROR($J240/100*INDEX(Продукты!$J$6:$J$66,MATCH($E240,Продукты!$A$6:$A$66,0)),0)</f>
        <v>0</v>
      </c>
      <c r="O240" s="3" t="str">
        <f>IFERROR(IF(IFERROR(INDEX(Рецепты!$H$6:$H$85,MATCH(Меню!$D$15,Рецепты!$H$6:$H$85,0)+9)=Меню!$D$15,FALSE),INDEX(Рецепты!$N$6:$N$85,MATCH(Меню!$D$15,Рецепты!$H$6:$H$85,0)+9),""),"")</f>
        <v/>
      </c>
    </row>
    <row r="241" spans="1:15">
      <c r="A241" s="3" t="str">
        <f>IF($E241="","",Меню!$A$15)</f>
        <v/>
      </c>
      <c r="B241" s="3" t="str">
        <f>IF($E241="","",Меню!$B$15)</f>
        <v/>
      </c>
      <c r="C241" s="3" t="str">
        <f>IF($E241="","",Меню!$C$15)</f>
        <v/>
      </c>
      <c r="D241" s="3" t="str">
        <f>IF($E241="","",Меню!$D$15)</f>
        <v/>
      </c>
      <c r="E241" s="3" t="str">
        <f>IFERROR(IF(IFERROR(INDEX(Рецепты!$H$6:$H$85,MATCH(Меню!$D$15,Рецепты!$H$6:$H$85,0)+10)=Меню!$D$15,FALSE),INDEX(Рецепты!$J$6:$J$85,MATCH(Меню!$D$15,Рецепты!$H$6:$H$85,0)+10),""),"")</f>
        <v/>
      </c>
      <c r="F241" s="3" t="str">
        <f>IF($E241="","",INDEX(Рецепты!$K$6:$K$85,MATCH(Меню!$D$15,Рецепты!$H$6:$H$85,0)+10))</f>
        <v/>
      </c>
      <c r="G241" s="3" t="str">
        <f>IF($E241="","",INDEX(Рецепты!$M$6:$M$85,MATCH(Меню!$D$15,Рецепты!$H$6:$H$85,0)+10))</f>
        <v/>
      </c>
      <c r="H241" s="12">
        <f>IFERROR(IF(IFERROR(INDEX(Рецепты!$H$6:$H$85,MATCH(Меню!$D$15,Рецепты!$H$6:$H$85,0)+10)=Меню!$D$15,FALSE),INDEX(Рецепты!$L$6:$L$85,MATCH(Меню!$D$15,Рецепты!$H$6:$H$85,0)+10),0),0)</f>
        <v>0</v>
      </c>
      <c r="I241" s="12" t="str">
        <f>IF($F241="","",Меню!$E$15)</f>
        <v/>
      </c>
      <c r="J241" s="12">
        <f t="shared" si="3"/>
        <v>0</v>
      </c>
      <c r="K241" s="12">
        <f>IFERROR($J241/100*INDEX(Продукты!$G$6:$G$66,MATCH($E241,Продукты!$A$6:$A$66,0)),0)</f>
        <v>0</v>
      </c>
      <c r="L241" s="12">
        <f>IFERROR($J241/100*INDEX(Продукты!$H$6:$H$66,MATCH($E241,Продукты!$A$6:$A$66,0)),0)</f>
        <v>0</v>
      </c>
      <c r="M241" s="12">
        <f>IFERROR($J241/100*INDEX(Продукты!$I$6:$I$66,MATCH($E241,Продукты!$A$6:$A$66,0)),0)</f>
        <v>0</v>
      </c>
      <c r="N241" s="12">
        <f>IFERROR($J241/100*INDEX(Продукты!$J$6:$J$66,MATCH($E241,Продукты!$A$6:$A$66,0)),0)</f>
        <v>0</v>
      </c>
      <c r="O241" s="3" t="str">
        <f>IFERROR(IF(IFERROR(INDEX(Рецепты!$H$6:$H$85,MATCH(Меню!$D$15,Рецепты!$H$6:$H$85,0)+10)=Меню!$D$15,FALSE),INDEX(Рецепты!$N$6:$N$85,MATCH(Меню!$D$15,Рецепты!$H$6:$H$85,0)+10),""),"")</f>
        <v/>
      </c>
    </row>
    <row r="242" spans="1:15">
      <c r="A242" s="3" t="str">
        <f>IF($E242="","",Меню!$A$15)</f>
        <v/>
      </c>
      <c r="B242" s="3" t="str">
        <f>IF($E242="","",Меню!$B$15)</f>
        <v/>
      </c>
      <c r="C242" s="3" t="str">
        <f>IF($E242="","",Меню!$C$15)</f>
        <v/>
      </c>
      <c r="D242" s="3" t="str">
        <f>IF($E242="","",Меню!$D$15)</f>
        <v/>
      </c>
      <c r="E242" s="3" t="str">
        <f>IFERROR(IF(IFERROR(INDEX(Рецепты!$H$6:$H$85,MATCH(Меню!$D$15,Рецепты!$H$6:$H$85,0)+11)=Меню!$D$15,FALSE),INDEX(Рецепты!$J$6:$J$85,MATCH(Меню!$D$15,Рецепты!$H$6:$H$85,0)+11),""),"")</f>
        <v/>
      </c>
      <c r="F242" s="3" t="str">
        <f>IF($E242="","",INDEX(Рецепты!$K$6:$K$85,MATCH(Меню!$D$15,Рецепты!$H$6:$H$85,0)+11))</f>
        <v/>
      </c>
      <c r="G242" s="3" t="str">
        <f>IF($E242="","",INDEX(Рецепты!$M$6:$M$85,MATCH(Меню!$D$15,Рецепты!$H$6:$H$85,0)+11))</f>
        <v/>
      </c>
      <c r="H242" s="12">
        <f>IFERROR(IF(IFERROR(INDEX(Рецепты!$H$6:$H$85,MATCH(Меню!$D$15,Рецепты!$H$6:$H$85,0)+11)=Меню!$D$15,FALSE),INDEX(Рецепты!$L$6:$L$85,MATCH(Меню!$D$15,Рецепты!$H$6:$H$85,0)+11),0),0)</f>
        <v>0</v>
      </c>
      <c r="I242" s="12" t="str">
        <f>IF($F242="","",Меню!$E$15)</f>
        <v/>
      </c>
      <c r="J242" s="12">
        <f t="shared" si="3"/>
        <v>0</v>
      </c>
      <c r="K242" s="12">
        <f>IFERROR($J242/100*INDEX(Продукты!$G$6:$G$66,MATCH($E242,Продукты!$A$6:$A$66,0)),0)</f>
        <v>0</v>
      </c>
      <c r="L242" s="12">
        <f>IFERROR($J242/100*INDEX(Продукты!$H$6:$H$66,MATCH($E242,Продукты!$A$6:$A$66,0)),0)</f>
        <v>0</v>
      </c>
      <c r="M242" s="12">
        <f>IFERROR($J242/100*INDEX(Продукты!$I$6:$I$66,MATCH($E242,Продукты!$A$6:$A$66,0)),0)</f>
        <v>0</v>
      </c>
      <c r="N242" s="12">
        <f>IFERROR($J242/100*INDEX(Продукты!$J$6:$J$66,MATCH($E242,Продукты!$A$6:$A$66,0)),0)</f>
        <v>0</v>
      </c>
      <c r="O242" s="3" t="str">
        <f>IFERROR(IF(IFERROR(INDEX(Рецепты!$H$6:$H$85,MATCH(Меню!$D$15,Рецепты!$H$6:$H$85,0)+11)=Меню!$D$15,FALSE),INDEX(Рецепты!$N$6:$N$85,MATCH(Меню!$D$15,Рецепты!$H$6:$H$85,0)+11),""),"")</f>
        <v/>
      </c>
    </row>
    <row r="243" spans="1:15">
      <c r="A243" s="3" t="str">
        <f>IF($E243="","",Меню!$A$15)</f>
        <v/>
      </c>
      <c r="B243" s="3" t="str">
        <f>IF($E243="","",Меню!$B$15)</f>
        <v/>
      </c>
      <c r="C243" s="3" t="str">
        <f>IF($E243="","",Меню!$C$15)</f>
        <v/>
      </c>
      <c r="D243" s="3" t="str">
        <f>IF($E243="","",Меню!$D$15)</f>
        <v/>
      </c>
      <c r="E243" s="3" t="str">
        <f>IFERROR(IF(IFERROR(INDEX(Рецепты!$H$6:$H$85,MATCH(Меню!$D$15,Рецепты!$H$6:$H$85,0)+12)=Меню!$D$15,FALSE),INDEX(Рецепты!$J$6:$J$85,MATCH(Меню!$D$15,Рецепты!$H$6:$H$85,0)+12),""),"")</f>
        <v/>
      </c>
      <c r="F243" s="3" t="str">
        <f>IF($E243="","",INDEX(Рецепты!$K$6:$K$85,MATCH(Меню!$D$15,Рецепты!$H$6:$H$85,0)+12))</f>
        <v/>
      </c>
      <c r="G243" s="3" t="str">
        <f>IF($E243="","",INDEX(Рецепты!$M$6:$M$85,MATCH(Меню!$D$15,Рецепты!$H$6:$H$85,0)+12))</f>
        <v/>
      </c>
      <c r="H243" s="12">
        <f>IFERROR(IF(IFERROR(INDEX(Рецепты!$H$6:$H$85,MATCH(Меню!$D$15,Рецепты!$H$6:$H$85,0)+12)=Меню!$D$15,FALSE),INDEX(Рецепты!$L$6:$L$85,MATCH(Меню!$D$15,Рецепты!$H$6:$H$85,0)+12),0),0)</f>
        <v>0</v>
      </c>
      <c r="I243" s="12" t="str">
        <f>IF($F243="","",Меню!$E$15)</f>
        <v/>
      </c>
      <c r="J243" s="12">
        <f t="shared" si="3"/>
        <v>0</v>
      </c>
      <c r="K243" s="12">
        <f>IFERROR($J243/100*INDEX(Продукты!$G$6:$G$66,MATCH($E243,Продукты!$A$6:$A$66,0)),0)</f>
        <v>0</v>
      </c>
      <c r="L243" s="12">
        <f>IFERROR($J243/100*INDEX(Продукты!$H$6:$H$66,MATCH($E243,Продукты!$A$6:$A$66,0)),0)</f>
        <v>0</v>
      </c>
      <c r="M243" s="12">
        <f>IFERROR($J243/100*INDEX(Продукты!$I$6:$I$66,MATCH($E243,Продукты!$A$6:$A$66,0)),0)</f>
        <v>0</v>
      </c>
      <c r="N243" s="12">
        <f>IFERROR($J243/100*INDEX(Продукты!$J$6:$J$66,MATCH($E243,Продукты!$A$6:$A$66,0)),0)</f>
        <v>0</v>
      </c>
      <c r="O243" s="3" t="str">
        <f>IFERROR(IF(IFERROR(INDEX(Рецепты!$H$6:$H$85,MATCH(Меню!$D$15,Рецепты!$H$6:$H$85,0)+12)=Меню!$D$15,FALSE),INDEX(Рецепты!$N$6:$N$85,MATCH(Меню!$D$15,Рецепты!$H$6:$H$85,0)+12),""),"")</f>
        <v/>
      </c>
    </row>
    <row r="244" spans="1:15">
      <c r="A244" s="3" t="str">
        <f>IF($E244="","",Меню!$A$15)</f>
        <v/>
      </c>
      <c r="B244" s="3" t="str">
        <f>IF($E244="","",Меню!$B$15)</f>
        <v/>
      </c>
      <c r="C244" s="3" t="str">
        <f>IF($E244="","",Меню!$C$15)</f>
        <v/>
      </c>
      <c r="D244" s="3" t="str">
        <f>IF($E244="","",Меню!$D$15)</f>
        <v/>
      </c>
      <c r="E244" s="3" t="str">
        <f>IFERROR(IF(IFERROR(INDEX(Рецепты!$H$6:$H$85,MATCH(Меню!$D$15,Рецепты!$H$6:$H$85,0)+13)=Меню!$D$15,FALSE),INDEX(Рецепты!$J$6:$J$85,MATCH(Меню!$D$15,Рецепты!$H$6:$H$85,0)+13),""),"")</f>
        <v/>
      </c>
      <c r="F244" s="3" t="str">
        <f>IF($E244="","",INDEX(Рецепты!$K$6:$K$85,MATCH(Меню!$D$15,Рецепты!$H$6:$H$85,0)+13))</f>
        <v/>
      </c>
      <c r="G244" s="3" t="str">
        <f>IF($E244="","",INDEX(Рецепты!$M$6:$M$85,MATCH(Меню!$D$15,Рецепты!$H$6:$H$85,0)+13))</f>
        <v/>
      </c>
      <c r="H244" s="12">
        <f>IFERROR(IF(IFERROR(INDEX(Рецепты!$H$6:$H$85,MATCH(Меню!$D$15,Рецепты!$H$6:$H$85,0)+13)=Меню!$D$15,FALSE),INDEX(Рецепты!$L$6:$L$85,MATCH(Меню!$D$15,Рецепты!$H$6:$H$85,0)+13),0),0)</f>
        <v>0</v>
      </c>
      <c r="I244" s="12" t="str">
        <f>IF($F244="","",Меню!$E$15)</f>
        <v/>
      </c>
      <c r="J244" s="12">
        <f t="shared" si="3"/>
        <v>0</v>
      </c>
      <c r="K244" s="12">
        <f>IFERROR($J244/100*INDEX(Продукты!$G$6:$G$66,MATCH($E244,Продукты!$A$6:$A$66,0)),0)</f>
        <v>0</v>
      </c>
      <c r="L244" s="12">
        <f>IFERROR($J244/100*INDEX(Продукты!$H$6:$H$66,MATCH($E244,Продукты!$A$6:$A$66,0)),0)</f>
        <v>0</v>
      </c>
      <c r="M244" s="12">
        <f>IFERROR($J244/100*INDEX(Продукты!$I$6:$I$66,MATCH($E244,Продукты!$A$6:$A$66,0)),0)</f>
        <v>0</v>
      </c>
      <c r="N244" s="12">
        <f>IFERROR($J244/100*INDEX(Продукты!$J$6:$J$66,MATCH($E244,Продукты!$A$6:$A$66,0)),0)</f>
        <v>0</v>
      </c>
      <c r="O244" s="3" t="str">
        <f>IFERROR(IF(IFERROR(INDEX(Рецепты!$H$6:$H$85,MATCH(Меню!$D$15,Рецепты!$H$6:$H$85,0)+13)=Меню!$D$15,FALSE),INDEX(Рецепты!$N$6:$N$85,MATCH(Меню!$D$15,Рецепты!$H$6:$H$85,0)+13),""),"")</f>
        <v/>
      </c>
    </row>
    <row r="245" spans="1:15">
      <c r="A245" s="3" t="str">
        <f>IF($E245="","",Меню!$A$15)</f>
        <v/>
      </c>
      <c r="B245" s="3" t="str">
        <f>IF($E245="","",Меню!$B$15)</f>
        <v/>
      </c>
      <c r="C245" s="3" t="str">
        <f>IF($E245="","",Меню!$C$15)</f>
        <v/>
      </c>
      <c r="D245" s="3" t="str">
        <f>IF($E245="","",Меню!$D$15)</f>
        <v/>
      </c>
      <c r="E245" s="3" t="str">
        <f>IFERROR(IF(IFERROR(INDEX(Рецепты!$H$6:$H$85,MATCH(Меню!$D$15,Рецепты!$H$6:$H$85,0)+14)=Меню!$D$15,FALSE),INDEX(Рецепты!$J$6:$J$85,MATCH(Меню!$D$15,Рецепты!$H$6:$H$85,0)+14),""),"")</f>
        <v/>
      </c>
      <c r="F245" s="3" t="str">
        <f>IF($E245="","",INDEX(Рецепты!$K$6:$K$85,MATCH(Меню!$D$15,Рецепты!$H$6:$H$85,0)+14))</f>
        <v/>
      </c>
      <c r="G245" s="3" t="str">
        <f>IF($E245="","",INDEX(Рецепты!$M$6:$M$85,MATCH(Меню!$D$15,Рецепты!$H$6:$H$85,0)+14))</f>
        <v/>
      </c>
      <c r="H245" s="12">
        <f>IFERROR(IF(IFERROR(INDEX(Рецепты!$H$6:$H$85,MATCH(Меню!$D$15,Рецепты!$H$6:$H$85,0)+14)=Меню!$D$15,FALSE),INDEX(Рецепты!$L$6:$L$85,MATCH(Меню!$D$15,Рецепты!$H$6:$H$85,0)+14),0),0)</f>
        <v>0</v>
      </c>
      <c r="I245" s="12" t="str">
        <f>IF($F245="","",Меню!$E$15)</f>
        <v/>
      </c>
      <c r="J245" s="12">
        <f t="shared" si="3"/>
        <v>0</v>
      </c>
      <c r="K245" s="12">
        <f>IFERROR($J245/100*INDEX(Продукты!$G$6:$G$66,MATCH($E245,Продукты!$A$6:$A$66,0)),0)</f>
        <v>0</v>
      </c>
      <c r="L245" s="12">
        <f>IFERROR($J245/100*INDEX(Продукты!$H$6:$H$66,MATCH($E245,Продукты!$A$6:$A$66,0)),0)</f>
        <v>0</v>
      </c>
      <c r="M245" s="12">
        <f>IFERROR($J245/100*INDEX(Продукты!$I$6:$I$66,MATCH($E245,Продукты!$A$6:$A$66,0)),0)</f>
        <v>0</v>
      </c>
      <c r="N245" s="12">
        <f>IFERROR($J245/100*INDEX(Продукты!$J$6:$J$66,MATCH($E245,Продукты!$A$6:$A$66,0)),0)</f>
        <v>0</v>
      </c>
      <c r="O245" s="3" t="str">
        <f>IFERROR(IF(IFERROR(INDEX(Рецепты!$H$6:$H$85,MATCH(Меню!$D$15,Рецепты!$H$6:$H$85,0)+14)=Меню!$D$15,FALSE),INDEX(Рецепты!$N$6:$N$85,MATCH(Меню!$D$15,Рецепты!$H$6:$H$85,0)+14),""),"")</f>
        <v/>
      </c>
    </row>
    <row r="246" spans="1:15">
      <c r="A246" s="3" t="str">
        <f>IF($E246="","",Меню!$A$15)</f>
        <v/>
      </c>
      <c r="B246" s="3" t="str">
        <f>IF($E246="","",Меню!$B$15)</f>
        <v/>
      </c>
      <c r="C246" s="3" t="str">
        <f>IF($E246="","",Меню!$C$15)</f>
        <v/>
      </c>
      <c r="D246" s="3" t="str">
        <f>IF($E246="","",Меню!$D$15)</f>
        <v/>
      </c>
      <c r="E246" s="3" t="str">
        <f>IFERROR(IF(IFERROR(INDEX(Рецепты!$H$6:$H$85,MATCH(Меню!$D$15,Рецепты!$H$6:$H$85,0)+15)=Меню!$D$15,FALSE),INDEX(Рецепты!$J$6:$J$85,MATCH(Меню!$D$15,Рецепты!$H$6:$H$85,0)+15),""),"")</f>
        <v/>
      </c>
      <c r="F246" s="3" t="str">
        <f>IF($E246="","",INDEX(Рецепты!$K$6:$K$85,MATCH(Меню!$D$15,Рецепты!$H$6:$H$85,0)+15))</f>
        <v/>
      </c>
      <c r="G246" s="3" t="str">
        <f>IF($E246="","",INDEX(Рецепты!$M$6:$M$85,MATCH(Меню!$D$15,Рецепты!$H$6:$H$85,0)+15))</f>
        <v/>
      </c>
      <c r="H246" s="12">
        <f>IFERROR(IF(IFERROR(INDEX(Рецепты!$H$6:$H$85,MATCH(Меню!$D$15,Рецепты!$H$6:$H$85,0)+15)=Меню!$D$15,FALSE),INDEX(Рецепты!$L$6:$L$85,MATCH(Меню!$D$15,Рецепты!$H$6:$H$85,0)+15),0),0)</f>
        <v>0</v>
      </c>
      <c r="I246" s="12" t="str">
        <f>IF($F246="","",Меню!$E$15)</f>
        <v/>
      </c>
      <c r="J246" s="12">
        <f t="shared" si="3"/>
        <v>0</v>
      </c>
      <c r="K246" s="12">
        <f>IFERROR($J246/100*INDEX(Продукты!$G$6:$G$66,MATCH($E246,Продукты!$A$6:$A$66,0)),0)</f>
        <v>0</v>
      </c>
      <c r="L246" s="12">
        <f>IFERROR($J246/100*INDEX(Продукты!$H$6:$H$66,MATCH($E246,Продукты!$A$6:$A$66,0)),0)</f>
        <v>0</v>
      </c>
      <c r="M246" s="12">
        <f>IFERROR($J246/100*INDEX(Продукты!$I$6:$I$66,MATCH($E246,Продукты!$A$6:$A$66,0)),0)</f>
        <v>0</v>
      </c>
      <c r="N246" s="12">
        <f>IFERROR($J246/100*INDEX(Продукты!$J$6:$J$66,MATCH($E246,Продукты!$A$6:$A$66,0)),0)</f>
        <v>0</v>
      </c>
      <c r="O246" s="3" t="str">
        <f>IFERROR(IF(IFERROR(INDEX(Рецепты!$H$6:$H$85,MATCH(Меню!$D$15,Рецепты!$H$6:$H$85,0)+15)=Меню!$D$15,FALSE),INDEX(Рецепты!$N$6:$N$85,MATCH(Меню!$D$15,Рецепты!$H$6:$H$85,0)+15),""),"")</f>
        <v/>
      </c>
    </row>
    <row r="247" spans="1:15">
      <c r="A247" s="3" t="str">
        <f>IF($E247="","",Меню!$A$15)</f>
        <v/>
      </c>
      <c r="B247" s="3" t="str">
        <f>IF($E247="","",Меню!$B$15)</f>
        <v/>
      </c>
      <c r="C247" s="3" t="str">
        <f>IF($E247="","",Меню!$C$15)</f>
        <v/>
      </c>
      <c r="D247" s="3" t="str">
        <f>IF($E247="","",Меню!$D$15)</f>
        <v/>
      </c>
      <c r="E247" s="3" t="str">
        <f>IFERROR(IF(IFERROR(INDEX(Рецепты!$H$6:$H$85,MATCH(Меню!$D$15,Рецепты!$H$6:$H$85,0)+16)=Меню!$D$15,FALSE),INDEX(Рецепты!$J$6:$J$85,MATCH(Меню!$D$15,Рецепты!$H$6:$H$85,0)+16),""),"")</f>
        <v/>
      </c>
      <c r="F247" s="3" t="str">
        <f>IF($E247="","",INDEX(Рецепты!$K$6:$K$85,MATCH(Меню!$D$15,Рецепты!$H$6:$H$85,0)+16))</f>
        <v/>
      </c>
      <c r="G247" s="3" t="str">
        <f>IF($E247="","",INDEX(Рецепты!$M$6:$M$85,MATCH(Меню!$D$15,Рецепты!$H$6:$H$85,0)+16))</f>
        <v/>
      </c>
      <c r="H247" s="12">
        <f>IFERROR(IF(IFERROR(INDEX(Рецепты!$H$6:$H$85,MATCH(Меню!$D$15,Рецепты!$H$6:$H$85,0)+16)=Меню!$D$15,FALSE),INDEX(Рецепты!$L$6:$L$85,MATCH(Меню!$D$15,Рецепты!$H$6:$H$85,0)+16),0),0)</f>
        <v>0</v>
      </c>
      <c r="I247" s="12" t="str">
        <f>IF($F247="","",Меню!$E$15)</f>
        <v/>
      </c>
      <c r="J247" s="12">
        <f t="shared" si="3"/>
        <v>0</v>
      </c>
      <c r="K247" s="12">
        <f>IFERROR($J247/100*INDEX(Продукты!$G$6:$G$66,MATCH($E247,Продукты!$A$6:$A$66,0)),0)</f>
        <v>0</v>
      </c>
      <c r="L247" s="12">
        <f>IFERROR($J247/100*INDEX(Продукты!$H$6:$H$66,MATCH($E247,Продукты!$A$6:$A$66,0)),0)</f>
        <v>0</v>
      </c>
      <c r="M247" s="12">
        <f>IFERROR($J247/100*INDEX(Продукты!$I$6:$I$66,MATCH($E247,Продукты!$A$6:$A$66,0)),0)</f>
        <v>0</v>
      </c>
      <c r="N247" s="12">
        <f>IFERROR($J247/100*INDEX(Продукты!$J$6:$J$66,MATCH($E247,Продукты!$A$6:$A$66,0)),0)</f>
        <v>0</v>
      </c>
      <c r="O247" s="3" t="str">
        <f>IFERROR(IF(IFERROR(INDEX(Рецепты!$H$6:$H$85,MATCH(Меню!$D$15,Рецепты!$H$6:$H$85,0)+16)=Меню!$D$15,FALSE),INDEX(Рецепты!$N$6:$N$85,MATCH(Меню!$D$15,Рецепты!$H$6:$H$85,0)+16),""),"")</f>
        <v/>
      </c>
    </row>
    <row r="248" spans="1:15">
      <c r="A248" s="3" t="str">
        <f>IF($E248="","",Меню!$A$15)</f>
        <v/>
      </c>
      <c r="B248" s="3" t="str">
        <f>IF($E248="","",Меню!$B$15)</f>
        <v/>
      </c>
      <c r="C248" s="3" t="str">
        <f>IF($E248="","",Меню!$C$15)</f>
        <v/>
      </c>
      <c r="D248" s="3" t="str">
        <f>IF($E248="","",Меню!$D$15)</f>
        <v/>
      </c>
      <c r="E248" s="3" t="str">
        <f>IFERROR(IF(IFERROR(INDEX(Рецепты!$H$6:$H$85,MATCH(Меню!$D$15,Рецепты!$H$6:$H$85,0)+17)=Меню!$D$15,FALSE),INDEX(Рецепты!$J$6:$J$85,MATCH(Меню!$D$15,Рецепты!$H$6:$H$85,0)+17),""),"")</f>
        <v/>
      </c>
      <c r="F248" s="3" t="str">
        <f>IF($E248="","",INDEX(Рецепты!$K$6:$K$85,MATCH(Меню!$D$15,Рецепты!$H$6:$H$85,0)+17))</f>
        <v/>
      </c>
      <c r="G248" s="3" t="str">
        <f>IF($E248="","",INDEX(Рецепты!$M$6:$M$85,MATCH(Меню!$D$15,Рецепты!$H$6:$H$85,0)+17))</f>
        <v/>
      </c>
      <c r="H248" s="12">
        <f>IFERROR(IF(IFERROR(INDEX(Рецепты!$H$6:$H$85,MATCH(Меню!$D$15,Рецепты!$H$6:$H$85,0)+17)=Меню!$D$15,FALSE),INDEX(Рецепты!$L$6:$L$85,MATCH(Меню!$D$15,Рецепты!$H$6:$H$85,0)+17),0),0)</f>
        <v>0</v>
      </c>
      <c r="I248" s="12" t="str">
        <f>IF($F248="","",Меню!$E$15)</f>
        <v/>
      </c>
      <c r="J248" s="12">
        <f t="shared" si="3"/>
        <v>0</v>
      </c>
      <c r="K248" s="12">
        <f>IFERROR($J248/100*INDEX(Продукты!$G$6:$G$66,MATCH($E248,Продукты!$A$6:$A$66,0)),0)</f>
        <v>0</v>
      </c>
      <c r="L248" s="12">
        <f>IFERROR($J248/100*INDEX(Продукты!$H$6:$H$66,MATCH($E248,Продукты!$A$6:$A$66,0)),0)</f>
        <v>0</v>
      </c>
      <c r="M248" s="12">
        <f>IFERROR($J248/100*INDEX(Продукты!$I$6:$I$66,MATCH($E248,Продукты!$A$6:$A$66,0)),0)</f>
        <v>0</v>
      </c>
      <c r="N248" s="12">
        <f>IFERROR($J248/100*INDEX(Продукты!$J$6:$J$66,MATCH($E248,Продукты!$A$6:$A$66,0)),0)</f>
        <v>0</v>
      </c>
      <c r="O248" s="3" t="str">
        <f>IFERROR(IF(IFERROR(INDEX(Рецепты!$H$6:$H$85,MATCH(Меню!$D$15,Рецепты!$H$6:$H$85,0)+17)=Меню!$D$15,FALSE),INDEX(Рецепты!$N$6:$N$85,MATCH(Меню!$D$15,Рецепты!$H$6:$H$85,0)+17),""),"")</f>
        <v/>
      </c>
    </row>
    <row r="249" spans="1:15">
      <c r="A249" s="3" t="str">
        <f>IF($E249="","",Меню!$A$15)</f>
        <v/>
      </c>
      <c r="B249" s="3" t="str">
        <f>IF($E249="","",Меню!$B$15)</f>
        <v/>
      </c>
      <c r="C249" s="3" t="str">
        <f>IF($E249="","",Меню!$C$15)</f>
        <v/>
      </c>
      <c r="D249" s="3" t="str">
        <f>IF($E249="","",Меню!$D$15)</f>
        <v/>
      </c>
      <c r="E249" s="3" t="str">
        <f>IFERROR(IF(IFERROR(INDEX(Рецепты!$H$6:$H$85,MATCH(Меню!$D$15,Рецепты!$H$6:$H$85,0)+18)=Меню!$D$15,FALSE),INDEX(Рецепты!$J$6:$J$85,MATCH(Меню!$D$15,Рецепты!$H$6:$H$85,0)+18),""),"")</f>
        <v/>
      </c>
      <c r="F249" s="3" t="str">
        <f>IF($E249="","",INDEX(Рецепты!$K$6:$K$85,MATCH(Меню!$D$15,Рецепты!$H$6:$H$85,0)+18))</f>
        <v/>
      </c>
      <c r="G249" s="3" t="str">
        <f>IF($E249="","",INDEX(Рецепты!$M$6:$M$85,MATCH(Меню!$D$15,Рецепты!$H$6:$H$85,0)+18))</f>
        <v/>
      </c>
      <c r="H249" s="12">
        <f>IFERROR(IF(IFERROR(INDEX(Рецепты!$H$6:$H$85,MATCH(Меню!$D$15,Рецепты!$H$6:$H$85,0)+18)=Меню!$D$15,FALSE),INDEX(Рецепты!$L$6:$L$85,MATCH(Меню!$D$15,Рецепты!$H$6:$H$85,0)+18),0),0)</f>
        <v>0</v>
      </c>
      <c r="I249" s="12" t="str">
        <f>IF($F249="","",Меню!$E$15)</f>
        <v/>
      </c>
      <c r="J249" s="12">
        <f t="shared" si="3"/>
        <v>0</v>
      </c>
      <c r="K249" s="12">
        <f>IFERROR($J249/100*INDEX(Продукты!$G$6:$G$66,MATCH($E249,Продукты!$A$6:$A$66,0)),0)</f>
        <v>0</v>
      </c>
      <c r="L249" s="12">
        <f>IFERROR($J249/100*INDEX(Продукты!$H$6:$H$66,MATCH($E249,Продукты!$A$6:$A$66,0)),0)</f>
        <v>0</v>
      </c>
      <c r="M249" s="12">
        <f>IFERROR($J249/100*INDEX(Продукты!$I$6:$I$66,MATCH($E249,Продукты!$A$6:$A$66,0)),0)</f>
        <v>0</v>
      </c>
      <c r="N249" s="12">
        <f>IFERROR($J249/100*INDEX(Продукты!$J$6:$J$66,MATCH($E249,Продукты!$A$6:$A$66,0)),0)</f>
        <v>0</v>
      </c>
      <c r="O249" s="3" t="str">
        <f>IFERROR(IF(IFERROR(INDEX(Рецепты!$H$6:$H$85,MATCH(Меню!$D$15,Рецепты!$H$6:$H$85,0)+18)=Меню!$D$15,FALSE),INDEX(Рецепты!$N$6:$N$85,MATCH(Меню!$D$15,Рецепты!$H$6:$H$85,0)+18),""),"")</f>
        <v/>
      </c>
    </row>
    <row r="250" spans="1:15">
      <c r="A250" s="3" t="str">
        <f>IF($E250="","",Меню!$A$15)</f>
        <v/>
      </c>
      <c r="B250" s="3" t="str">
        <f>IF($E250="","",Меню!$B$15)</f>
        <v/>
      </c>
      <c r="C250" s="3" t="str">
        <f>IF($E250="","",Меню!$C$15)</f>
        <v/>
      </c>
      <c r="D250" s="3" t="str">
        <f>IF($E250="","",Меню!$D$15)</f>
        <v/>
      </c>
      <c r="E250" s="3" t="str">
        <f>IFERROR(IF(IFERROR(INDEX(Рецепты!$H$6:$H$85,MATCH(Меню!$D$15,Рецепты!$H$6:$H$85,0)+19)=Меню!$D$15,FALSE),INDEX(Рецепты!$J$6:$J$85,MATCH(Меню!$D$15,Рецепты!$H$6:$H$85,0)+19),""),"")</f>
        <v/>
      </c>
      <c r="F250" s="3" t="str">
        <f>IF($E250="","",INDEX(Рецепты!$K$6:$K$85,MATCH(Меню!$D$15,Рецепты!$H$6:$H$85,0)+19))</f>
        <v/>
      </c>
      <c r="G250" s="3" t="str">
        <f>IF($E250="","",INDEX(Рецепты!$M$6:$M$85,MATCH(Меню!$D$15,Рецепты!$H$6:$H$85,0)+19))</f>
        <v/>
      </c>
      <c r="H250" s="12">
        <f>IFERROR(IF(IFERROR(INDEX(Рецепты!$H$6:$H$85,MATCH(Меню!$D$15,Рецепты!$H$6:$H$85,0)+19)=Меню!$D$15,FALSE),INDEX(Рецепты!$L$6:$L$85,MATCH(Меню!$D$15,Рецепты!$H$6:$H$85,0)+19),0),0)</f>
        <v>0</v>
      </c>
      <c r="I250" s="12" t="str">
        <f>IF($F250="","",Меню!$E$15)</f>
        <v/>
      </c>
      <c r="J250" s="12">
        <f t="shared" si="3"/>
        <v>0</v>
      </c>
      <c r="K250" s="12">
        <f>IFERROR($J250/100*INDEX(Продукты!$G$6:$G$66,MATCH($E250,Продукты!$A$6:$A$66,0)),0)</f>
        <v>0</v>
      </c>
      <c r="L250" s="12">
        <f>IFERROR($J250/100*INDEX(Продукты!$H$6:$H$66,MATCH($E250,Продукты!$A$6:$A$66,0)),0)</f>
        <v>0</v>
      </c>
      <c r="M250" s="12">
        <f>IFERROR($J250/100*INDEX(Продукты!$I$6:$I$66,MATCH($E250,Продукты!$A$6:$A$66,0)),0)</f>
        <v>0</v>
      </c>
      <c r="N250" s="12">
        <f>IFERROR($J250/100*INDEX(Продукты!$J$6:$J$66,MATCH($E250,Продукты!$A$6:$A$66,0)),0)</f>
        <v>0</v>
      </c>
      <c r="O250" s="3" t="str">
        <f>IFERROR(IF(IFERROR(INDEX(Рецепты!$H$6:$H$85,MATCH(Меню!$D$15,Рецепты!$H$6:$H$85,0)+19)=Меню!$D$15,FALSE),INDEX(Рецепты!$N$6:$N$85,MATCH(Меню!$D$15,Рецепты!$H$6:$H$85,0)+19),""),"")</f>
        <v/>
      </c>
    </row>
    <row r="251" spans="1:15">
      <c r="A251" s="3" t="str">
        <f>IF($E251="","",Меню!$A$15)</f>
        <v/>
      </c>
      <c r="B251" s="3" t="str">
        <f>IF($E251="","",Меню!$B$15)</f>
        <v/>
      </c>
      <c r="C251" s="3" t="str">
        <f>IF($E251="","",Меню!$C$15)</f>
        <v/>
      </c>
      <c r="D251" s="3" t="str">
        <f>IF($E251="","",Меню!$D$15)</f>
        <v/>
      </c>
      <c r="E251" s="3" t="str">
        <f>IFERROR(IF(IFERROR(INDEX(Рецепты!$H$6:$H$85,MATCH(Меню!$D$15,Рецепты!$H$6:$H$85,0)+20)=Меню!$D$15,FALSE),INDEX(Рецепты!$J$6:$J$85,MATCH(Меню!$D$15,Рецепты!$H$6:$H$85,0)+20),""),"")</f>
        <v/>
      </c>
      <c r="F251" s="3" t="str">
        <f>IF($E251="","",INDEX(Рецепты!$K$6:$K$85,MATCH(Меню!$D$15,Рецепты!$H$6:$H$85,0)+20))</f>
        <v/>
      </c>
      <c r="G251" s="3" t="str">
        <f>IF($E251="","",INDEX(Рецепты!$M$6:$M$85,MATCH(Меню!$D$15,Рецепты!$H$6:$H$85,0)+20))</f>
        <v/>
      </c>
      <c r="H251" s="12">
        <f>IFERROR(IF(IFERROR(INDEX(Рецепты!$H$6:$H$85,MATCH(Меню!$D$15,Рецепты!$H$6:$H$85,0)+20)=Меню!$D$15,FALSE),INDEX(Рецепты!$L$6:$L$85,MATCH(Меню!$D$15,Рецепты!$H$6:$H$85,0)+20),0),0)</f>
        <v>0</v>
      </c>
      <c r="I251" s="12" t="str">
        <f>IF($F251="","",Меню!$E$15)</f>
        <v/>
      </c>
      <c r="J251" s="12">
        <f t="shared" si="3"/>
        <v>0</v>
      </c>
      <c r="K251" s="12">
        <f>IFERROR($J251/100*INDEX(Продукты!$G$6:$G$66,MATCH($E251,Продукты!$A$6:$A$66,0)),0)</f>
        <v>0</v>
      </c>
      <c r="L251" s="12">
        <f>IFERROR($J251/100*INDEX(Продукты!$H$6:$H$66,MATCH($E251,Продукты!$A$6:$A$66,0)),0)</f>
        <v>0</v>
      </c>
      <c r="M251" s="12">
        <f>IFERROR($J251/100*INDEX(Продукты!$I$6:$I$66,MATCH($E251,Продукты!$A$6:$A$66,0)),0)</f>
        <v>0</v>
      </c>
      <c r="N251" s="12">
        <f>IFERROR($J251/100*INDEX(Продукты!$J$6:$J$66,MATCH($E251,Продукты!$A$6:$A$66,0)),0)</f>
        <v>0</v>
      </c>
      <c r="O251" s="3" t="str">
        <f>IFERROR(IF(IFERROR(INDEX(Рецепты!$H$6:$H$85,MATCH(Меню!$D$15,Рецепты!$H$6:$H$85,0)+20)=Меню!$D$15,FALSE),INDEX(Рецепты!$N$6:$N$85,MATCH(Меню!$D$15,Рецепты!$H$6:$H$85,0)+20),""),"")</f>
        <v/>
      </c>
    </row>
    <row r="252" spans="1:15">
      <c r="A252" s="3" t="str">
        <f>IF($E252="","",Меню!$A$15)</f>
        <v/>
      </c>
      <c r="B252" s="3" t="str">
        <f>IF($E252="","",Меню!$B$15)</f>
        <v/>
      </c>
      <c r="C252" s="3" t="str">
        <f>IF($E252="","",Меню!$C$15)</f>
        <v/>
      </c>
      <c r="D252" s="3" t="str">
        <f>IF($E252="","",Меню!$D$15)</f>
        <v/>
      </c>
      <c r="E252" s="3" t="str">
        <f>IFERROR(IF(IFERROR(INDEX(Рецепты!$H$6:$H$85,MATCH(Меню!$D$15,Рецепты!$H$6:$H$85,0)+21)=Меню!$D$15,FALSE),INDEX(Рецепты!$J$6:$J$85,MATCH(Меню!$D$15,Рецепты!$H$6:$H$85,0)+21),""),"")</f>
        <v/>
      </c>
      <c r="F252" s="3" t="str">
        <f>IF($E252="","",INDEX(Рецепты!$K$6:$K$85,MATCH(Меню!$D$15,Рецепты!$H$6:$H$85,0)+21))</f>
        <v/>
      </c>
      <c r="G252" s="3" t="str">
        <f>IF($E252="","",INDEX(Рецепты!$M$6:$M$85,MATCH(Меню!$D$15,Рецепты!$H$6:$H$85,0)+21))</f>
        <v/>
      </c>
      <c r="H252" s="12">
        <f>IFERROR(IF(IFERROR(INDEX(Рецепты!$H$6:$H$85,MATCH(Меню!$D$15,Рецепты!$H$6:$H$85,0)+21)=Меню!$D$15,FALSE),INDEX(Рецепты!$L$6:$L$85,MATCH(Меню!$D$15,Рецепты!$H$6:$H$85,0)+21),0),0)</f>
        <v>0</v>
      </c>
      <c r="I252" s="12" t="str">
        <f>IF($F252="","",Меню!$E$15)</f>
        <v/>
      </c>
      <c r="J252" s="12">
        <f t="shared" si="3"/>
        <v>0</v>
      </c>
      <c r="K252" s="12">
        <f>IFERROR($J252/100*INDEX(Продукты!$G$6:$G$66,MATCH($E252,Продукты!$A$6:$A$66,0)),0)</f>
        <v>0</v>
      </c>
      <c r="L252" s="12">
        <f>IFERROR($J252/100*INDEX(Продукты!$H$6:$H$66,MATCH($E252,Продукты!$A$6:$A$66,0)),0)</f>
        <v>0</v>
      </c>
      <c r="M252" s="12">
        <f>IFERROR($J252/100*INDEX(Продукты!$I$6:$I$66,MATCH($E252,Продукты!$A$6:$A$66,0)),0)</f>
        <v>0</v>
      </c>
      <c r="N252" s="12">
        <f>IFERROR($J252/100*INDEX(Продукты!$J$6:$J$66,MATCH($E252,Продукты!$A$6:$A$66,0)),0)</f>
        <v>0</v>
      </c>
      <c r="O252" s="3" t="str">
        <f>IFERROR(IF(IFERROR(INDEX(Рецепты!$H$6:$H$85,MATCH(Меню!$D$15,Рецепты!$H$6:$H$85,0)+21)=Меню!$D$15,FALSE),INDEX(Рецепты!$N$6:$N$85,MATCH(Меню!$D$15,Рецепты!$H$6:$H$85,0)+21),""),"")</f>
        <v/>
      </c>
    </row>
    <row r="253" spans="1:15">
      <c r="A253" s="3" t="str">
        <f>IF($E253="","",Меню!$A$15)</f>
        <v/>
      </c>
      <c r="B253" s="3" t="str">
        <f>IF($E253="","",Меню!$B$15)</f>
        <v/>
      </c>
      <c r="C253" s="3" t="str">
        <f>IF($E253="","",Меню!$C$15)</f>
        <v/>
      </c>
      <c r="D253" s="3" t="str">
        <f>IF($E253="","",Меню!$D$15)</f>
        <v/>
      </c>
      <c r="E253" s="3" t="str">
        <f>IFERROR(IF(IFERROR(INDEX(Рецепты!$H$6:$H$85,MATCH(Меню!$D$15,Рецепты!$H$6:$H$85,0)+22)=Меню!$D$15,FALSE),INDEX(Рецепты!$J$6:$J$85,MATCH(Меню!$D$15,Рецепты!$H$6:$H$85,0)+22),""),"")</f>
        <v/>
      </c>
      <c r="F253" s="3" t="str">
        <f>IF($E253="","",INDEX(Рецепты!$K$6:$K$85,MATCH(Меню!$D$15,Рецепты!$H$6:$H$85,0)+22))</f>
        <v/>
      </c>
      <c r="G253" s="3" t="str">
        <f>IF($E253="","",INDEX(Рецепты!$M$6:$M$85,MATCH(Меню!$D$15,Рецепты!$H$6:$H$85,0)+22))</f>
        <v/>
      </c>
      <c r="H253" s="12">
        <f>IFERROR(IF(IFERROR(INDEX(Рецепты!$H$6:$H$85,MATCH(Меню!$D$15,Рецепты!$H$6:$H$85,0)+22)=Меню!$D$15,FALSE),INDEX(Рецепты!$L$6:$L$85,MATCH(Меню!$D$15,Рецепты!$H$6:$H$85,0)+22),0),0)</f>
        <v>0</v>
      </c>
      <c r="I253" s="12" t="str">
        <f>IF($F253="","",Меню!$E$15)</f>
        <v/>
      </c>
      <c r="J253" s="12">
        <f t="shared" si="3"/>
        <v>0</v>
      </c>
      <c r="K253" s="12">
        <f>IFERROR($J253/100*INDEX(Продукты!$G$6:$G$66,MATCH($E253,Продукты!$A$6:$A$66,0)),0)</f>
        <v>0</v>
      </c>
      <c r="L253" s="12">
        <f>IFERROR($J253/100*INDEX(Продукты!$H$6:$H$66,MATCH($E253,Продукты!$A$6:$A$66,0)),0)</f>
        <v>0</v>
      </c>
      <c r="M253" s="12">
        <f>IFERROR($J253/100*INDEX(Продукты!$I$6:$I$66,MATCH($E253,Продукты!$A$6:$A$66,0)),0)</f>
        <v>0</v>
      </c>
      <c r="N253" s="12">
        <f>IFERROR($J253/100*INDEX(Продукты!$J$6:$J$66,MATCH($E253,Продукты!$A$6:$A$66,0)),0)</f>
        <v>0</v>
      </c>
      <c r="O253" s="3" t="str">
        <f>IFERROR(IF(IFERROR(INDEX(Рецепты!$H$6:$H$85,MATCH(Меню!$D$15,Рецепты!$H$6:$H$85,0)+22)=Меню!$D$15,FALSE),INDEX(Рецепты!$N$6:$N$85,MATCH(Меню!$D$15,Рецепты!$H$6:$H$85,0)+22),""),"")</f>
        <v/>
      </c>
    </row>
    <row r="254" spans="1:15">
      <c r="A254" s="3" t="str">
        <f>IF($E254="","",Меню!$A$15)</f>
        <v/>
      </c>
      <c r="B254" s="3" t="str">
        <f>IF($E254="","",Меню!$B$15)</f>
        <v/>
      </c>
      <c r="C254" s="3" t="str">
        <f>IF($E254="","",Меню!$C$15)</f>
        <v/>
      </c>
      <c r="D254" s="3" t="str">
        <f>IF($E254="","",Меню!$D$15)</f>
        <v/>
      </c>
      <c r="E254" s="3" t="str">
        <f>IFERROR(IF(IFERROR(INDEX(Рецепты!$H$6:$H$85,MATCH(Меню!$D$15,Рецепты!$H$6:$H$85,0)+23)=Меню!$D$15,FALSE),INDEX(Рецепты!$J$6:$J$85,MATCH(Меню!$D$15,Рецепты!$H$6:$H$85,0)+23),""),"")</f>
        <v/>
      </c>
      <c r="F254" s="3" t="str">
        <f>IF($E254="","",INDEX(Рецепты!$K$6:$K$85,MATCH(Меню!$D$15,Рецепты!$H$6:$H$85,0)+23))</f>
        <v/>
      </c>
      <c r="G254" s="3" t="str">
        <f>IF($E254="","",INDEX(Рецепты!$M$6:$M$85,MATCH(Меню!$D$15,Рецепты!$H$6:$H$85,0)+23))</f>
        <v/>
      </c>
      <c r="H254" s="12">
        <f>IFERROR(IF(IFERROR(INDEX(Рецепты!$H$6:$H$85,MATCH(Меню!$D$15,Рецепты!$H$6:$H$85,0)+23)=Меню!$D$15,FALSE),INDEX(Рецепты!$L$6:$L$85,MATCH(Меню!$D$15,Рецепты!$H$6:$H$85,0)+23),0),0)</f>
        <v>0</v>
      </c>
      <c r="I254" s="12" t="str">
        <f>IF($F254="","",Меню!$E$15)</f>
        <v/>
      </c>
      <c r="J254" s="12">
        <f t="shared" si="3"/>
        <v>0</v>
      </c>
      <c r="K254" s="12">
        <f>IFERROR($J254/100*INDEX(Продукты!$G$6:$G$66,MATCH($E254,Продукты!$A$6:$A$66,0)),0)</f>
        <v>0</v>
      </c>
      <c r="L254" s="12">
        <f>IFERROR($J254/100*INDEX(Продукты!$H$6:$H$66,MATCH($E254,Продукты!$A$6:$A$66,0)),0)</f>
        <v>0</v>
      </c>
      <c r="M254" s="12">
        <f>IFERROR($J254/100*INDEX(Продукты!$I$6:$I$66,MATCH($E254,Продукты!$A$6:$A$66,0)),0)</f>
        <v>0</v>
      </c>
      <c r="N254" s="12">
        <f>IFERROR($J254/100*INDEX(Продукты!$J$6:$J$66,MATCH($E254,Продукты!$A$6:$A$66,0)),0)</f>
        <v>0</v>
      </c>
      <c r="O254" s="3" t="str">
        <f>IFERROR(IF(IFERROR(INDEX(Рецепты!$H$6:$H$85,MATCH(Меню!$D$15,Рецепты!$H$6:$H$85,0)+23)=Меню!$D$15,FALSE),INDEX(Рецепты!$N$6:$N$85,MATCH(Меню!$D$15,Рецепты!$H$6:$H$85,0)+23),""),"")</f>
        <v/>
      </c>
    </row>
    <row r="255" spans="1:15">
      <c r="A255" s="3" t="str">
        <f>IF($E255="","",Меню!$A$15)</f>
        <v/>
      </c>
      <c r="B255" s="3" t="str">
        <f>IF($E255="","",Меню!$B$15)</f>
        <v/>
      </c>
      <c r="C255" s="3" t="str">
        <f>IF($E255="","",Меню!$C$15)</f>
        <v/>
      </c>
      <c r="D255" s="3" t="str">
        <f>IF($E255="","",Меню!$D$15)</f>
        <v/>
      </c>
      <c r="E255" s="3" t="str">
        <f>IFERROR(IF(IFERROR(INDEX(Рецепты!$H$6:$H$85,MATCH(Меню!$D$15,Рецепты!$H$6:$H$85,0)+24)=Меню!$D$15,FALSE),INDEX(Рецепты!$J$6:$J$85,MATCH(Меню!$D$15,Рецепты!$H$6:$H$85,0)+24),""),"")</f>
        <v/>
      </c>
      <c r="F255" s="3" t="str">
        <f>IF($E255="","",INDEX(Рецепты!$K$6:$K$85,MATCH(Меню!$D$15,Рецепты!$H$6:$H$85,0)+24))</f>
        <v/>
      </c>
      <c r="G255" s="3" t="str">
        <f>IF($E255="","",INDEX(Рецепты!$M$6:$M$85,MATCH(Меню!$D$15,Рецепты!$H$6:$H$85,0)+24))</f>
        <v/>
      </c>
      <c r="H255" s="12">
        <f>IFERROR(IF(IFERROR(INDEX(Рецепты!$H$6:$H$85,MATCH(Меню!$D$15,Рецепты!$H$6:$H$85,0)+24)=Меню!$D$15,FALSE),INDEX(Рецепты!$L$6:$L$85,MATCH(Меню!$D$15,Рецепты!$H$6:$H$85,0)+24),0),0)</f>
        <v>0</v>
      </c>
      <c r="I255" s="12" t="str">
        <f>IF($F255="","",Меню!$E$15)</f>
        <v/>
      </c>
      <c r="J255" s="12">
        <f t="shared" si="3"/>
        <v>0</v>
      </c>
      <c r="K255" s="12">
        <f>IFERROR($J255/100*INDEX(Продукты!$G$6:$G$66,MATCH($E255,Продукты!$A$6:$A$66,0)),0)</f>
        <v>0</v>
      </c>
      <c r="L255" s="12">
        <f>IFERROR($J255/100*INDEX(Продукты!$H$6:$H$66,MATCH($E255,Продукты!$A$6:$A$66,0)),0)</f>
        <v>0</v>
      </c>
      <c r="M255" s="12">
        <f>IFERROR($J255/100*INDEX(Продукты!$I$6:$I$66,MATCH($E255,Продукты!$A$6:$A$66,0)),0)</f>
        <v>0</v>
      </c>
      <c r="N255" s="12">
        <f>IFERROR($J255/100*INDEX(Продукты!$J$6:$J$66,MATCH($E255,Продукты!$A$6:$A$66,0)),0)</f>
        <v>0</v>
      </c>
      <c r="O255" s="3" t="str">
        <f>IFERROR(IF(IFERROR(INDEX(Рецепты!$H$6:$H$85,MATCH(Меню!$D$15,Рецепты!$H$6:$H$85,0)+24)=Меню!$D$15,FALSE),INDEX(Рецепты!$N$6:$N$85,MATCH(Меню!$D$15,Рецепты!$H$6:$H$85,0)+24),""),"")</f>
        <v/>
      </c>
    </row>
    <row r="256" spans="1:15">
      <c r="A256" s="3" t="str">
        <f>IF($E256="","",Меню!$A$16)</f>
        <v/>
      </c>
      <c r="B256" s="3" t="str">
        <f>IF($E256="","",Меню!$B$16)</f>
        <v/>
      </c>
      <c r="C256" s="3" t="str">
        <f>IF($E256="","",Меню!$C$16)</f>
        <v/>
      </c>
      <c r="D256" s="3" t="str">
        <f>IF($E256="","",Меню!$D$16)</f>
        <v/>
      </c>
      <c r="E256" s="3" t="str">
        <f>IFERROR(IF(IFERROR(INDEX(Рецепты!$H$6:$H$85,MATCH(Меню!$D$16,Рецепты!$H$6:$H$85,0)+0)=Меню!$D$16,FALSE),INDEX(Рецепты!$J$6:$J$85,MATCH(Меню!$D$16,Рецепты!$H$6:$H$85,0)+0),""),"")</f>
        <v/>
      </c>
      <c r="F256" s="3" t="str">
        <f>IF($E256="","",INDEX(Рецепты!$K$6:$K$85,MATCH(Меню!$D$16,Рецепты!$H$6:$H$85,0)+0))</f>
        <v/>
      </c>
      <c r="G256" s="3" t="str">
        <f>IF($E256="","",INDEX(Рецепты!$M$6:$M$85,MATCH(Меню!$D$16,Рецепты!$H$6:$H$85,0)+0))</f>
        <v/>
      </c>
      <c r="H256" s="12">
        <f>IFERROR(IF(IFERROR(INDEX(Рецепты!$H$6:$H$85,MATCH(Меню!$D$16,Рецепты!$H$6:$H$85,0)+0)=Меню!$D$16,FALSE),INDEX(Рецепты!$L$6:$L$85,MATCH(Меню!$D$16,Рецепты!$H$6:$H$85,0)+0),0),0)</f>
        <v>0</v>
      </c>
      <c r="I256" s="12" t="str">
        <f>IF($F256="","",Меню!$E$16)</f>
        <v/>
      </c>
      <c r="J256" s="12">
        <f t="shared" si="3"/>
        <v>0</v>
      </c>
      <c r="K256" s="12">
        <f>IFERROR($J256/100*INDEX(Продукты!$G$6:$G$66,MATCH($E256,Продукты!$A$6:$A$66,0)),0)</f>
        <v>0</v>
      </c>
      <c r="L256" s="12">
        <f>IFERROR($J256/100*INDEX(Продукты!$H$6:$H$66,MATCH($E256,Продукты!$A$6:$A$66,0)),0)</f>
        <v>0</v>
      </c>
      <c r="M256" s="12">
        <f>IFERROR($J256/100*INDEX(Продукты!$I$6:$I$66,MATCH($E256,Продукты!$A$6:$A$66,0)),0)</f>
        <v>0</v>
      </c>
      <c r="N256" s="12">
        <f>IFERROR($J256/100*INDEX(Продукты!$J$6:$J$66,MATCH($E256,Продукты!$A$6:$A$66,0)),0)</f>
        <v>0</v>
      </c>
      <c r="O256" s="3" t="str">
        <f>IFERROR(IF(IFERROR(INDEX(Рецепты!$H$6:$H$85,MATCH(Меню!$D$16,Рецепты!$H$6:$H$85,0)+0)=Меню!$D$16,FALSE),INDEX(Рецепты!$N$6:$N$85,MATCH(Меню!$D$16,Рецепты!$H$6:$H$85,0)+0),""),"")</f>
        <v/>
      </c>
    </row>
    <row r="257" spans="1:15">
      <c r="A257" s="3" t="str">
        <f>IF($E257="","",Меню!$A$16)</f>
        <v/>
      </c>
      <c r="B257" s="3" t="str">
        <f>IF($E257="","",Меню!$B$16)</f>
        <v/>
      </c>
      <c r="C257" s="3" t="str">
        <f>IF($E257="","",Меню!$C$16)</f>
        <v/>
      </c>
      <c r="D257" s="3" t="str">
        <f>IF($E257="","",Меню!$D$16)</f>
        <v/>
      </c>
      <c r="E257" s="3" t="str">
        <f>IFERROR(IF(IFERROR(INDEX(Рецепты!$H$6:$H$85,MATCH(Меню!$D$16,Рецепты!$H$6:$H$85,0)+1)=Меню!$D$16,FALSE),INDEX(Рецепты!$J$6:$J$85,MATCH(Меню!$D$16,Рецепты!$H$6:$H$85,0)+1),""),"")</f>
        <v/>
      </c>
      <c r="F257" s="3" t="str">
        <f>IF($E257="","",INDEX(Рецепты!$K$6:$K$85,MATCH(Меню!$D$16,Рецепты!$H$6:$H$85,0)+1))</f>
        <v/>
      </c>
      <c r="G257" s="3" t="str">
        <f>IF($E257="","",INDEX(Рецепты!$M$6:$M$85,MATCH(Меню!$D$16,Рецепты!$H$6:$H$85,0)+1))</f>
        <v/>
      </c>
      <c r="H257" s="12">
        <f>IFERROR(IF(IFERROR(INDEX(Рецепты!$H$6:$H$85,MATCH(Меню!$D$16,Рецепты!$H$6:$H$85,0)+1)=Меню!$D$16,FALSE),INDEX(Рецепты!$L$6:$L$85,MATCH(Меню!$D$16,Рецепты!$H$6:$H$85,0)+1),0),0)</f>
        <v>0</v>
      </c>
      <c r="I257" s="12" t="str">
        <f>IF($F257="","",Меню!$E$16)</f>
        <v/>
      </c>
      <c r="J257" s="12">
        <f t="shared" si="3"/>
        <v>0</v>
      </c>
      <c r="K257" s="12">
        <f>IFERROR($J257/100*INDEX(Продукты!$G$6:$G$66,MATCH($E257,Продукты!$A$6:$A$66,0)),0)</f>
        <v>0</v>
      </c>
      <c r="L257" s="12">
        <f>IFERROR($J257/100*INDEX(Продукты!$H$6:$H$66,MATCH($E257,Продукты!$A$6:$A$66,0)),0)</f>
        <v>0</v>
      </c>
      <c r="M257" s="12">
        <f>IFERROR($J257/100*INDEX(Продукты!$I$6:$I$66,MATCH($E257,Продукты!$A$6:$A$66,0)),0)</f>
        <v>0</v>
      </c>
      <c r="N257" s="12">
        <f>IFERROR($J257/100*INDEX(Продукты!$J$6:$J$66,MATCH($E257,Продукты!$A$6:$A$66,0)),0)</f>
        <v>0</v>
      </c>
      <c r="O257" s="3" t="str">
        <f>IFERROR(IF(IFERROR(INDEX(Рецепты!$H$6:$H$85,MATCH(Меню!$D$16,Рецепты!$H$6:$H$85,0)+1)=Меню!$D$16,FALSE),INDEX(Рецепты!$N$6:$N$85,MATCH(Меню!$D$16,Рецепты!$H$6:$H$85,0)+1),""),"")</f>
        <v/>
      </c>
    </row>
    <row r="258" spans="1:15">
      <c r="A258" s="3" t="str">
        <f>IF($E258="","",Меню!$A$16)</f>
        <v/>
      </c>
      <c r="B258" s="3" t="str">
        <f>IF($E258="","",Меню!$B$16)</f>
        <v/>
      </c>
      <c r="C258" s="3" t="str">
        <f>IF($E258="","",Меню!$C$16)</f>
        <v/>
      </c>
      <c r="D258" s="3" t="str">
        <f>IF($E258="","",Меню!$D$16)</f>
        <v/>
      </c>
      <c r="E258" s="3" t="str">
        <f>IFERROR(IF(IFERROR(INDEX(Рецепты!$H$6:$H$85,MATCH(Меню!$D$16,Рецепты!$H$6:$H$85,0)+2)=Меню!$D$16,FALSE),INDEX(Рецепты!$J$6:$J$85,MATCH(Меню!$D$16,Рецепты!$H$6:$H$85,0)+2),""),"")</f>
        <v/>
      </c>
      <c r="F258" s="3" t="str">
        <f>IF($E258="","",INDEX(Рецепты!$K$6:$K$85,MATCH(Меню!$D$16,Рецепты!$H$6:$H$85,0)+2))</f>
        <v/>
      </c>
      <c r="G258" s="3" t="str">
        <f>IF($E258="","",INDEX(Рецепты!$M$6:$M$85,MATCH(Меню!$D$16,Рецепты!$H$6:$H$85,0)+2))</f>
        <v/>
      </c>
      <c r="H258" s="12">
        <f>IFERROR(IF(IFERROR(INDEX(Рецепты!$H$6:$H$85,MATCH(Меню!$D$16,Рецепты!$H$6:$H$85,0)+2)=Меню!$D$16,FALSE),INDEX(Рецепты!$L$6:$L$85,MATCH(Меню!$D$16,Рецепты!$H$6:$H$85,0)+2),0),0)</f>
        <v>0</v>
      </c>
      <c r="I258" s="12" t="str">
        <f>IF($F258="","",Меню!$E$16)</f>
        <v/>
      </c>
      <c r="J258" s="12">
        <f t="shared" si="3"/>
        <v>0</v>
      </c>
      <c r="K258" s="12">
        <f>IFERROR($J258/100*INDEX(Продукты!$G$6:$G$66,MATCH($E258,Продукты!$A$6:$A$66,0)),0)</f>
        <v>0</v>
      </c>
      <c r="L258" s="12">
        <f>IFERROR($J258/100*INDEX(Продукты!$H$6:$H$66,MATCH($E258,Продукты!$A$6:$A$66,0)),0)</f>
        <v>0</v>
      </c>
      <c r="M258" s="12">
        <f>IFERROR($J258/100*INDEX(Продукты!$I$6:$I$66,MATCH($E258,Продукты!$A$6:$A$66,0)),0)</f>
        <v>0</v>
      </c>
      <c r="N258" s="12">
        <f>IFERROR($J258/100*INDEX(Продукты!$J$6:$J$66,MATCH($E258,Продукты!$A$6:$A$66,0)),0)</f>
        <v>0</v>
      </c>
      <c r="O258" s="3" t="str">
        <f>IFERROR(IF(IFERROR(INDEX(Рецепты!$H$6:$H$85,MATCH(Меню!$D$16,Рецепты!$H$6:$H$85,0)+2)=Меню!$D$16,FALSE),INDEX(Рецепты!$N$6:$N$85,MATCH(Меню!$D$16,Рецепты!$H$6:$H$85,0)+2),""),"")</f>
        <v/>
      </c>
    </row>
    <row r="259" spans="1:15">
      <c r="A259" s="3" t="str">
        <f>IF($E259="","",Меню!$A$16)</f>
        <v/>
      </c>
      <c r="B259" s="3" t="str">
        <f>IF($E259="","",Меню!$B$16)</f>
        <v/>
      </c>
      <c r="C259" s="3" t="str">
        <f>IF($E259="","",Меню!$C$16)</f>
        <v/>
      </c>
      <c r="D259" s="3" t="str">
        <f>IF($E259="","",Меню!$D$16)</f>
        <v/>
      </c>
      <c r="E259" s="3" t="str">
        <f>IFERROR(IF(IFERROR(INDEX(Рецепты!$H$6:$H$85,MATCH(Меню!$D$16,Рецепты!$H$6:$H$85,0)+3)=Меню!$D$16,FALSE),INDEX(Рецепты!$J$6:$J$85,MATCH(Меню!$D$16,Рецепты!$H$6:$H$85,0)+3),""),"")</f>
        <v/>
      </c>
      <c r="F259" s="3" t="str">
        <f>IF($E259="","",INDEX(Рецепты!$K$6:$K$85,MATCH(Меню!$D$16,Рецепты!$H$6:$H$85,0)+3))</f>
        <v/>
      </c>
      <c r="G259" s="3" t="str">
        <f>IF($E259="","",INDEX(Рецепты!$M$6:$M$85,MATCH(Меню!$D$16,Рецепты!$H$6:$H$85,0)+3))</f>
        <v/>
      </c>
      <c r="H259" s="12">
        <f>IFERROR(IF(IFERROR(INDEX(Рецепты!$H$6:$H$85,MATCH(Меню!$D$16,Рецепты!$H$6:$H$85,0)+3)=Меню!$D$16,FALSE),INDEX(Рецепты!$L$6:$L$85,MATCH(Меню!$D$16,Рецепты!$H$6:$H$85,0)+3),0),0)</f>
        <v>0</v>
      </c>
      <c r="I259" s="12" t="str">
        <f>IF($F259="","",Меню!$E$16)</f>
        <v/>
      </c>
      <c r="J259" s="12">
        <f t="shared" si="3"/>
        <v>0</v>
      </c>
      <c r="K259" s="12">
        <f>IFERROR($J259/100*INDEX(Продукты!$G$6:$G$66,MATCH($E259,Продукты!$A$6:$A$66,0)),0)</f>
        <v>0</v>
      </c>
      <c r="L259" s="12">
        <f>IFERROR($J259/100*INDEX(Продукты!$H$6:$H$66,MATCH($E259,Продукты!$A$6:$A$66,0)),0)</f>
        <v>0</v>
      </c>
      <c r="M259" s="12">
        <f>IFERROR($J259/100*INDEX(Продукты!$I$6:$I$66,MATCH($E259,Продукты!$A$6:$A$66,0)),0)</f>
        <v>0</v>
      </c>
      <c r="N259" s="12">
        <f>IFERROR($J259/100*INDEX(Продукты!$J$6:$J$66,MATCH($E259,Продукты!$A$6:$A$66,0)),0)</f>
        <v>0</v>
      </c>
      <c r="O259" s="3" t="str">
        <f>IFERROR(IF(IFERROR(INDEX(Рецепты!$H$6:$H$85,MATCH(Меню!$D$16,Рецепты!$H$6:$H$85,0)+3)=Меню!$D$16,FALSE),INDEX(Рецепты!$N$6:$N$85,MATCH(Меню!$D$16,Рецепты!$H$6:$H$85,0)+3),""),"")</f>
        <v/>
      </c>
    </row>
    <row r="260" spans="1:15">
      <c r="A260" s="3" t="str">
        <f>IF($E260="","",Меню!$A$16)</f>
        <v/>
      </c>
      <c r="B260" s="3" t="str">
        <f>IF($E260="","",Меню!$B$16)</f>
        <v/>
      </c>
      <c r="C260" s="3" t="str">
        <f>IF($E260="","",Меню!$C$16)</f>
        <v/>
      </c>
      <c r="D260" s="3" t="str">
        <f>IF($E260="","",Меню!$D$16)</f>
        <v/>
      </c>
      <c r="E260" s="3" t="str">
        <f>IFERROR(IF(IFERROR(INDEX(Рецепты!$H$6:$H$85,MATCH(Меню!$D$16,Рецепты!$H$6:$H$85,0)+4)=Меню!$D$16,FALSE),INDEX(Рецепты!$J$6:$J$85,MATCH(Меню!$D$16,Рецепты!$H$6:$H$85,0)+4),""),"")</f>
        <v/>
      </c>
      <c r="F260" s="3" t="str">
        <f>IF($E260="","",INDEX(Рецепты!$K$6:$K$85,MATCH(Меню!$D$16,Рецепты!$H$6:$H$85,0)+4))</f>
        <v/>
      </c>
      <c r="G260" s="3" t="str">
        <f>IF($E260="","",INDEX(Рецепты!$M$6:$M$85,MATCH(Меню!$D$16,Рецепты!$H$6:$H$85,0)+4))</f>
        <v/>
      </c>
      <c r="H260" s="12">
        <f>IFERROR(IF(IFERROR(INDEX(Рецепты!$H$6:$H$85,MATCH(Меню!$D$16,Рецепты!$H$6:$H$85,0)+4)=Меню!$D$16,FALSE),INDEX(Рецепты!$L$6:$L$85,MATCH(Меню!$D$16,Рецепты!$H$6:$H$85,0)+4),0),0)</f>
        <v>0</v>
      </c>
      <c r="I260" s="12" t="str">
        <f>IF($F260="","",Меню!$E$16)</f>
        <v/>
      </c>
      <c r="J260" s="12">
        <f t="shared" si="3"/>
        <v>0</v>
      </c>
      <c r="K260" s="12">
        <f>IFERROR($J260/100*INDEX(Продукты!$G$6:$G$66,MATCH($E260,Продукты!$A$6:$A$66,0)),0)</f>
        <v>0</v>
      </c>
      <c r="L260" s="12">
        <f>IFERROR($J260/100*INDEX(Продукты!$H$6:$H$66,MATCH($E260,Продукты!$A$6:$A$66,0)),0)</f>
        <v>0</v>
      </c>
      <c r="M260" s="12">
        <f>IFERROR($J260/100*INDEX(Продукты!$I$6:$I$66,MATCH($E260,Продукты!$A$6:$A$66,0)),0)</f>
        <v>0</v>
      </c>
      <c r="N260" s="12">
        <f>IFERROR($J260/100*INDEX(Продукты!$J$6:$J$66,MATCH($E260,Продукты!$A$6:$A$66,0)),0)</f>
        <v>0</v>
      </c>
      <c r="O260" s="3" t="str">
        <f>IFERROR(IF(IFERROR(INDEX(Рецепты!$H$6:$H$85,MATCH(Меню!$D$16,Рецепты!$H$6:$H$85,0)+4)=Меню!$D$16,FALSE),INDEX(Рецепты!$N$6:$N$85,MATCH(Меню!$D$16,Рецепты!$H$6:$H$85,0)+4),""),"")</f>
        <v/>
      </c>
    </row>
    <row r="261" spans="1:15">
      <c r="A261" s="3" t="str">
        <f>IF($E261="","",Меню!$A$16)</f>
        <v/>
      </c>
      <c r="B261" s="3" t="str">
        <f>IF($E261="","",Меню!$B$16)</f>
        <v/>
      </c>
      <c r="C261" s="3" t="str">
        <f>IF($E261="","",Меню!$C$16)</f>
        <v/>
      </c>
      <c r="D261" s="3" t="str">
        <f>IF($E261="","",Меню!$D$16)</f>
        <v/>
      </c>
      <c r="E261" s="3" t="str">
        <f>IFERROR(IF(IFERROR(INDEX(Рецепты!$H$6:$H$85,MATCH(Меню!$D$16,Рецепты!$H$6:$H$85,0)+5)=Меню!$D$16,FALSE),INDEX(Рецепты!$J$6:$J$85,MATCH(Меню!$D$16,Рецепты!$H$6:$H$85,0)+5),""),"")</f>
        <v/>
      </c>
      <c r="F261" s="3" t="str">
        <f>IF($E261="","",INDEX(Рецепты!$K$6:$K$85,MATCH(Меню!$D$16,Рецепты!$H$6:$H$85,0)+5))</f>
        <v/>
      </c>
      <c r="G261" s="3" t="str">
        <f>IF($E261="","",INDEX(Рецепты!$M$6:$M$85,MATCH(Меню!$D$16,Рецепты!$H$6:$H$85,0)+5))</f>
        <v/>
      </c>
      <c r="H261" s="12">
        <f>IFERROR(IF(IFERROR(INDEX(Рецепты!$H$6:$H$85,MATCH(Меню!$D$16,Рецепты!$H$6:$H$85,0)+5)=Меню!$D$16,FALSE),INDEX(Рецепты!$L$6:$L$85,MATCH(Меню!$D$16,Рецепты!$H$6:$H$85,0)+5),0),0)</f>
        <v>0</v>
      </c>
      <c r="I261" s="12" t="str">
        <f>IF($F261="","",Меню!$E$16)</f>
        <v/>
      </c>
      <c r="J261" s="12">
        <f t="shared" si="3"/>
        <v>0</v>
      </c>
      <c r="K261" s="12">
        <f>IFERROR($J261/100*INDEX(Продукты!$G$6:$G$66,MATCH($E261,Продукты!$A$6:$A$66,0)),0)</f>
        <v>0</v>
      </c>
      <c r="L261" s="12">
        <f>IFERROR($J261/100*INDEX(Продукты!$H$6:$H$66,MATCH($E261,Продукты!$A$6:$A$66,0)),0)</f>
        <v>0</v>
      </c>
      <c r="M261" s="12">
        <f>IFERROR($J261/100*INDEX(Продукты!$I$6:$I$66,MATCH($E261,Продукты!$A$6:$A$66,0)),0)</f>
        <v>0</v>
      </c>
      <c r="N261" s="12">
        <f>IFERROR($J261/100*INDEX(Продукты!$J$6:$J$66,MATCH($E261,Продукты!$A$6:$A$66,0)),0)</f>
        <v>0</v>
      </c>
      <c r="O261" s="3" t="str">
        <f>IFERROR(IF(IFERROR(INDEX(Рецепты!$H$6:$H$85,MATCH(Меню!$D$16,Рецепты!$H$6:$H$85,0)+5)=Меню!$D$16,FALSE),INDEX(Рецепты!$N$6:$N$85,MATCH(Меню!$D$16,Рецепты!$H$6:$H$85,0)+5),""),"")</f>
        <v/>
      </c>
    </row>
    <row r="262" spans="1:15">
      <c r="A262" s="3" t="str">
        <f>IF($E262="","",Меню!$A$16)</f>
        <v/>
      </c>
      <c r="B262" s="3" t="str">
        <f>IF($E262="","",Меню!$B$16)</f>
        <v/>
      </c>
      <c r="C262" s="3" t="str">
        <f>IF($E262="","",Меню!$C$16)</f>
        <v/>
      </c>
      <c r="D262" s="3" t="str">
        <f>IF($E262="","",Меню!$D$16)</f>
        <v/>
      </c>
      <c r="E262" s="3" t="str">
        <f>IFERROR(IF(IFERROR(INDEX(Рецепты!$H$6:$H$85,MATCH(Меню!$D$16,Рецепты!$H$6:$H$85,0)+6)=Меню!$D$16,FALSE),INDEX(Рецепты!$J$6:$J$85,MATCH(Меню!$D$16,Рецепты!$H$6:$H$85,0)+6),""),"")</f>
        <v/>
      </c>
      <c r="F262" s="3" t="str">
        <f>IF($E262="","",INDEX(Рецепты!$K$6:$K$85,MATCH(Меню!$D$16,Рецепты!$H$6:$H$85,0)+6))</f>
        <v/>
      </c>
      <c r="G262" s="3" t="str">
        <f>IF($E262="","",INDEX(Рецепты!$M$6:$M$85,MATCH(Меню!$D$16,Рецепты!$H$6:$H$85,0)+6))</f>
        <v/>
      </c>
      <c r="H262" s="12">
        <f>IFERROR(IF(IFERROR(INDEX(Рецепты!$H$6:$H$85,MATCH(Меню!$D$16,Рецепты!$H$6:$H$85,0)+6)=Меню!$D$16,FALSE),INDEX(Рецепты!$L$6:$L$85,MATCH(Меню!$D$16,Рецепты!$H$6:$H$85,0)+6),0),0)</f>
        <v>0</v>
      </c>
      <c r="I262" s="12" t="str">
        <f>IF($F262="","",Меню!$E$16)</f>
        <v/>
      </c>
      <c r="J262" s="12">
        <f t="shared" ref="J262:J325" si="4">IFERROR($H262*$I262,0)</f>
        <v>0</v>
      </c>
      <c r="K262" s="12">
        <f>IFERROR($J262/100*INDEX(Продукты!$G$6:$G$66,MATCH($E262,Продукты!$A$6:$A$66,0)),0)</f>
        <v>0</v>
      </c>
      <c r="L262" s="12">
        <f>IFERROR($J262/100*INDEX(Продукты!$H$6:$H$66,MATCH($E262,Продукты!$A$6:$A$66,0)),0)</f>
        <v>0</v>
      </c>
      <c r="M262" s="12">
        <f>IFERROR($J262/100*INDEX(Продукты!$I$6:$I$66,MATCH($E262,Продукты!$A$6:$A$66,0)),0)</f>
        <v>0</v>
      </c>
      <c r="N262" s="12">
        <f>IFERROR($J262/100*INDEX(Продукты!$J$6:$J$66,MATCH($E262,Продукты!$A$6:$A$66,0)),0)</f>
        <v>0</v>
      </c>
      <c r="O262" s="3" t="str">
        <f>IFERROR(IF(IFERROR(INDEX(Рецепты!$H$6:$H$85,MATCH(Меню!$D$16,Рецепты!$H$6:$H$85,0)+6)=Меню!$D$16,FALSE),INDEX(Рецепты!$N$6:$N$85,MATCH(Меню!$D$16,Рецепты!$H$6:$H$85,0)+6),""),"")</f>
        <v/>
      </c>
    </row>
    <row r="263" spans="1:15">
      <c r="A263" s="3" t="str">
        <f>IF($E263="","",Меню!$A$16)</f>
        <v/>
      </c>
      <c r="B263" s="3" t="str">
        <f>IF($E263="","",Меню!$B$16)</f>
        <v/>
      </c>
      <c r="C263" s="3" t="str">
        <f>IF($E263="","",Меню!$C$16)</f>
        <v/>
      </c>
      <c r="D263" s="3" t="str">
        <f>IF($E263="","",Меню!$D$16)</f>
        <v/>
      </c>
      <c r="E263" s="3" t="str">
        <f>IFERROR(IF(IFERROR(INDEX(Рецепты!$H$6:$H$85,MATCH(Меню!$D$16,Рецепты!$H$6:$H$85,0)+7)=Меню!$D$16,FALSE),INDEX(Рецепты!$J$6:$J$85,MATCH(Меню!$D$16,Рецепты!$H$6:$H$85,0)+7),""),"")</f>
        <v/>
      </c>
      <c r="F263" s="3" t="str">
        <f>IF($E263="","",INDEX(Рецепты!$K$6:$K$85,MATCH(Меню!$D$16,Рецепты!$H$6:$H$85,0)+7))</f>
        <v/>
      </c>
      <c r="G263" s="3" t="str">
        <f>IF($E263="","",INDEX(Рецепты!$M$6:$M$85,MATCH(Меню!$D$16,Рецепты!$H$6:$H$85,0)+7))</f>
        <v/>
      </c>
      <c r="H263" s="12">
        <f>IFERROR(IF(IFERROR(INDEX(Рецепты!$H$6:$H$85,MATCH(Меню!$D$16,Рецепты!$H$6:$H$85,0)+7)=Меню!$D$16,FALSE),INDEX(Рецепты!$L$6:$L$85,MATCH(Меню!$D$16,Рецепты!$H$6:$H$85,0)+7),0),0)</f>
        <v>0</v>
      </c>
      <c r="I263" s="12" t="str">
        <f>IF($F263="","",Меню!$E$16)</f>
        <v/>
      </c>
      <c r="J263" s="12">
        <f t="shared" si="4"/>
        <v>0</v>
      </c>
      <c r="K263" s="12">
        <f>IFERROR($J263/100*INDEX(Продукты!$G$6:$G$66,MATCH($E263,Продукты!$A$6:$A$66,0)),0)</f>
        <v>0</v>
      </c>
      <c r="L263" s="12">
        <f>IFERROR($J263/100*INDEX(Продукты!$H$6:$H$66,MATCH($E263,Продукты!$A$6:$A$66,0)),0)</f>
        <v>0</v>
      </c>
      <c r="M263" s="12">
        <f>IFERROR($J263/100*INDEX(Продукты!$I$6:$I$66,MATCH($E263,Продукты!$A$6:$A$66,0)),0)</f>
        <v>0</v>
      </c>
      <c r="N263" s="12">
        <f>IFERROR($J263/100*INDEX(Продукты!$J$6:$J$66,MATCH($E263,Продукты!$A$6:$A$66,0)),0)</f>
        <v>0</v>
      </c>
      <c r="O263" s="3" t="str">
        <f>IFERROR(IF(IFERROR(INDEX(Рецепты!$H$6:$H$85,MATCH(Меню!$D$16,Рецепты!$H$6:$H$85,0)+7)=Меню!$D$16,FALSE),INDEX(Рецепты!$N$6:$N$85,MATCH(Меню!$D$16,Рецепты!$H$6:$H$85,0)+7),""),"")</f>
        <v/>
      </c>
    </row>
    <row r="264" spans="1:15">
      <c r="A264" s="3" t="str">
        <f>IF($E264="","",Меню!$A$16)</f>
        <v/>
      </c>
      <c r="B264" s="3" t="str">
        <f>IF($E264="","",Меню!$B$16)</f>
        <v/>
      </c>
      <c r="C264" s="3" t="str">
        <f>IF($E264="","",Меню!$C$16)</f>
        <v/>
      </c>
      <c r="D264" s="3" t="str">
        <f>IF($E264="","",Меню!$D$16)</f>
        <v/>
      </c>
      <c r="E264" s="3" t="str">
        <f>IFERROR(IF(IFERROR(INDEX(Рецепты!$H$6:$H$85,MATCH(Меню!$D$16,Рецепты!$H$6:$H$85,0)+8)=Меню!$D$16,FALSE),INDEX(Рецепты!$J$6:$J$85,MATCH(Меню!$D$16,Рецепты!$H$6:$H$85,0)+8),""),"")</f>
        <v/>
      </c>
      <c r="F264" s="3" t="str">
        <f>IF($E264="","",INDEX(Рецепты!$K$6:$K$85,MATCH(Меню!$D$16,Рецепты!$H$6:$H$85,0)+8))</f>
        <v/>
      </c>
      <c r="G264" s="3" t="str">
        <f>IF($E264="","",INDEX(Рецепты!$M$6:$M$85,MATCH(Меню!$D$16,Рецепты!$H$6:$H$85,0)+8))</f>
        <v/>
      </c>
      <c r="H264" s="12">
        <f>IFERROR(IF(IFERROR(INDEX(Рецепты!$H$6:$H$85,MATCH(Меню!$D$16,Рецепты!$H$6:$H$85,0)+8)=Меню!$D$16,FALSE),INDEX(Рецепты!$L$6:$L$85,MATCH(Меню!$D$16,Рецепты!$H$6:$H$85,0)+8),0),0)</f>
        <v>0</v>
      </c>
      <c r="I264" s="12" t="str">
        <f>IF($F264="","",Меню!$E$16)</f>
        <v/>
      </c>
      <c r="J264" s="12">
        <f t="shared" si="4"/>
        <v>0</v>
      </c>
      <c r="K264" s="12">
        <f>IFERROR($J264/100*INDEX(Продукты!$G$6:$G$66,MATCH($E264,Продукты!$A$6:$A$66,0)),0)</f>
        <v>0</v>
      </c>
      <c r="L264" s="12">
        <f>IFERROR($J264/100*INDEX(Продукты!$H$6:$H$66,MATCH($E264,Продукты!$A$6:$A$66,0)),0)</f>
        <v>0</v>
      </c>
      <c r="M264" s="12">
        <f>IFERROR($J264/100*INDEX(Продукты!$I$6:$I$66,MATCH($E264,Продукты!$A$6:$A$66,0)),0)</f>
        <v>0</v>
      </c>
      <c r="N264" s="12">
        <f>IFERROR($J264/100*INDEX(Продукты!$J$6:$J$66,MATCH($E264,Продукты!$A$6:$A$66,0)),0)</f>
        <v>0</v>
      </c>
      <c r="O264" s="3" t="str">
        <f>IFERROR(IF(IFERROR(INDEX(Рецепты!$H$6:$H$85,MATCH(Меню!$D$16,Рецепты!$H$6:$H$85,0)+8)=Меню!$D$16,FALSE),INDEX(Рецепты!$N$6:$N$85,MATCH(Меню!$D$16,Рецепты!$H$6:$H$85,0)+8),""),"")</f>
        <v/>
      </c>
    </row>
    <row r="265" spans="1:15">
      <c r="A265" s="3" t="str">
        <f>IF($E265="","",Меню!$A$16)</f>
        <v/>
      </c>
      <c r="B265" s="3" t="str">
        <f>IF($E265="","",Меню!$B$16)</f>
        <v/>
      </c>
      <c r="C265" s="3" t="str">
        <f>IF($E265="","",Меню!$C$16)</f>
        <v/>
      </c>
      <c r="D265" s="3" t="str">
        <f>IF($E265="","",Меню!$D$16)</f>
        <v/>
      </c>
      <c r="E265" s="3" t="str">
        <f>IFERROR(IF(IFERROR(INDEX(Рецепты!$H$6:$H$85,MATCH(Меню!$D$16,Рецепты!$H$6:$H$85,0)+9)=Меню!$D$16,FALSE),INDEX(Рецепты!$J$6:$J$85,MATCH(Меню!$D$16,Рецепты!$H$6:$H$85,0)+9),""),"")</f>
        <v/>
      </c>
      <c r="F265" s="3" t="str">
        <f>IF($E265="","",INDEX(Рецепты!$K$6:$K$85,MATCH(Меню!$D$16,Рецепты!$H$6:$H$85,0)+9))</f>
        <v/>
      </c>
      <c r="G265" s="3" t="str">
        <f>IF($E265="","",INDEX(Рецепты!$M$6:$M$85,MATCH(Меню!$D$16,Рецепты!$H$6:$H$85,0)+9))</f>
        <v/>
      </c>
      <c r="H265" s="12">
        <f>IFERROR(IF(IFERROR(INDEX(Рецепты!$H$6:$H$85,MATCH(Меню!$D$16,Рецепты!$H$6:$H$85,0)+9)=Меню!$D$16,FALSE),INDEX(Рецепты!$L$6:$L$85,MATCH(Меню!$D$16,Рецепты!$H$6:$H$85,0)+9),0),0)</f>
        <v>0</v>
      </c>
      <c r="I265" s="12" t="str">
        <f>IF($F265="","",Меню!$E$16)</f>
        <v/>
      </c>
      <c r="J265" s="12">
        <f t="shared" si="4"/>
        <v>0</v>
      </c>
      <c r="K265" s="12">
        <f>IFERROR($J265/100*INDEX(Продукты!$G$6:$G$66,MATCH($E265,Продукты!$A$6:$A$66,0)),0)</f>
        <v>0</v>
      </c>
      <c r="L265" s="12">
        <f>IFERROR($J265/100*INDEX(Продукты!$H$6:$H$66,MATCH($E265,Продукты!$A$6:$A$66,0)),0)</f>
        <v>0</v>
      </c>
      <c r="M265" s="12">
        <f>IFERROR($J265/100*INDEX(Продукты!$I$6:$I$66,MATCH($E265,Продукты!$A$6:$A$66,0)),0)</f>
        <v>0</v>
      </c>
      <c r="N265" s="12">
        <f>IFERROR($J265/100*INDEX(Продукты!$J$6:$J$66,MATCH($E265,Продукты!$A$6:$A$66,0)),0)</f>
        <v>0</v>
      </c>
      <c r="O265" s="3" t="str">
        <f>IFERROR(IF(IFERROR(INDEX(Рецепты!$H$6:$H$85,MATCH(Меню!$D$16,Рецепты!$H$6:$H$85,0)+9)=Меню!$D$16,FALSE),INDEX(Рецепты!$N$6:$N$85,MATCH(Меню!$D$16,Рецепты!$H$6:$H$85,0)+9),""),"")</f>
        <v/>
      </c>
    </row>
    <row r="266" spans="1:15">
      <c r="A266" s="3" t="str">
        <f>IF($E266="","",Меню!$A$16)</f>
        <v/>
      </c>
      <c r="B266" s="3" t="str">
        <f>IF($E266="","",Меню!$B$16)</f>
        <v/>
      </c>
      <c r="C266" s="3" t="str">
        <f>IF($E266="","",Меню!$C$16)</f>
        <v/>
      </c>
      <c r="D266" s="3" t="str">
        <f>IF($E266="","",Меню!$D$16)</f>
        <v/>
      </c>
      <c r="E266" s="3" t="str">
        <f>IFERROR(IF(IFERROR(INDEX(Рецепты!$H$6:$H$85,MATCH(Меню!$D$16,Рецепты!$H$6:$H$85,0)+10)=Меню!$D$16,FALSE),INDEX(Рецепты!$J$6:$J$85,MATCH(Меню!$D$16,Рецепты!$H$6:$H$85,0)+10),""),"")</f>
        <v/>
      </c>
      <c r="F266" s="3" t="str">
        <f>IF($E266="","",INDEX(Рецепты!$K$6:$K$85,MATCH(Меню!$D$16,Рецепты!$H$6:$H$85,0)+10))</f>
        <v/>
      </c>
      <c r="G266" s="3" t="str">
        <f>IF($E266="","",INDEX(Рецепты!$M$6:$M$85,MATCH(Меню!$D$16,Рецепты!$H$6:$H$85,0)+10))</f>
        <v/>
      </c>
      <c r="H266" s="12">
        <f>IFERROR(IF(IFERROR(INDEX(Рецепты!$H$6:$H$85,MATCH(Меню!$D$16,Рецепты!$H$6:$H$85,0)+10)=Меню!$D$16,FALSE),INDEX(Рецепты!$L$6:$L$85,MATCH(Меню!$D$16,Рецепты!$H$6:$H$85,0)+10),0),0)</f>
        <v>0</v>
      </c>
      <c r="I266" s="12" t="str">
        <f>IF($F266="","",Меню!$E$16)</f>
        <v/>
      </c>
      <c r="J266" s="12">
        <f t="shared" si="4"/>
        <v>0</v>
      </c>
      <c r="K266" s="12">
        <f>IFERROR($J266/100*INDEX(Продукты!$G$6:$G$66,MATCH($E266,Продукты!$A$6:$A$66,0)),0)</f>
        <v>0</v>
      </c>
      <c r="L266" s="12">
        <f>IFERROR($J266/100*INDEX(Продукты!$H$6:$H$66,MATCH($E266,Продукты!$A$6:$A$66,0)),0)</f>
        <v>0</v>
      </c>
      <c r="M266" s="12">
        <f>IFERROR($J266/100*INDEX(Продукты!$I$6:$I$66,MATCH($E266,Продукты!$A$6:$A$66,0)),0)</f>
        <v>0</v>
      </c>
      <c r="N266" s="12">
        <f>IFERROR($J266/100*INDEX(Продукты!$J$6:$J$66,MATCH($E266,Продукты!$A$6:$A$66,0)),0)</f>
        <v>0</v>
      </c>
      <c r="O266" s="3" t="str">
        <f>IFERROR(IF(IFERROR(INDEX(Рецепты!$H$6:$H$85,MATCH(Меню!$D$16,Рецепты!$H$6:$H$85,0)+10)=Меню!$D$16,FALSE),INDEX(Рецепты!$N$6:$N$85,MATCH(Меню!$D$16,Рецепты!$H$6:$H$85,0)+10),""),"")</f>
        <v/>
      </c>
    </row>
    <row r="267" spans="1:15">
      <c r="A267" s="3" t="str">
        <f>IF($E267="","",Меню!$A$16)</f>
        <v/>
      </c>
      <c r="B267" s="3" t="str">
        <f>IF($E267="","",Меню!$B$16)</f>
        <v/>
      </c>
      <c r="C267" s="3" t="str">
        <f>IF($E267="","",Меню!$C$16)</f>
        <v/>
      </c>
      <c r="D267" s="3" t="str">
        <f>IF($E267="","",Меню!$D$16)</f>
        <v/>
      </c>
      <c r="E267" s="3" t="str">
        <f>IFERROR(IF(IFERROR(INDEX(Рецепты!$H$6:$H$85,MATCH(Меню!$D$16,Рецепты!$H$6:$H$85,0)+11)=Меню!$D$16,FALSE),INDEX(Рецепты!$J$6:$J$85,MATCH(Меню!$D$16,Рецепты!$H$6:$H$85,0)+11),""),"")</f>
        <v/>
      </c>
      <c r="F267" s="3" t="str">
        <f>IF($E267="","",INDEX(Рецепты!$K$6:$K$85,MATCH(Меню!$D$16,Рецепты!$H$6:$H$85,0)+11))</f>
        <v/>
      </c>
      <c r="G267" s="3" t="str">
        <f>IF($E267="","",INDEX(Рецепты!$M$6:$M$85,MATCH(Меню!$D$16,Рецепты!$H$6:$H$85,0)+11))</f>
        <v/>
      </c>
      <c r="H267" s="12">
        <f>IFERROR(IF(IFERROR(INDEX(Рецепты!$H$6:$H$85,MATCH(Меню!$D$16,Рецепты!$H$6:$H$85,0)+11)=Меню!$D$16,FALSE),INDEX(Рецепты!$L$6:$L$85,MATCH(Меню!$D$16,Рецепты!$H$6:$H$85,0)+11),0),0)</f>
        <v>0</v>
      </c>
      <c r="I267" s="12" t="str">
        <f>IF($F267="","",Меню!$E$16)</f>
        <v/>
      </c>
      <c r="J267" s="12">
        <f t="shared" si="4"/>
        <v>0</v>
      </c>
      <c r="K267" s="12">
        <f>IFERROR($J267/100*INDEX(Продукты!$G$6:$G$66,MATCH($E267,Продукты!$A$6:$A$66,0)),0)</f>
        <v>0</v>
      </c>
      <c r="L267" s="12">
        <f>IFERROR($J267/100*INDEX(Продукты!$H$6:$H$66,MATCH($E267,Продукты!$A$6:$A$66,0)),0)</f>
        <v>0</v>
      </c>
      <c r="M267" s="12">
        <f>IFERROR($J267/100*INDEX(Продукты!$I$6:$I$66,MATCH($E267,Продукты!$A$6:$A$66,0)),0)</f>
        <v>0</v>
      </c>
      <c r="N267" s="12">
        <f>IFERROR($J267/100*INDEX(Продукты!$J$6:$J$66,MATCH($E267,Продукты!$A$6:$A$66,0)),0)</f>
        <v>0</v>
      </c>
      <c r="O267" s="3" t="str">
        <f>IFERROR(IF(IFERROR(INDEX(Рецепты!$H$6:$H$85,MATCH(Меню!$D$16,Рецепты!$H$6:$H$85,0)+11)=Меню!$D$16,FALSE),INDEX(Рецепты!$N$6:$N$85,MATCH(Меню!$D$16,Рецепты!$H$6:$H$85,0)+11),""),"")</f>
        <v/>
      </c>
    </row>
    <row r="268" spans="1:15">
      <c r="A268" s="3" t="str">
        <f>IF($E268="","",Меню!$A$16)</f>
        <v/>
      </c>
      <c r="B268" s="3" t="str">
        <f>IF($E268="","",Меню!$B$16)</f>
        <v/>
      </c>
      <c r="C268" s="3" t="str">
        <f>IF($E268="","",Меню!$C$16)</f>
        <v/>
      </c>
      <c r="D268" s="3" t="str">
        <f>IF($E268="","",Меню!$D$16)</f>
        <v/>
      </c>
      <c r="E268" s="3" t="str">
        <f>IFERROR(IF(IFERROR(INDEX(Рецепты!$H$6:$H$85,MATCH(Меню!$D$16,Рецепты!$H$6:$H$85,0)+12)=Меню!$D$16,FALSE),INDEX(Рецепты!$J$6:$J$85,MATCH(Меню!$D$16,Рецепты!$H$6:$H$85,0)+12),""),"")</f>
        <v/>
      </c>
      <c r="F268" s="3" t="str">
        <f>IF($E268="","",INDEX(Рецепты!$K$6:$K$85,MATCH(Меню!$D$16,Рецепты!$H$6:$H$85,0)+12))</f>
        <v/>
      </c>
      <c r="G268" s="3" t="str">
        <f>IF($E268="","",INDEX(Рецепты!$M$6:$M$85,MATCH(Меню!$D$16,Рецепты!$H$6:$H$85,0)+12))</f>
        <v/>
      </c>
      <c r="H268" s="12">
        <f>IFERROR(IF(IFERROR(INDEX(Рецепты!$H$6:$H$85,MATCH(Меню!$D$16,Рецепты!$H$6:$H$85,0)+12)=Меню!$D$16,FALSE),INDEX(Рецепты!$L$6:$L$85,MATCH(Меню!$D$16,Рецепты!$H$6:$H$85,0)+12),0),0)</f>
        <v>0</v>
      </c>
      <c r="I268" s="12" t="str">
        <f>IF($F268="","",Меню!$E$16)</f>
        <v/>
      </c>
      <c r="J268" s="12">
        <f t="shared" si="4"/>
        <v>0</v>
      </c>
      <c r="K268" s="12">
        <f>IFERROR($J268/100*INDEX(Продукты!$G$6:$G$66,MATCH($E268,Продукты!$A$6:$A$66,0)),0)</f>
        <v>0</v>
      </c>
      <c r="L268" s="12">
        <f>IFERROR($J268/100*INDEX(Продукты!$H$6:$H$66,MATCH($E268,Продукты!$A$6:$A$66,0)),0)</f>
        <v>0</v>
      </c>
      <c r="M268" s="12">
        <f>IFERROR($J268/100*INDEX(Продукты!$I$6:$I$66,MATCH($E268,Продукты!$A$6:$A$66,0)),0)</f>
        <v>0</v>
      </c>
      <c r="N268" s="12">
        <f>IFERROR($J268/100*INDEX(Продукты!$J$6:$J$66,MATCH($E268,Продукты!$A$6:$A$66,0)),0)</f>
        <v>0</v>
      </c>
      <c r="O268" s="3" t="str">
        <f>IFERROR(IF(IFERROR(INDEX(Рецепты!$H$6:$H$85,MATCH(Меню!$D$16,Рецепты!$H$6:$H$85,0)+12)=Меню!$D$16,FALSE),INDEX(Рецепты!$N$6:$N$85,MATCH(Меню!$D$16,Рецепты!$H$6:$H$85,0)+12),""),"")</f>
        <v/>
      </c>
    </row>
    <row r="269" spans="1:15">
      <c r="A269" s="3" t="str">
        <f>IF($E269="","",Меню!$A$16)</f>
        <v/>
      </c>
      <c r="B269" s="3" t="str">
        <f>IF($E269="","",Меню!$B$16)</f>
        <v/>
      </c>
      <c r="C269" s="3" t="str">
        <f>IF($E269="","",Меню!$C$16)</f>
        <v/>
      </c>
      <c r="D269" s="3" t="str">
        <f>IF($E269="","",Меню!$D$16)</f>
        <v/>
      </c>
      <c r="E269" s="3" t="str">
        <f>IFERROR(IF(IFERROR(INDEX(Рецепты!$H$6:$H$85,MATCH(Меню!$D$16,Рецепты!$H$6:$H$85,0)+13)=Меню!$D$16,FALSE),INDEX(Рецепты!$J$6:$J$85,MATCH(Меню!$D$16,Рецепты!$H$6:$H$85,0)+13),""),"")</f>
        <v/>
      </c>
      <c r="F269" s="3" t="str">
        <f>IF($E269="","",INDEX(Рецепты!$K$6:$K$85,MATCH(Меню!$D$16,Рецепты!$H$6:$H$85,0)+13))</f>
        <v/>
      </c>
      <c r="G269" s="3" t="str">
        <f>IF($E269="","",INDEX(Рецепты!$M$6:$M$85,MATCH(Меню!$D$16,Рецепты!$H$6:$H$85,0)+13))</f>
        <v/>
      </c>
      <c r="H269" s="12">
        <f>IFERROR(IF(IFERROR(INDEX(Рецепты!$H$6:$H$85,MATCH(Меню!$D$16,Рецепты!$H$6:$H$85,0)+13)=Меню!$D$16,FALSE),INDEX(Рецепты!$L$6:$L$85,MATCH(Меню!$D$16,Рецепты!$H$6:$H$85,0)+13),0),0)</f>
        <v>0</v>
      </c>
      <c r="I269" s="12" t="str">
        <f>IF($F269="","",Меню!$E$16)</f>
        <v/>
      </c>
      <c r="J269" s="12">
        <f t="shared" si="4"/>
        <v>0</v>
      </c>
      <c r="K269" s="12">
        <f>IFERROR($J269/100*INDEX(Продукты!$G$6:$G$66,MATCH($E269,Продукты!$A$6:$A$66,0)),0)</f>
        <v>0</v>
      </c>
      <c r="L269" s="12">
        <f>IFERROR($J269/100*INDEX(Продукты!$H$6:$H$66,MATCH($E269,Продукты!$A$6:$A$66,0)),0)</f>
        <v>0</v>
      </c>
      <c r="M269" s="12">
        <f>IFERROR($J269/100*INDEX(Продукты!$I$6:$I$66,MATCH($E269,Продукты!$A$6:$A$66,0)),0)</f>
        <v>0</v>
      </c>
      <c r="N269" s="12">
        <f>IFERROR($J269/100*INDEX(Продукты!$J$6:$J$66,MATCH($E269,Продукты!$A$6:$A$66,0)),0)</f>
        <v>0</v>
      </c>
      <c r="O269" s="3" t="str">
        <f>IFERROR(IF(IFERROR(INDEX(Рецепты!$H$6:$H$85,MATCH(Меню!$D$16,Рецепты!$H$6:$H$85,0)+13)=Меню!$D$16,FALSE),INDEX(Рецепты!$N$6:$N$85,MATCH(Меню!$D$16,Рецепты!$H$6:$H$85,0)+13),""),"")</f>
        <v/>
      </c>
    </row>
    <row r="270" spans="1:15">
      <c r="A270" s="3" t="str">
        <f>IF($E270="","",Меню!$A$16)</f>
        <v/>
      </c>
      <c r="B270" s="3" t="str">
        <f>IF($E270="","",Меню!$B$16)</f>
        <v/>
      </c>
      <c r="C270" s="3" t="str">
        <f>IF($E270="","",Меню!$C$16)</f>
        <v/>
      </c>
      <c r="D270" s="3" t="str">
        <f>IF($E270="","",Меню!$D$16)</f>
        <v/>
      </c>
      <c r="E270" s="3" t="str">
        <f>IFERROR(IF(IFERROR(INDEX(Рецепты!$H$6:$H$85,MATCH(Меню!$D$16,Рецепты!$H$6:$H$85,0)+14)=Меню!$D$16,FALSE),INDEX(Рецепты!$J$6:$J$85,MATCH(Меню!$D$16,Рецепты!$H$6:$H$85,0)+14),""),"")</f>
        <v/>
      </c>
      <c r="F270" s="3" t="str">
        <f>IF($E270="","",INDEX(Рецепты!$K$6:$K$85,MATCH(Меню!$D$16,Рецепты!$H$6:$H$85,0)+14))</f>
        <v/>
      </c>
      <c r="G270" s="3" t="str">
        <f>IF($E270="","",INDEX(Рецепты!$M$6:$M$85,MATCH(Меню!$D$16,Рецепты!$H$6:$H$85,0)+14))</f>
        <v/>
      </c>
      <c r="H270" s="12">
        <f>IFERROR(IF(IFERROR(INDEX(Рецепты!$H$6:$H$85,MATCH(Меню!$D$16,Рецепты!$H$6:$H$85,0)+14)=Меню!$D$16,FALSE),INDEX(Рецепты!$L$6:$L$85,MATCH(Меню!$D$16,Рецепты!$H$6:$H$85,0)+14),0),0)</f>
        <v>0</v>
      </c>
      <c r="I270" s="12" t="str">
        <f>IF($F270="","",Меню!$E$16)</f>
        <v/>
      </c>
      <c r="J270" s="12">
        <f t="shared" si="4"/>
        <v>0</v>
      </c>
      <c r="K270" s="12">
        <f>IFERROR($J270/100*INDEX(Продукты!$G$6:$G$66,MATCH($E270,Продукты!$A$6:$A$66,0)),0)</f>
        <v>0</v>
      </c>
      <c r="L270" s="12">
        <f>IFERROR($J270/100*INDEX(Продукты!$H$6:$H$66,MATCH($E270,Продукты!$A$6:$A$66,0)),0)</f>
        <v>0</v>
      </c>
      <c r="M270" s="12">
        <f>IFERROR($J270/100*INDEX(Продукты!$I$6:$I$66,MATCH($E270,Продукты!$A$6:$A$66,0)),0)</f>
        <v>0</v>
      </c>
      <c r="N270" s="12">
        <f>IFERROR($J270/100*INDEX(Продукты!$J$6:$J$66,MATCH($E270,Продукты!$A$6:$A$66,0)),0)</f>
        <v>0</v>
      </c>
      <c r="O270" s="3" t="str">
        <f>IFERROR(IF(IFERROR(INDEX(Рецепты!$H$6:$H$85,MATCH(Меню!$D$16,Рецепты!$H$6:$H$85,0)+14)=Меню!$D$16,FALSE),INDEX(Рецепты!$N$6:$N$85,MATCH(Меню!$D$16,Рецепты!$H$6:$H$85,0)+14),""),"")</f>
        <v/>
      </c>
    </row>
    <row r="271" spans="1:15">
      <c r="A271" s="3" t="str">
        <f>IF($E271="","",Меню!$A$16)</f>
        <v/>
      </c>
      <c r="B271" s="3" t="str">
        <f>IF($E271="","",Меню!$B$16)</f>
        <v/>
      </c>
      <c r="C271" s="3" t="str">
        <f>IF($E271="","",Меню!$C$16)</f>
        <v/>
      </c>
      <c r="D271" s="3" t="str">
        <f>IF($E271="","",Меню!$D$16)</f>
        <v/>
      </c>
      <c r="E271" s="3" t="str">
        <f>IFERROR(IF(IFERROR(INDEX(Рецепты!$H$6:$H$85,MATCH(Меню!$D$16,Рецепты!$H$6:$H$85,0)+15)=Меню!$D$16,FALSE),INDEX(Рецепты!$J$6:$J$85,MATCH(Меню!$D$16,Рецепты!$H$6:$H$85,0)+15),""),"")</f>
        <v/>
      </c>
      <c r="F271" s="3" t="str">
        <f>IF($E271="","",INDEX(Рецепты!$K$6:$K$85,MATCH(Меню!$D$16,Рецепты!$H$6:$H$85,0)+15))</f>
        <v/>
      </c>
      <c r="G271" s="3" t="str">
        <f>IF($E271="","",INDEX(Рецепты!$M$6:$M$85,MATCH(Меню!$D$16,Рецепты!$H$6:$H$85,0)+15))</f>
        <v/>
      </c>
      <c r="H271" s="12">
        <f>IFERROR(IF(IFERROR(INDEX(Рецепты!$H$6:$H$85,MATCH(Меню!$D$16,Рецепты!$H$6:$H$85,0)+15)=Меню!$D$16,FALSE),INDEX(Рецепты!$L$6:$L$85,MATCH(Меню!$D$16,Рецепты!$H$6:$H$85,0)+15),0),0)</f>
        <v>0</v>
      </c>
      <c r="I271" s="12" t="str">
        <f>IF($F271="","",Меню!$E$16)</f>
        <v/>
      </c>
      <c r="J271" s="12">
        <f t="shared" si="4"/>
        <v>0</v>
      </c>
      <c r="K271" s="12">
        <f>IFERROR($J271/100*INDEX(Продукты!$G$6:$G$66,MATCH($E271,Продукты!$A$6:$A$66,0)),0)</f>
        <v>0</v>
      </c>
      <c r="L271" s="12">
        <f>IFERROR($J271/100*INDEX(Продукты!$H$6:$H$66,MATCH($E271,Продукты!$A$6:$A$66,0)),0)</f>
        <v>0</v>
      </c>
      <c r="M271" s="12">
        <f>IFERROR($J271/100*INDEX(Продукты!$I$6:$I$66,MATCH($E271,Продукты!$A$6:$A$66,0)),0)</f>
        <v>0</v>
      </c>
      <c r="N271" s="12">
        <f>IFERROR($J271/100*INDEX(Продукты!$J$6:$J$66,MATCH($E271,Продукты!$A$6:$A$66,0)),0)</f>
        <v>0</v>
      </c>
      <c r="O271" s="3" t="str">
        <f>IFERROR(IF(IFERROR(INDEX(Рецепты!$H$6:$H$85,MATCH(Меню!$D$16,Рецепты!$H$6:$H$85,0)+15)=Меню!$D$16,FALSE),INDEX(Рецепты!$N$6:$N$85,MATCH(Меню!$D$16,Рецепты!$H$6:$H$85,0)+15),""),"")</f>
        <v/>
      </c>
    </row>
    <row r="272" spans="1:15">
      <c r="A272" s="3" t="str">
        <f>IF($E272="","",Меню!$A$16)</f>
        <v/>
      </c>
      <c r="B272" s="3" t="str">
        <f>IF($E272="","",Меню!$B$16)</f>
        <v/>
      </c>
      <c r="C272" s="3" t="str">
        <f>IF($E272="","",Меню!$C$16)</f>
        <v/>
      </c>
      <c r="D272" s="3" t="str">
        <f>IF($E272="","",Меню!$D$16)</f>
        <v/>
      </c>
      <c r="E272" s="3" t="str">
        <f>IFERROR(IF(IFERROR(INDEX(Рецепты!$H$6:$H$85,MATCH(Меню!$D$16,Рецепты!$H$6:$H$85,0)+16)=Меню!$D$16,FALSE),INDEX(Рецепты!$J$6:$J$85,MATCH(Меню!$D$16,Рецепты!$H$6:$H$85,0)+16),""),"")</f>
        <v/>
      </c>
      <c r="F272" s="3" t="str">
        <f>IF($E272="","",INDEX(Рецепты!$K$6:$K$85,MATCH(Меню!$D$16,Рецепты!$H$6:$H$85,0)+16))</f>
        <v/>
      </c>
      <c r="G272" s="3" t="str">
        <f>IF($E272="","",INDEX(Рецепты!$M$6:$M$85,MATCH(Меню!$D$16,Рецепты!$H$6:$H$85,0)+16))</f>
        <v/>
      </c>
      <c r="H272" s="12">
        <f>IFERROR(IF(IFERROR(INDEX(Рецепты!$H$6:$H$85,MATCH(Меню!$D$16,Рецепты!$H$6:$H$85,0)+16)=Меню!$D$16,FALSE),INDEX(Рецепты!$L$6:$L$85,MATCH(Меню!$D$16,Рецепты!$H$6:$H$85,0)+16),0),0)</f>
        <v>0</v>
      </c>
      <c r="I272" s="12" t="str">
        <f>IF($F272="","",Меню!$E$16)</f>
        <v/>
      </c>
      <c r="J272" s="12">
        <f t="shared" si="4"/>
        <v>0</v>
      </c>
      <c r="K272" s="12">
        <f>IFERROR($J272/100*INDEX(Продукты!$G$6:$G$66,MATCH($E272,Продукты!$A$6:$A$66,0)),0)</f>
        <v>0</v>
      </c>
      <c r="L272" s="12">
        <f>IFERROR($J272/100*INDEX(Продукты!$H$6:$H$66,MATCH($E272,Продукты!$A$6:$A$66,0)),0)</f>
        <v>0</v>
      </c>
      <c r="M272" s="12">
        <f>IFERROR($J272/100*INDEX(Продукты!$I$6:$I$66,MATCH($E272,Продукты!$A$6:$A$66,0)),0)</f>
        <v>0</v>
      </c>
      <c r="N272" s="12">
        <f>IFERROR($J272/100*INDEX(Продукты!$J$6:$J$66,MATCH($E272,Продукты!$A$6:$A$66,0)),0)</f>
        <v>0</v>
      </c>
      <c r="O272" s="3" t="str">
        <f>IFERROR(IF(IFERROR(INDEX(Рецепты!$H$6:$H$85,MATCH(Меню!$D$16,Рецепты!$H$6:$H$85,0)+16)=Меню!$D$16,FALSE),INDEX(Рецепты!$N$6:$N$85,MATCH(Меню!$D$16,Рецепты!$H$6:$H$85,0)+16),""),"")</f>
        <v/>
      </c>
    </row>
    <row r="273" spans="1:15">
      <c r="A273" s="3" t="str">
        <f>IF($E273="","",Меню!$A$16)</f>
        <v/>
      </c>
      <c r="B273" s="3" t="str">
        <f>IF($E273="","",Меню!$B$16)</f>
        <v/>
      </c>
      <c r="C273" s="3" t="str">
        <f>IF($E273="","",Меню!$C$16)</f>
        <v/>
      </c>
      <c r="D273" s="3" t="str">
        <f>IF($E273="","",Меню!$D$16)</f>
        <v/>
      </c>
      <c r="E273" s="3" t="str">
        <f>IFERROR(IF(IFERROR(INDEX(Рецепты!$H$6:$H$85,MATCH(Меню!$D$16,Рецепты!$H$6:$H$85,0)+17)=Меню!$D$16,FALSE),INDEX(Рецепты!$J$6:$J$85,MATCH(Меню!$D$16,Рецепты!$H$6:$H$85,0)+17),""),"")</f>
        <v/>
      </c>
      <c r="F273" s="3" t="str">
        <f>IF($E273="","",INDEX(Рецепты!$K$6:$K$85,MATCH(Меню!$D$16,Рецепты!$H$6:$H$85,0)+17))</f>
        <v/>
      </c>
      <c r="G273" s="3" t="str">
        <f>IF($E273="","",INDEX(Рецепты!$M$6:$M$85,MATCH(Меню!$D$16,Рецепты!$H$6:$H$85,0)+17))</f>
        <v/>
      </c>
      <c r="H273" s="12">
        <f>IFERROR(IF(IFERROR(INDEX(Рецепты!$H$6:$H$85,MATCH(Меню!$D$16,Рецепты!$H$6:$H$85,0)+17)=Меню!$D$16,FALSE),INDEX(Рецепты!$L$6:$L$85,MATCH(Меню!$D$16,Рецепты!$H$6:$H$85,0)+17),0),0)</f>
        <v>0</v>
      </c>
      <c r="I273" s="12" t="str">
        <f>IF($F273="","",Меню!$E$16)</f>
        <v/>
      </c>
      <c r="J273" s="12">
        <f t="shared" si="4"/>
        <v>0</v>
      </c>
      <c r="K273" s="12">
        <f>IFERROR($J273/100*INDEX(Продукты!$G$6:$G$66,MATCH($E273,Продукты!$A$6:$A$66,0)),0)</f>
        <v>0</v>
      </c>
      <c r="L273" s="12">
        <f>IFERROR($J273/100*INDEX(Продукты!$H$6:$H$66,MATCH($E273,Продукты!$A$6:$A$66,0)),0)</f>
        <v>0</v>
      </c>
      <c r="M273" s="12">
        <f>IFERROR($J273/100*INDEX(Продукты!$I$6:$I$66,MATCH($E273,Продукты!$A$6:$A$66,0)),0)</f>
        <v>0</v>
      </c>
      <c r="N273" s="12">
        <f>IFERROR($J273/100*INDEX(Продукты!$J$6:$J$66,MATCH($E273,Продукты!$A$6:$A$66,0)),0)</f>
        <v>0</v>
      </c>
      <c r="O273" s="3" t="str">
        <f>IFERROR(IF(IFERROR(INDEX(Рецепты!$H$6:$H$85,MATCH(Меню!$D$16,Рецепты!$H$6:$H$85,0)+17)=Меню!$D$16,FALSE),INDEX(Рецепты!$N$6:$N$85,MATCH(Меню!$D$16,Рецепты!$H$6:$H$85,0)+17),""),"")</f>
        <v/>
      </c>
    </row>
    <row r="274" spans="1:15">
      <c r="A274" s="3" t="str">
        <f>IF($E274="","",Меню!$A$16)</f>
        <v/>
      </c>
      <c r="B274" s="3" t="str">
        <f>IF($E274="","",Меню!$B$16)</f>
        <v/>
      </c>
      <c r="C274" s="3" t="str">
        <f>IF($E274="","",Меню!$C$16)</f>
        <v/>
      </c>
      <c r="D274" s="3" t="str">
        <f>IF($E274="","",Меню!$D$16)</f>
        <v/>
      </c>
      <c r="E274" s="3" t="str">
        <f>IFERROR(IF(IFERROR(INDEX(Рецепты!$H$6:$H$85,MATCH(Меню!$D$16,Рецепты!$H$6:$H$85,0)+18)=Меню!$D$16,FALSE),INDEX(Рецепты!$J$6:$J$85,MATCH(Меню!$D$16,Рецепты!$H$6:$H$85,0)+18),""),"")</f>
        <v/>
      </c>
      <c r="F274" s="3" t="str">
        <f>IF($E274="","",INDEX(Рецепты!$K$6:$K$85,MATCH(Меню!$D$16,Рецепты!$H$6:$H$85,0)+18))</f>
        <v/>
      </c>
      <c r="G274" s="3" t="str">
        <f>IF($E274="","",INDEX(Рецепты!$M$6:$M$85,MATCH(Меню!$D$16,Рецепты!$H$6:$H$85,0)+18))</f>
        <v/>
      </c>
      <c r="H274" s="12">
        <f>IFERROR(IF(IFERROR(INDEX(Рецепты!$H$6:$H$85,MATCH(Меню!$D$16,Рецепты!$H$6:$H$85,0)+18)=Меню!$D$16,FALSE),INDEX(Рецепты!$L$6:$L$85,MATCH(Меню!$D$16,Рецепты!$H$6:$H$85,0)+18),0),0)</f>
        <v>0</v>
      </c>
      <c r="I274" s="12" t="str">
        <f>IF($F274="","",Меню!$E$16)</f>
        <v/>
      </c>
      <c r="J274" s="12">
        <f t="shared" si="4"/>
        <v>0</v>
      </c>
      <c r="K274" s="12">
        <f>IFERROR($J274/100*INDEX(Продукты!$G$6:$G$66,MATCH($E274,Продукты!$A$6:$A$66,0)),0)</f>
        <v>0</v>
      </c>
      <c r="L274" s="12">
        <f>IFERROR($J274/100*INDEX(Продукты!$H$6:$H$66,MATCH($E274,Продукты!$A$6:$A$66,0)),0)</f>
        <v>0</v>
      </c>
      <c r="M274" s="12">
        <f>IFERROR($J274/100*INDEX(Продукты!$I$6:$I$66,MATCH($E274,Продукты!$A$6:$A$66,0)),0)</f>
        <v>0</v>
      </c>
      <c r="N274" s="12">
        <f>IFERROR($J274/100*INDEX(Продукты!$J$6:$J$66,MATCH($E274,Продукты!$A$6:$A$66,0)),0)</f>
        <v>0</v>
      </c>
      <c r="O274" s="3" t="str">
        <f>IFERROR(IF(IFERROR(INDEX(Рецепты!$H$6:$H$85,MATCH(Меню!$D$16,Рецепты!$H$6:$H$85,0)+18)=Меню!$D$16,FALSE),INDEX(Рецепты!$N$6:$N$85,MATCH(Меню!$D$16,Рецепты!$H$6:$H$85,0)+18),""),"")</f>
        <v/>
      </c>
    </row>
    <row r="275" spans="1:15">
      <c r="A275" s="3" t="str">
        <f>IF($E275="","",Меню!$A$16)</f>
        <v/>
      </c>
      <c r="B275" s="3" t="str">
        <f>IF($E275="","",Меню!$B$16)</f>
        <v/>
      </c>
      <c r="C275" s="3" t="str">
        <f>IF($E275="","",Меню!$C$16)</f>
        <v/>
      </c>
      <c r="D275" s="3" t="str">
        <f>IF($E275="","",Меню!$D$16)</f>
        <v/>
      </c>
      <c r="E275" s="3" t="str">
        <f>IFERROR(IF(IFERROR(INDEX(Рецепты!$H$6:$H$85,MATCH(Меню!$D$16,Рецепты!$H$6:$H$85,0)+19)=Меню!$D$16,FALSE),INDEX(Рецепты!$J$6:$J$85,MATCH(Меню!$D$16,Рецепты!$H$6:$H$85,0)+19),""),"")</f>
        <v/>
      </c>
      <c r="F275" s="3" t="str">
        <f>IF($E275="","",INDEX(Рецепты!$K$6:$K$85,MATCH(Меню!$D$16,Рецепты!$H$6:$H$85,0)+19))</f>
        <v/>
      </c>
      <c r="G275" s="3" t="str">
        <f>IF($E275="","",INDEX(Рецепты!$M$6:$M$85,MATCH(Меню!$D$16,Рецепты!$H$6:$H$85,0)+19))</f>
        <v/>
      </c>
      <c r="H275" s="12">
        <f>IFERROR(IF(IFERROR(INDEX(Рецепты!$H$6:$H$85,MATCH(Меню!$D$16,Рецепты!$H$6:$H$85,0)+19)=Меню!$D$16,FALSE),INDEX(Рецепты!$L$6:$L$85,MATCH(Меню!$D$16,Рецепты!$H$6:$H$85,0)+19),0),0)</f>
        <v>0</v>
      </c>
      <c r="I275" s="12" t="str">
        <f>IF($F275="","",Меню!$E$16)</f>
        <v/>
      </c>
      <c r="J275" s="12">
        <f t="shared" si="4"/>
        <v>0</v>
      </c>
      <c r="K275" s="12">
        <f>IFERROR($J275/100*INDEX(Продукты!$G$6:$G$66,MATCH($E275,Продукты!$A$6:$A$66,0)),0)</f>
        <v>0</v>
      </c>
      <c r="L275" s="12">
        <f>IFERROR($J275/100*INDEX(Продукты!$H$6:$H$66,MATCH($E275,Продукты!$A$6:$A$66,0)),0)</f>
        <v>0</v>
      </c>
      <c r="M275" s="12">
        <f>IFERROR($J275/100*INDEX(Продукты!$I$6:$I$66,MATCH($E275,Продукты!$A$6:$A$66,0)),0)</f>
        <v>0</v>
      </c>
      <c r="N275" s="12">
        <f>IFERROR($J275/100*INDEX(Продукты!$J$6:$J$66,MATCH($E275,Продукты!$A$6:$A$66,0)),0)</f>
        <v>0</v>
      </c>
      <c r="O275" s="3" t="str">
        <f>IFERROR(IF(IFERROR(INDEX(Рецепты!$H$6:$H$85,MATCH(Меню!$D$16,Рецепты!$H$6:$H$85,0)+19)=Меню!$D$16,FALSE),INDEX(Рецепты!$N$6:$N$85,MATCH(Меню!$D$16,Рецепты!$H$6:$H$85,0)+19),""),"")</f>
        <v/>
      </c>
    </row>
    <row r="276" spans="1:15">
      <c r="A276" s="3" t="str">
        <f>IF($E276="","",Меню!$A$16)</f>
        <v/>
      </c>
      <c r="B276" s="3" t="str">
        <f>IF($E276="","",Меню!$B$16)</f>
        <v/>
      </c>
      <c r="C276" s="3" t="str">
        <f>IF($E276="","",Меню!$C$16)</f>
        <v/>
      </c>
      <c r="D276" s="3" t="str">
        <f>IF($E276="","",Меню!$D$16)</f>
        <v/>
      </c>
      <c r="E276" s="3" t="str">
        <f>IFERROR(IF(IFERROR(INDEX(Рецепты!$H$6:$H$85,MATCH(Меню!$D$16,Рецепты!$H$6:$H$85,0)+20)=Меню!$D$16,FALSE),INDEX(Рецепты!$J$6:$J$85,MATCH(Меню!$D$16,Рецепты!$H$6:$H$85,0)+20),""),"")</f>
        <v/>
      </c>
      <c r="F276" s="3" t="str">
        <f>IF($E276="","",INDEX(Рецепты!$K$6:$K$85,MATCH(Меню!$D$16,Рецепты!$H$6:$H$85,0)+20))</f>
        <v/>
      </c>
      <c r="G276" s="3" t="str">
        <f>IF($E276="","",INDEX(Рецепты!$M$6:$M$85,MATCH(Меню!$D$16,Рецепты!$H$6:$H$85,0)+20))</f>
        <v/>
      </c>
      <c r="H276" s="12">
        <f>IFERROR(IF(IFERROR(INDEX(Рецепты!$H$6:$H$85,MATCH(Меню!$D$16,Рецепты!$H$6:$H$85,0)+20)=Меню!$D$16,FALSE),INDEX(Рецепты!$L$6:$L$85,MATCH(Меню!$D$16,Рецепты!$H$6:$H$85,0)+20),0),0)</f>
        <v>0</v>
      </c>
      <c r="I276" s="12" t="str">
        <f>IF($F276="","",Меню!$E$16)</f>
        <v/>
      </c>
      <c r="J276" s="12">
        <f t="shared" si="4"/>
        <v>0</v>
      </c>
      <c r="K276" s="12">
        <f>IFERROR($J276/100*INDEX(Продукты!$G$6:$G$66,MATCH($E276,Продукты!$A$6:$A$66,0)),0)</f>
        <v>0</v>
      </c>
      <c r="L276" s="12">
        <f>IFERROR($J276/100*INDEX(Продукты!$H$6:$H$66,MATCH($E276,Продукты!$A$6:$A$66,0)),0)</f>
        <v>0</v>
      </c>
      <c r="M276" s="12">
        <f>IFERROR($J276/100*INDEX(Продукты!$I$6:$I$66,MATCH($E276,Продукты!$A$6:$A$66,0)),0)</f>
        <v>0</v>
      </c>
      <c r="N276" s="12">
        <f>IFERROR($J276/100*INDEX(Продукты!$J$6:$J$66,MATCH($E276,Продукты!$A$6:$A$66,0)),0)</f>
        <v>0</v>
      </c>
      <c r="O276" s="3" t="str">
        <f>IFERROR(IF(IFERROR(INDEX(Рецепты!$H$6:$H$85,MATCH(Меню!$D$16,Рецепты!$H$6:$H$85,0)+20)=Меню!$D$16,FALSE),INDEX(Рецепты!$N$6:$N$85,MATCH(Меню!$D$16,Рецепты!$H$6:$H$85,0)+20),""),"")</f>
        <v/>
      </c>
    </row>
    <row r="277" spans="1:15">
      <c r="A277" s="3" t="str">
        <f>IF($E277="","",Меню!$A$16)</f>
        <v/>
      </c>
      <c r="B277" s="3" t="str">
        <f>IF($E277="","",Меню!$B$16)</f>
        <v/>
      </c>
      <c r="C277" s="3" t="str">
        <f>IF($E277="","",Меню!$C$16)</f>
        <v/>
      </c>
      <c r="D277" s="3" t="str">
        <f>IF($E277="","",Меню!$D$16)</f>
        <v/>
      </c>
      <c r="E277" s="3" t="str">
        <f>IFERROR(IF(IFERROR(INDEX(Рецепты!$H$6:$H$85,MATCH(Меню!$D$16,Рецепты!$H$6:$H$85,0)+21)=Меню!$D$16,FALSE),INDEX(Рецепты!$J$6:$J$85,MATCH(Меню!$D$16,Рецепты!$H$6:$H$85,0)+21),""),"")</f>
        <v/>
      </c>
      <c r="F277" s="3" t="str">
        <f>IF($E277="","",INDEX(Рецепты!$K$6:$K$85,MATCH(Меню!$D$16,Рецепты!$H$6:$H$85,0)+21))</f>
        <v/>
      </c>
      <c r="G277" s="3" t="str">
        <f>IF($E277="","",INDEX(Рецепты!$M$6:$M$85,MATCH(Меню!$D$16,Рецепты!$H$6:$H$85,0)+21))</f>
        <v/>
      </c>
      <c r="H277" s="12">
        <f>IFERROR(IF(IFERROR(INDEX(Рецепты!$H$6:$H$85,MATCH(Меню!$D$16,Рецепты!$H$6:$H$85,0)+21)=Меню!$D$16,FALSE),INDEX(Рецепты!$L$6:$L$85,MATCH(Меню!$D$16,Рецепты!$H$6:$H$85,0)+21),0),0)</f>
        <v>0</v>
      </c>
      <c r="I277" s="12" t="str">
        <f>IF($F277="","",Меню!$E$16)</f>
        <v/>
      </c>
      <c r="J277" s="12">
        <f t="shared" si="4"/>
        <v>0</v>
      </c>
      <c r="K277" s="12">
        <f>IFERROR($J277/100*INDEX(Продукты!$G$6:$G$66,MATCH($E277,Продукты!$A$6:$A$66,0)),0)</f>
        <v>0</v>
      </c>
      <c r="L277" s="12">
        <f>IFERROR($J277/100*INDEX(Продукты!$H$6:$H$66,MATCH($E277,Продукты!$A$6:$A$66,0)),0)</f>
        <v>0</v>
      </c>
      <c r="M277" s="12">
        <f>IFERROR($J277/100*INDEX(Продукты!$I$6:$I$66,MATCH($E277,Продукты!$A$6:$A$66,0)),0)</f>
        <v>0</v>
      </c>
      <c r="N277" s="12">
        <f>IFERROR($J277/100*INDEX(Продукты!$J$6:$J$66,MATCH($E277,Продукты!$A$6:$A$66,0)),0)</f>
        <v>0</v>
      </c>
      <c r="O277" s="3" t="str">
        <f>IFERROR(IF(IFERROR(INDEX(Рецепты!$H$6:$H$85,MATCH(Меню!$D$16,Рецепты!$H$6:$H$85,0)+21)=Меню!$D$16,FALSE),INDEX(Рецепты!$N$6:$N$85,MATCH(Меню!$D$16,Рецепты!$H$6:$H$85,0)+21),""),"")</f>
        <v/>
      </c>
    </row>
    <row r="278" spans="1:15">
      <c r="A278" s="3" t="str">
        <f>IF($E278="","",Меню!$A$16)</f>
        <v/>
      </c>
      <c r="B278" s="3" t="str">
        <f>IF($E278="","",Меню!$B$16)</f>
        <v/>
      </c>
      <c r="C278" s="3" t="str">
        <f>IF($E278="","",Меню!$C$16)</f>
        <v/>
      </c>
      <c r="D278" s="3" t="str">
        <f>IF($E278="","",Меню!$D$16)</f>
        <v/>
      </c>
      <c r="E278" s="3" t="str">
        <f>IFERROR(IF(IFERROR(INDEX(Рецепты!$H$6:$H$85,MATCH(Меню!$D$16,Рецепты!$H$6:$H$85,0)+22)=Меню!$D$16,FALSE),INDEX(Рецепты!$J$6:$J$85,MATCH(Меню!$D$16,Рецепты!$H$6:$H$85,0)+22),""),"")</f>
        <v/>
      </c>
      <c r="F278" s="3" t="str">
        <f>IF($E278="","",INDEX(Рецепты!$K$6:$K$85,MATCH(Меню!$D$16,Рецепты!$H$6:$H$85,0)+22))</f>
        <v/>
      </c>
      <c r="G278" s="3" t="str">
        <f>IF($E278="","",INDEX(Рецепты!$M$6:$M$85,MATCH(Меню!$D$16,Рецепты!$H$6:$H$85,0)+22))</f>
        <v/>
      </c>
      <c r="H278" s="12">
        <f>IFERROR(IF(IFERROR(INDEX(Рецепты!$H$6:$H$85,MATCH(Меню!$D$16,Рецепты!$H$6:$H$85,0)+22)=Меню!$D$16,FALSE),INDEX(Рецепты!$L$6:$L$85,MATCH(Меню!$D$16,Рецепты!$H$6:$H$85,0)+22),0),0)</f>
        <v>0</v>
      </c>
      <c r="I278" s="12" t="str">
        <f>IF($F278="","",Меню!$E$16)</f>
        <v/>
      </c>
      <c r="J278" s="12">
        <f t="shared" si="4"/>
        <v>0</v>
      </c>
      <c r="K278" s="12">
        <f>IFERROR($J278/100*INDEX(Продукты!$G$6:$G$66,MATCH($E278,Продукты!$A$6:$A$66,0)),0)</f>
        <v>0</v>
      </c>
      <c r="L278" s="12">
        <f>IFERROR($J278/100*INDEX(Продукты!$H$6:$H$66,MATCH($E278,Продукты!$A$6:$A$66,0)),0)</f>
        <v>0</v>
      </c>
      <c r="M278" s="12">
        <f>IFERROR($J278/100*INDEX(Продукты!$I$6:$I$66,MATCH($E278,Продукты!$A$6:$A$66,0)),0)</f>
        <v>0</v>
      </c>
      <c r="N278" s="12">
        <f>IFERROR($J278/100*INDEX(Продукты!$J$6:$J$66,MATCH($E278,Продукты!$A$6:$A$66,0)),0)</f>
        <v>0</v>
      </c>
      <c r="O278" s="3" t="str">
        <f>IFERROR(IF(IFERROR(INDEX(Рецепты!$H$6:$H$85,MATCH(Меню!$D$16,Рецепты!$H$6:$H$85,0)+22)=Меню!$D$16,FALSE),INDEX(Рецепты!$N$6:$N$85,MATCH(Меню!$D$16,Рецепты!$H$6:$H$85,0)+22),""),"")</f>
        <v/>
      </c>
    </row>
    <row r="279" spans="1:15">
      <c r="A279" s="3" t="str">
        <f>IF($E279="","",Меню!$A$16)</f>
        <v/>
      </c>
      <c r="B279" s="3" t="str">
        <f>IF($E279="","",Меню!$B$16)</f>
        <v/>
      </c>
      <c r="C279" s="3" t="str">
        <f>IF($E279="","",Меню!$C$16)</f>
        <v/>
      </c>
      <c r="D279" s="3" t="str">
        <f>IF($E279="","",Меню!$D$16)</f>
        <v/>
      </c>
      <c r="E279" s="3" t="str">
        <f>IFERROR(IF(IFERROR(INDEX(Рецепты!$H$6:$H$85,MATCH(Меню!$D$16,Рецепты!$H$6:$H$85,0)+23)=Меню!$D$16,FALSE),INDEX(Рецепты!$J$6:$J$85,MATCH(Меню!$D$16,Рецепты!$H$6:$H$85,0)+23),""),"")</f>
        <v/>
      </c>
      <c r="F279" s="3" t="str">
        <f>IF($E279="","",INDEX(Рецепты!$K$6:$K$85,MATCH(Меню!$D$16,Рецепты!$H$6:$H$85,0)+23))</f>
        <v/>
      </c>
      <c r="G279" s="3" t="str">
        <f>IF($E279="","",INDEX(Рецепты!$M$6:$M$85,MATCH(Меню!$D$16,Рецепты!$H$6:$H$85,0)+23))</f>
        <v/>
      </c>
      <c r="H279" s="12">
        <f>IFERROR(IF(IFERROR(INDEX(Рецепты!$H$6:$H$85,MATCH(Меню!$D$16,Рецепты!$H$6:$H$85,0)+23)=Меню!$D$16,FALSE),INDEX(Рецепты!$L$6:$L$85,MATCH(Меню!$D$16,Рецепты!$H$6:$H$85,0)+23),0),0)</f>
        <v>0</v>
      </c>
      <c r="I279" s="12" t="str">
        <f>IF($F279="","",Меню!$E$16)</f>
        <v/>
      </c>
      <c r="J279" s="12">
        <f t="shared" si="4"/>
        <v>0</v>
      </c>
      <c r="K279" s="12">
        <f>IFERROR($J279/100*INDEX(Продукты!$G$6:$G$66,MATCH($E279,Продукты!$A$6:$A$66,0)),0)</f>
        <v>0</v>
      </c>
      <c r="L279" s="12">
        <f>IFERROR($J279/100*INDEX(Продукты!$H$6:$H$66,MATCH($E279,Продукты!$A$6:$A$66,0)),0)</f>
        <v>0</v>
      </c>
      <c r="M279" s="12">
        <f>IFERROR($J279/100*INDEX(Продукты!$I$6:$I$66,MATCH($E279,Продукты!$A$6:$A$66,0)),0)</f>
        <v>0</v>
      </c>
      <c r="N279" s="12">
        <f>IFERROR($J279/100*INDEX(Продукты!$J$6:$J$66,MATCH($E279,Продукты!$A$6:$A$66,0)),0)</f>
        <v>0</v>
      </c>
      <c r="O279" s="3" t="str">
        <f>IFERROR(IF(IFERROR(INDEX(Рецепты!$H$6:$H$85,MATCH(Меню!$D$16,Рецепты!$H$6:$H$85,0)+23)=Меню!$D$16,FALSE),INDEX(Рецепты!$N$6:$N$85,MATCH(Меню!$D$16,Рецепты!$H$6:$H$85,0)+23),""),"")</f>
        <v/>
      </c>
    </row>
    <row r="280" spans="1:15">
      <c r="A280" s="3" t="str">
        <f>IF($E280="","",Меню!$A$16)</f>
        <v/>
      </c>
      <c r="B280" s="3" t="str">
        <f>IF($E280="","",Меню!$B$16)</f>
        <v/>
      </c>
      <c r="C280" s="3" t="str">
        <f>IF($E280="","",Меню!$C$16)</f>
        <v/>
      </c>
      <c r="D280" s="3" t="str">
        <f>IF($E280="","",Меню!$D$16)</f>
        <v/>
      </c>
      <c r="E280" s="3" t="str">
        <f>IFERROR(IF(IFERROR(INDEX(Рецепты!$H$6:$H$85,MATCH(Меню!$D$16,Рецепты!$H$6:$H$85,0)+24)=Меню!$D$16,FALSE),INDEX(Рецепты!$J$6:$J$85,MATCH(Меню!$D$16,Рецепты!$H$6:$H$85,0)+24),""),"")</f>
        <v/>
      </c>
      <c r="F280" s="3" t="str">
        <f>IF($E280="","",INDEX(Рецепты!$K$6:$K$85,MATCH(Меню!$D$16,Рецепты!$H$6:$H$85,0)+24))</f>
        <v/>
      </c>
      <c r="G280" s="3" t="str">
        <f>IF($E280="","",INDEX(Рецепты!$M$6:$M$85,MATCH(Меню!$D$16,Рецепты!$H$6:$H$85,0)+24))</f>
        <v/>
      </c>
      <c r="H280" s="12">
        <f>IFERROR(IF(IFERROR(INDEX(Рецепты!$H$6:$H$85,MATCH(Меню!$D$16,Рецепты!$H$6:$H$85,0)+24)=Меню!$D$16,FALSE),INDEX(Рецепты!$L$6:$L$85,MATCH(Меню!$D$16,Рецепты!$H$6:$H$85,0)+24),0),0)</f>
        <v>0</v>
      </c>
      <c r="I280" s="12" t="str">
        <f>IF($F280="","",Меню!$E$16)</f>
        <v/>
      </c>
      <c r="J280" s="12">
        <f t="shared" si="4"/>
        <v>0</v>
      </c>
      <c r="K280" s="12">
        <f>IFERROR($J280/100*INDEX(Продукты!$G$6:$G$66,MATCH($E280,Продукты!$A$6:$A$66,0)),0)</f>
        <v>0</v>
      </c>
      <c r="L280" s="12">
        <f>IFERROR($J280/100*INDEX(Продукты!$H$6:$H$66,MATCH($E280,Продукты!$A$6:$A$66,0)),0)</f>
        <v>0</v>
      </c>
      <c r="M280" s="12">
        <f>IFERROR($J280/100*INDEX(Продукты!$I$6:$I$66,MATCH($E280,Продукты!$A$6:$A$66,0)),0)</f>
        <v>0</v>
      </c>
      <c r="N280" s="12">
        <f>IFERROR($J280/100*INDEX(Продукты!$J$6:$J$66,MATCH($E280,Продукты!$A$6:$A$66,0)),0)</f>
        <v>0</v>
      </c>
      <c r="O280" s="3" t="str">
        <f>IFERROR(IF(IFERROR(INDEX(Рецепты!$H$6:$H$85,MATCH(Меню!$D$16,Рецепты!$H$6:$H$85,0)+24)=Меню!$D$16,FALSE),INDEX(Рецепты!$N$6:$N$85,MATCH(Меню!$D$16,Рецепты!$H$6:$H$85,0)+24),""),"")</f>
        <v/>
      </c>
    </row>
    <row r="281" spans="1:15">
      <c r="A281" s="3" t="str">
        <f>IF($E281="","",Меню!$A$17)</f>
        <v/>
      </c>
      <c r="B281" s="3" t="str">
        <f>IF($E281="","",Меню!$B$17)</f>
        <v/>
      </c>
      <c r="C281" s="3" t="str">
        <f>IF($E281="","",Меню!$C$17)</f>
        <v/>
      </c>
      <c r="D281" s="3" t="str">
        <f>IF($E281="","",Меню!$D$17)</f>
        <v/>
      </c>
      <c r="E281" s="3" t="str">
        <f>IFERROR(IF(IFERROR(INDEX(Рецепты!$H$6:$H$85,MATCH(Меню!$D$17,Рецепты!$H$6:$H$85,0)+0)=Меню!$D$17,FALSE),INDEX(Рецепты!$J$6:$J$85,MATCH(Меню!$D$17,Рецепты!$H$6:$H$85,0)+0),""),"")</f>
        <v/>
      </c>
      <c r="F281" s="3" t="str">
        <f>IF($E281="","",INDEX(Рецепты!$K$6:$K$85,MATCH(Меню!$D$17,Рецепты!$H$6:$H$85,0)+0))</f>
        <v/>
      </c>
      <c r="G281" s="3" t="str">
        <f>IF($E281="","",INDEX(Рецепты!$M$6:$M$85,MATCH(Меню!$D$17,Рецепты!$H$6:$H$85,0)+0))</f>
        <v/>
      </c>
      <c r="H281" s="12">
        <f>IFERROR(IF(IFERROR(INDEX(Рецепты!$H$6:$H$85,MATCH(Меню!$D$17,Рецепты!$H$6:$H$85,0)+0)=Меню!$D$17,FALSE),INDEX(Рецепты!$L$6:$L$85,MATCH(Меню!$D$17,Рецепты!$H$6:$H$85,0)+0),0),0)</f>
        <v>0</v>
      </c>
      <c r="I281" s="12" t="str">
        <f>IF($F281="","",Меню!$E$17)</f>
        <v/>
      </c>
      <c r="J281" s="12">
        <f t="shared" si="4"/>
        <v>0</v>
      </c>
      <c r="K281" s="12">
        <f>IFERROR($J281/100*INDEX(Продукты!$G$6:$G$66,MATCH($E281,Продукты!$A$6:$A$66,0)),0)</f>
        <v>0</v>
      </c>
      <c r="L281" s="12">
        <f>IFERROR($J281/100*INDEX(Продукты!$H$6:$H$66,MATCH($E281,Продукты!$A$6:$A$66,0)),0)</f>
        <v>0</v>
      </c>
      <c r="M281" s="12">
        <f>IFERROR($J281/100*INDEX(Продукты!$I$6:$I$66,MATCH($E281,Продукты!$A$6:$A$66,0)),0)</f>
        <v>0</v>
      </c>
      <c r="N281" s="12">
        <f>IFERROR($J281/100*INDEX(Продукты!$J$6:$J$66,MATCH($E281,Продукты!$A$6:$A$66,0)),0)</f>
        <v>0</v>
      </c>
      <c r="O281" s="3" t="str">
        <f>IFERROR(IF(IFERROR(INDEX(Рецепты!$H$6:$H$85,MATCH(Меню!$D$17,Рецепты!$H$6:$H$85,0)+0)=Меню!$D$17,FALSE),INDEX(Рецепты!$N$6:$N$85,MATCH(Меню!$D$17,Рецепты!$H$6:$H$85,0)+0),""),"")</f>
        <v/>
      </c>
    </row>
    <row r="282" spans="1:15">
      <c r="A282" s="3" t="str">
        <f>IF($E282="","",Меню!$A$17)</f>
        <v/>
      </c>
      <c r="B282" s="3" t="str">
        <f>IF($E282="","",Меню!$B$17)</f>
        <v/>
      </c>
      <c r="C282" s="3" t="str">
        <f>IF($E282="","",Меню!$C$17)</f>
        <v/>
      </c>
      <c r="D282" s="3" t="str">
        <f>IF($E282="","",Меню!$D$17)</f>
        <v/>
      </c>
      <c r="E282" s="3" t="str">
        <f>IFERROR(IF(IFERROR(INDEX(Рецепты!$H$6:$H$85,MATCH(Меню!$D$17,Рецепты!$H$6:$H$85,0)+1)=Меню!$D$17,FALSE),INDEX(Рецепты!$J$6:$J$85,MATCH(Меню!$D$17,Рецепты!$H$6:$H$85,0)+1),""),"")</f>
        <v/>
      </c>
      <c r="F282" s="3" t="str">
        <f>IF($E282="","",INDEX(Рецепты!$K$6:$K$85,MATCH(Меню!$D$17,Рецепты!$H$6:$H$85,0)+1))</f>
        <v/>
      </c>
      <c r="G282" s="3" t="str">
        <f>IF($E282="","",INDEX(Рецепты!$M$6:$M$85,MATCH(Меню!$D$17,Рецепты!$H$6:$H$85,0)+1))</f>
        <v/>
      </c>
      <c r="H282" s="12">
        <f>IFERROR(IF(IFERROR(INDEX(Рецепты!$H$6:$H$85,MATCH(Меню!$D$17,Рецепты!$H$6:$H$85,0)+1)=Меню!$D$17,FALSE),INDEX(Рецепты!$L$6:$L$85,MATCH(Меню!$D$17,Рецепты!$H$6:$H$85,0)+1),0),0)</f>
        <v>0</v>
      </c>
      <c r="I282" s="12" t="str">
        <f>IF($F282="","",Меню!$E$17)</f>
        <v/>
      </c>
      <c r="J282" s="12">
        <f t="shared" si="4"/>
        <v>0</v>
      </c>
      <c r="K282" s="12">
        <f>IFERROR($J282/100*INDEX(Продукты!$G$6:$G$66,MATCH($E282,Продукты!$A$6:$A$66,0)),0)</f>
        <v>0</v>
      </c>
      <c r="L282" s="12">
        <f>IFERROR($J282/100*INDEX(Продукты!$H$6:$H$66,MATCH($E282,Продукты!$A$6:$A$66,0)),0)</f>
        <v>0</v>
      </c>
      <c r="M282" s="12">
        <f>IFERROR($J282/100*INDEX(Продукты!$I$6:$I$66,MATCH($E282,Продукты!$A$6:$A$66,0)),0)</f>
        <v>0</v>
      </c>
      <c r="N282" s="12">
        <f>IFERROR($J282/100*INDEX(Продукты!$J$6:$J$66,MATCH($E282,Продукты!$A$6:$A$66,0)),0)</f>
        <v>0</v>
      </c>
      <c r="O282" s="3" t="str">
        <f>IFERROR(IF(IFERROR(INDEX(Рецепты!$H$6:$H$85,MATCH(Меню!$D$17,Рецепты!$H$6:$H$85,0)+1)=Меню!$D$17,FALSE),INDEX(Рецепты!$N$6:$N$85,MATCH(Меню!$D$17,Рецепты!$H$6:$H$85,0)+1),""),"")</f>
        <v/>
      </c>
    </row>
    <row r="283" spans="1:15">
      <c r="A283" s="3" t="str">
        <f>IF($E283="","",Меню!$A$17)</f>
        <v/>
      </c>
      <c r="B283" s="3" t="str">
        <f>IF($E283="","",Меню!$B$17)</f>
        <v/>
      </c>
      <c r="C283" s="3" t="str">
        <f>IF($E283="","",Меню!$C$17)</f>
        <v/>
      </c>
      <c r="D283" s="3" t="str">
        <f>IF($E283="","",Меню!$D$17)</f>
        <v/>
      </c>
      <c r="E283" s="3" t="str">
        <f>IFERROR(IF(IFERROR(INDEX(Рецепты!$H$6:$H$85,MATCH(Меню!$D$17,Рецепты!$H$6:$H$85,0)+2)=Меню!$D$17,FALSE),INDEX(Рецепты!$J$6:$J$85,MATCH(Меню!$D$17,Рецепты!$H$6:$H$85,0)+2),""),"")</f>
        <v/>
      </c>
      <c r="F283" s="3" t="str">
        <f>IF($E283="","",INDEX(Рецепты!$K$6:$K$85,MATCH(Меню!$D$17,Рецепты!$H$6:$H$85,0)+2))</f>
        <v/>
      </c>
      <c r="G283" s="3" t="str">
        <f>IF($E283="","",INDEX(Рецепты!$M$6:$M$85,MATCH(Меню!$D$17,Рецепты!$H$6:$H$85,0)+2))</f>
        <v/>
      </c>
      <c r="H283" s="12">
        <f>IFERROR(IF(IFERROR(INDEX(Рецепты!$H$6:$H$85,MATCH(Меню!$D$17,Рецепты!$H$6:$H$85,0)+2)=Меню!$D$17,FALSE),INDEX(Рецепты!$L$6:$L$85,MATCH(Меню!$D$17,Рецепты!$H$6:$H$85,0)+2),0),0)</f>
        <v>0</v>
      </c>
      <c r="I283" s="12" t="str">
        <f>IF($F283="","",Меню!$E$17)</f>
        <v/>
      </c>
      <c r="J283" s="12">
        <f t="shared" si="4"/>
        <v>0</v>
      </c>
      <c r="K283" s="12">
        <f>IFERROR($J283/100*INDEX(Продукты!$G$6:$G$66,MATCH($E283,Продукты!$A$6:$A$66,0)),0)</f>
        <v>0</v>
      </c>
      <c r="L283" s="12">
        <f>IFERROR($J283/100*INDEX(Продукты!$H$6:$H$66,MATCH($E283,Продукты!$A$6:$A$66,0)),0)</f>
        <v>0</v>
      </c>
      <c r="M283" s="12">
        <f>IFERROR($J283/100*INDEX(Продукты!$I$6:$I$66,MATCH($E283,Продукты!$A$6:$A$66,0)),0)</f>
        <v>0</v>
      </c>
      <c r="N283" s="12">
        <f>IFERROR($J283/100*INDEX(Продукты!$J$6:$J$66,MATCH($E283,Продукты!$A$6:$A$66,0)),0)</f>
        <v>0</v>
      </c>
      <c r="O283" s="3" t="str">
        <f>IFERROR(IF(IFERROR(INDEX(Рецепты!$H$6:$H$85,MATCH(Меню!$D$17,Рецепты!$H$6:$H$85,0)+2)=Меню!$D$17,FALSE),INDEX(Рецепты!$N$6:$N$85,MATCH(Меню!$D$17,Рецепты!$H$6:$H$85,0)+2),""),"")</f>
        <v/>
      </c>
    </row>
    <row r="284" spans="1:15">
      <c r="A284" s="3" t="str">
        <f>IF($E284="","",Меню!$A$17)</f>
        <v/>
      </c>
      <c r="B284" s="3" t="str">
        <f>IF($E284="","",Меню!$B$17)</f>
        <v/>
      </c>
      <c r="C284" s="3" t="str">
        <f>IF($E284="","",Меню!$C$17)</f>
        <v/>
      </c>
      <c r="D284" s="3" t="str">
        <f>IF($E284="","",Меню!$D$17)</f>
        <v/>
      </c>
      <c r="E284" s="3" t="str">
        <f>IFERROR(IF(IFERROR(INDEX(Рецепты!$H$6:$H$85,MATCH(Меню!$D$17,Рецепты!$H$6:$H$85,0)+3)=Меню!$D$17,FALSE),INDEX(Рецепты!$J$6:$J$85,MATCH(Меню!$D$17,Рецепты!$H$6:$H$85,0)+3),""),"")</f>
        <v/>
      </c>
      <c r="F284" s="3" t="str">
        <f>IF($E284="","",INDEX(Рецепты!$K$6:$K$85,MATCH(Меню!$D$17,Рецепты!$H$6:$H$85,0)+3))</f>
        <v/>
      </c>
      <c r="G284" s="3" t="str">
        <f>IF($E284="","",INDEX(Рецепты!$M$6:$M$85,MATCH(Меню!$D$17,Рецепты!$H$6:$H$85,0)+3))</f>
        <v/>
      </c>
      <c r="H284" s="12">
        <f>IFERROR(IF(IFERROR(INDEX(Рецепты!$H$6:$H$85,MATCH(Меню!$D$17,Рецепты!$H$6:$H$85,0)+3)=Меню!$D$17,FALSE),INDEX(Рецепты!$L$6:$L$85,MATCH(Меню!$D$17,Рецепты!$H$6:$H$85,0)+3),0),0)</f>
        <v>0</v>
      </c>
      <c r="I284" s="12" t="str">
        <f>IF($F284="","",Меню!$E$17)</f>
        <v/>
      </c>
      <c r="J284" s="12">
        <f t="shared" si="4"/>
        <v>0</v>
      </c>
      <c r="K284" s="12">
        <f>IFERROR($J284/100*INDEX(Продукты!$G$6:$G$66,MATCH($E284,Продукты!$A$6:$A$66,0)),0)</f>
        <v>0</v>
      </c>
      <c r="L284" s="12">
        <f>IFERROR($J284/100*INDEX(Продукты!$H$6:$H$66,MATCH($E284,Продукты!$A$6:$A$66,0)),0)</f>
        <v>0</v>
      </c>
      <c r="M284" s="12">
        <f>IFERROR($J284/100*INDEX(Продукты!$I$6:$I$66,MATCH($E284,Продукты!$A$6:$A$66,0)),0)</f>
        <v>0</v>
      </c>
      <c r="N284" s="12">
        <f>IFERROR($J284/100*INDEX(Продукты!$J$6:$J$66,MATCH($E284,Продукты!$A$6:$A$66,0)),0)</f>
        <v>0</v>
      </c>
      <c r="O284" s="3" t="str">
        <f>IFERROR(IF(IFERROR(INDEX(Рецепты!$H$6:$H$85,MATCH(Меню!$D$17,Рецепты!$H$6:$H$85,0)+3)=Меню!$D$17,FALSE),INDEX(Рецепты!$N$6:$N$85,MATCH(Меню!$D$17,Рецепты!$H$6:$H$85,0)+3),""),"")</f>
        <v/>
      </c>
    </row>
    <row r="285" spans="1:15">
      <c r="A285" s="3" t="str">
        <f>IF($E285="","",Меню!$A$17)</f>
        <v/>
      </c>
      <c r="B285" s="3" t="str">
        <f>IF($E285="","",Меню!$B$17)</f>
        <v/>
      </c>
      <c r="C285" s="3" t="str">
        <f>IF($E285="","",Меню!$C$17)</f>
        <v/>
      </c>
      <c r="D285" s="3" t="str">
        <f>IF($E285="","",Меню!$D$17)</f>
        <v/>
      </c>
      <c r="E285" s="3" t="str">
        <f>IFERROR(IF(IFERROR(INDEX(Рецепты!$H$6:$H$85,MATCH(Меню!$D$17,Рецепты!$H$6:$H$85,0)+4)=Меню!$D$17,FALSE),INDEX(Рецепты!$J$6:$J$85,MATCH(Меню!$D$17,Рецепты!$H$6:$H$85,0)+4),""),"")</f>
        <v/>
      </c>
      <c r="F285" s="3" t="str">
        <f>IF($E285="","",INDEX(Рецепты!$K$6:$K$85,MATCH(Меню!$D$17,Рецепты!$H$6:$H$85,0)+4))</f>
        <v/>
      </c>
      <c r="G285" s="3" t="str">
        <f>IF($E285="","",INDEX(Рецепты!$M$6:$M$85,MATCH(Меню!$D$17,Рецепты!$H$6:$H$85,0)+4))</f>
        <v/>
      </c>
      <c r="H285" s="12">
        <f>IFERROR(IF(IFERROR(INDEX(Рецепты!$H$6:$H$85,MATCH(Меню!$D$17,Рецепты!$H$6:$H$85,0)+4)=Меню!$D$17,FALSE),INDEX(Рецепты!$L$6:$L$85,MATCH(Меню!$D$17,Рецепты!$H$6:$H$85,0)+4),0),0)</f>
        <v>0</v>
      </c>
      <c r="I285" s="12" t="str">
        <f>IF($F285="","",Меню!$E$17)</f>
        <v/>
      </c>
      <c r="J285" s="12">
        <f t="shared" si="4"/>
        <v>0</v>
      </c>
      <c r="K285" s="12">
        <f>IFERROR($J285/100*INDEX(Продукты!$G$6:$G$66,MATCH($E285,Продукты!$A$6:$A$66,0)),0)</f>
        <v>0</v>
      </c>
      <c r="L285" s="12">
        <f>IFERROR($J285/100*INDEX(Продукты!$H$6:$H$66,MATCH($E285,Продукты!$A$6:$A$66,0)),0)</f>
        <v>0</v>
      </c>
      <c r="M285" s="12">
        <f>IFERROR($J285/100*INDEX(Продукты!$I$6:$I$66,MATCH($E285,Продукты!$A$6:$A$66,0)),0)</f>
        <v>0</v>
      </c>
      <c r="N285" s="12">
        <f>IFERROR($J285/100*INDEX(Продукты!$J$6:$J$66,MATCH($E285,Продукты!$A$6:$A$66,0)),0)</f>
        <v>0</v>
      </c>
      <c r="O285" s="3" t="str">
        <f>IFERROR(IF(IFERROR(INDEX(Рецепты!$H$6:$H$85,MATCH(Меню!$D$17,Рецепты!$H$6:$H$85,0)+4)=Меню!$D$17,FALSE),INDEX(Рецепты!$N$6:$N$85,MATCH(Меню!$D$17,Рецепты!$H$6:$H$85,0)+4),""),"")</f>
        <v/>
      </c>
    </row>
    <row r="286" spans="1:15">
      <c r="A286" s="3" t="str">
        <f>IF($E286="","",Меню!$A$17)</f>
        <v/>
      </c>
      <c r="B286" s="3" t="str">
        <f>IF($E286="","",Меню!$B$17)</f>
        <v/>
      </c>
      <c r="C286" s="3" t="str">
        <f>IF($E286="","",Меню!$C$17)</f>
        <v/>
      </c>
      <c r="D286" s="3" t="str">
        <f>IF($E286="","",Меню!$D$17)</f>
        <v/>
      </c>
      <c r="E286" s="3" t="str">
        <f>IFERROR(IF(IFERROR(INDEX(Рецепты!$H$6:$H$85,MATCH(Меню!$D$17,Рецепты!$H$6:$H$85,0)+5)=Меню!$D$17,FALSE),INDEX(Рецепты!$J$6:$J$85,MATCH(Меню!$D$17,Рецепты!$H$6:$H$85,0)+5),""),"")</f>
        <v/>
      </c>
      <c r="F286" s="3" t="str">
        <f>IF($E286="","",INDEX(Рецепты!$K$6:$K$85,MATCH(Меню!$D$17,Рецепты!$H$6:$H$85,0)+5))</f>
        <v/>
      </c>
      <c r="G286" s="3" t="str">
        <f>IF($E286="","",INDEX(Рецепты!$M$6:$M$85,MATCH(Меню!$D$17,Рецепты!$H$6:$H$85,0)+5))</f>
        <v/>
      </c>
      <c r="H286" s="12">
        <f>IFERROR(IF(IFERROR(INDEX(Рецепты!$H$6:$H$85,MATCH(Меню!$D$17,Рецепты!$H$6:$H$85,0)+5)=Меню!$D$17,FALSE),INDEX(Рецепты!$L$6:$L$85,MATCH(Меню!$D$17,Рецепты!$H$6:$H$85,0)+5),0),0)</f>
        <v>0</v>
      </c>
      <c r="I286" s="12" t="str">
        <f>IF($F286="","",Меню!$E$17)</f>
        <v/>
      </c>
      <c r="J286" s="12">
        <f t="shared" si="4"/>
        <v>0</v>
      </c>
      <c r="K286" s="12">
        <f>IFERROR($J286/100*INDEX(Продукты!$G$6:$G$66,MATCH($E286,Продукты!$A$6:$A$66,0)),0)</f>
        <v>0</v>
      </c>
      <c r="L286" s="12">
        <f>IFERROR($J286/100*INDEX(Продукты!$H$6:$H$66,MATCH($E286,Продукты!$A$6:$A$66,0)),0)</f>
        <v>0</v>
      </c>
      <c r="M286" s="12">
        <f>IFERROR($J286/100*INDEX(Продукты!$I$6:$I$66,MATCH($E286,Продукты!$A$6:$A$66,0)),0)</f>
        <v>0</v>
      </c>
      <c r="N286" s="12">
        <f>IFERROR($J286/100*INDEX(Продукты!$J$6:$J$66,MATCH($E286,Продукты!$A$6:$A$66,0)),0)</f>
        <v>0</v>
      </c>
      <c r="O286" s="3" t="str">
        <f>IFERROR(IF(IFERROR(INDEX(Рецепты!$H$6:$H$85,MATCH(Меню!$D$17,Рецепты!$H$6:$H$85,0)+5)=Меню!$D$17,FALSE),INDEX(Рецепты!$N$6:$N$85,MATCH(Меню!$D$17,Рецепты!$H$6:$H$85,0)+5),""),"")</f>
        <v/>
      </c>
    </row>
    <row r="287" spans="1:15">
      <c r="A287" s="3" t="str">
        <f>IF($E287="","",Меню!$A$17)</f>
        <v/>
      </c>
      <c r="B287" s="3" t="str">
        <f>IF($E287="","",Меню!$B$17)</f>
        <v/>
      </c>
      <c r="C287" s="3" t="str">
        <f>IF($E287="","",Меню!$C$17)</f>
        <v/>
      </c>
      <c r="D287" s="3" t="str">
        <f>IF($E287="","",Меню!$D$17)</f>
        <v/>
      </c>
      <c r="E287" s="3" t="str">
        <f>IFERROR(IF(IFERROR(INDEX(Рецепты!$H$6:$H$85,MATCH(Меню!$D$17,Рецепты!$H$6:$H$85,0)+6)=Меню!$D$17,FALSE),INDEX(Рецепты!$J$6:$J$85,MATCH(Меню!$D$17,Рецепты!$H$6:$H$85,0)+6),""),"")</f>
        <v/>
      </c>
      <c r="F287" s="3" t="str">
        <f>IF($E287="","",INDEX(Рецепты!$K$6:$K$85,MATCH(Меню!$D$17,Рецепты!$H$6:$H$85,0)+6))</f>
        <v/>
      </c>
      <c r="G287" s="3" t="str">
        <f>IF($E287="","",INDEX(Рецепты!$M$6:$M$85,MATCH(Меню!$D$17,Рецепты!$H$6:$H$85,0)+6))</f>
        <v/>
      </c>
      <c r="H287" s="12">
        <f>IFERROR(IF(IFERROR(INDEX(Рецепты!$H$6:$H$85,MATCH(Меню!$D$17,Рецепты!$H$6:$H$85,0)+6)=Меню!$D$17,FALSE),INDEX(Рецепты!$L$6:$L$85,MATCH(Меню!$D$17,Рецепты!$H$6:$H$85,0)+6),0),0)</f>
        <v>0</v>
      </c>
      <c r="I287" s="12" t="str">
        <f>IF($F287="","",Меню!$E$17)</f>
        <v/>
      </c>
      <c r="J287" s="12">
        <f t="shared" si="4"/>
        <v>0</v>
      </c>
      <c r="K287" s="12">
        <f>IFERROR($J287/100*INDEX(Продукты!$G$6:$G$66,MATCH($E287,Продукты!$A$6:$A$66,0)),0)</f>
        <v>0</v>
      </c>
      <c r="L287" s="12">
        <f>IFERROR($J287/100*INDEX(Продукты!$H$6:$H$66,MATCH($E287,Продукты!$A$6:$A$66,0)),0)</f>
        <v>0</v>
      </c>
      <c r="M287" s="12">
        <f>IFERROR($J287/100*INDEX(Продукты!$I$6:$I$66,MATCH($E287,Продукты!$A$6:$A$66,0)),0)</f>
        <v>0</v>
      </c>
      <c r="N287" s="12">
        <f>IFERROR($J287/100*INDEX(Продукты!$J$6:$J$66,MATCH($E287,Продукты!$A$6:$A$66,0)),0)</f>
        <v>0</v>
      </c>
      <c r="O287" s="3" t="str">
        <f>IFERROR(IF(IFERROR(INDEX(Рецепты!$H$6:$H$85,MATCH(Меню!$D$17,Рецепты!$H$6:$H$85,0)+6)=Меню!$D$17,FALSE),INDEX(Рецепты!$N$6:$N$85,MATCH(Меню!$D$17,Рецепты!$H$6:$H$85,0)+6),""),"")</f>
        <v/>
      </c>
    </row>
    <row r="288" spans="1:15">
      <c r="A288" s="3" t="str">
        <f>IF($E288="","",Меню!$A$17)</f>
        <v/>
      </c>
      <c r="B288" s="3" t="str">
        <f>IF($E288="","",Меню!$B$17)</f>
        <v/>
      </c>
      <c r="C288" s="3" t="str">
        <f>IF($E288="","",Меню!$C$17)</f>
        <v/>
      </c>
      <c r="D288" s="3" t="str">
        <f>IF($E288="","",Меню!$D$17)</f>
        <v/>
      </c>
      <c r="E288" s="3" t="str">
        <f>IFERROR(IF(IFERROR(INDEX(Рецепты!$H$6:$H$85,MATCH(Меню!$D$17,Рецепты!$H$6:$H$85,0)+7)=Меню!$D$17,FALSE),INDEX(Рецепты!$J$6:$J$85,MATCH(Меню!$D$17,Рецепты!$H$6:$H$85,0)+7),""),"")</f>
        <v/>
      </c>
      <c r="F288" s="3" t="str">
        <f>IF($E288="","",INDEX(Рецепты!$K$6:$K$85,MATCH(Меню!$D$17,Рецепты!$H$6:$H$85,0)+7))</f>
        <v/>
      </c>
      <c r="G288" s="3" t="str">
        <f>IF($E288="","",INDEX(Рецепты!$M$6:$M$85,MATCH(Меню!$D$17,Рецепты!$H$6:$H$85,0)+7))</f>
        <v/>
      </c>
      <c r="H288" s="12">
        <f>IFERROR(IF(IFERROR(INDEX(Рецепты!$H$6:$H$85,MATCH(Меню!$D$17,Рецепты!$H$6:$H$85,0)+7)=Меню!$D$17,FALSE),INDEX(Рецепты!$L$6:$L$85,MATCH(Меню!$D$17,Рецепты!$H$6:$H$85,0)+7),0),0)</f>
        <v>0</v>
      </c>
      <c r="I288" s="12" t="str">
        <f>IF($F288="","",Меню!$E$17)</f>
        <v/>
      </c>
      <c r="J288" s="12">
        <f t="shared" si="4"/>
        <v>0</v>
      </c>
      <c r="K288" s="12">
        <f>IFERROR($J288/100*INDEX(Продукты!$G$6:$G$66,MATCH($E288,Продукты!$A$6:$A$66,0)),0)</f>
        <v>0</v>
      </c>
      <c r="L288" s="12">
        <f>IFERROR($J288/100*INDEX(Продукты!$H$6:$H$66,MATCH($E288,Продукты!$A$6:$A$66,0)),0)</f>
        <v>0</v>
      </c>
      <c r="M288" s="12">
        <f>IFERROR($J288/100*INDEX(Продукты!$I$6:$I$66,MATCH($E288,Продукты!$A$6:$A$66,0)),0)</f>
        <v>0</v>
      </c>
      <c r="N288" s="12">
        <f>IFERROR($J288/100*INDEX(Продукты!$J$6:$J$66,MATCH($E288,Продукты!$A$6:$A$66,0)),0)</f>
        <v>0</v>
      </c>
      <c r="O288" s="3" t="str">
        <f>IFERROR(IF(IFERROR(INDEX(Рецепты!$H$6:$H$85,MATCH(Меню!$D$17,Рецепты!$H$6:$H$85,0)+7)=Меню!$D$17,FALSE),INDEX(Рецепты!$N$6:$N$85,MATCH(Меню!$D$17,Рецепты!$H$6:$H$85,0)+7),""),"")</f>
        <v/>
      </c>
    </row>
    <row r="289" spans="1:15">
      <c r="A289" s="3" t="str">
        <f>IF($E289="","",Меню!$A$17)</f>
        <v/>
      </c>
      <c r="B289" s="3" t="str">
        <f>IF($E289="","",Меню!$B$17)</f>
        <v/>
      </c>
      <c r="C289" s="3" t="str">
        <f>IF($E289="","",Меню!$C$17)</f>
        <v/>
      </c>
      <c r="D289" s="3" t="str">
        <f>IF($E289="","",Меню!$D$17)</f>
        <v/>
      </c>
      <c r="E289" s="3" t="str">
        <f>IFERROR(IF(IFERROR(INDEX(Рецепты!$H$6:$H$85,MATCH(Меню!$D$17,Рецепты!$H$6:$H$85,0)+8)=Меню!$D$17,FALSE),INDEX(Рецепты!$J$6:$J$85,MATCH(Меню!$D$17,Рецепты!$H$6:$H$85,0)+8),""),"")</f>
        <v/>
      </c>
      <c r="F289" s="3" t="str">
        <f>IF($E289="","",INDEX(Рецепты!$K$6:$K$85,MATCH(Меню!$D$17,Рецепты!$H$6:$H$85,0)+8))</f>
        <v/>
      </c>
      <c r="G289" s="3" t="str">
        <f>IF($E289="","",INDEX(Рецепты!$M$6:$M$85,MATCH(Меню!$D$17,Рецепты!$H$6:$H$85,0)+8))</f>
        <v/>
      </c>
      <c r="H289" s="12">
        <f>IFERROR(IF(IFERROR(INDEX(Рецепты!$H$6:$H$85,MATCH(Меню!$D$17,Рецепты!$H$6:$H$85,0)+8)=Меню!$D$17,FALSE),INDEX(Рецепты!$L$6:$L$85,MATCH(Меню!$D$17,Рецепты!$H$6:$H$85,0)+8),0),0)</f>
        <v>0</v>
      </c>
      <c r="I289" s="12" t="str">
        <f>IF($F289="","",Меню!$E$17)</f>
        <v/>
      </c>
      <c r="J289" s="12">
        <f t="shared" si="4"/>
        <v>0</v>
      </c>
      <c r="K289" s="12">
        <f>IFERROR($J289/100*INDEX(Продукты!$G$6:$G$66,MATCH($E289,Продукты!$A$6:$A$66,0)),0)</f>
        <v>0</v>
      </c>
      <c r="L289" s="12">
        <f>IFERROR($J289/100*INDEX(Продукты!$H$6:$H$66,MATCH($E289,Продукты!$A$6:$A$66,0)),0)</f>
        <v>0</v>
      </c>
      <c r="M289" s="12">
        <f>IFERROR($J289/100*INDEX(Продукты!$I$6:$I$66,MATCH($E289,Продукты!$A$6:$A$66,0)),0)</f>
        <v>0</v>
      </c>
      <c r="N289" s="12">
        <f>IFERROR($J289/100*INDEX(Продукты!$J$6:$J$66,MATCH($E289,Продукты!$A$6:$A$66,0)),0)</f>
        <v>0</v>
      </c>
      <c r="O289" s="3" t="str">
        <f>IFERROR(IF(IFERROR(INDEX(Рецепты!$H$6:$H$85,MATCH(Меню!$D$17,Рецепты!$H$6:$H$85,0)+8)=Меню!$D$17,FALSE),INDEX(Рецепты!$N$6:$N$85,MATCH(Меню!$D$17,Рецепты!$H$6:$H$85,0)+8),""),"")</f>
        <v/>
      </c>
    </row>
    <row r="290" spans="1:15">
      <c r="A290" s="3" t="str">
        <f>IF($E290="","",Меню!$A$17)</f>
        <v/>
      </c>
      <c r="B290" s="3" t="str">
        <f>IF($E290="","",Меню!$B$17)</f>
        <v/>
      </c>
      <c r="C290" s="3" t="str">
        <f>IF($E290="","",Меню!$C$17)</f>
        <v/>
      </c>
      <c r="D290" s="3" t="str">
        <f>IF($E290="","",Меню!$D$17)</f>
        <v/>
      </c>
      <c r="E290" s="3" t="str">
        <f>IFERROR(IF(IFERROR(INDEX(Рецепты!$H$6:$H$85,MATCH(Меню!$D$17,Рецепты!$H$6:$H$85,0)+9)=Меню!$D$17,FALSE),INDEX(Рецепты!$J$6:$J$85,MATCH(Меню!$D$17,Рецепты!$H$6:$H$85,0)+9),""),"")</f>
        <v/>
      </c>
      <c r="F290" s="3" t="str">
        <f>IF($E290="","",INDEX(Рецепты!$K$6:$K$85,MATCH(Меню!$D$17,Рецепты!$H$6:$H$85,0)+9))</f>
        <v/>
      </c>
      <c r="G290" s="3" t="str">
        <f>IF($E290="","",INDEX(Рецепты!$M$6:$M$85,MATCH(Меню!$D$17,Рецепты!$H$6:$H$85,0)+9))</f>
        <v/>
      </c>
      <c r="H290" s="12">
        <f>IFERROR(IF(IFERROR(INDEX(Рецепты!$H$6:$H$85,MATCH(Меню!$D$17,Рецепты!$H$6:$H$85,0)+9)=Меню!$D$17,FALSE),INDEX(Рецепты!$L$6:$L$85,MATCH(Меню!$D$17,Рецепты!$H$6:$H$85,0)+9),0),0)</f>
        <v>0</v>
      </c>
      <c r="I290" s="12" t="str">
        <f>IF($F290="","",Меню!$E$17)</f>
        <v/>
      </c>
      <c r="J290" s="12">
        <f t="shared" si="4"/>
        <v>0</v>
      </c>
      <c r="K290" s="12">
        <f>IFERROR($J290/100*INDEX(Продукты!$G$6:$G$66,MATCH($E290,Продукты!$A$6:$A$66,0)),0)</f>
        <v>0</v>
      </c>
      <c r="L290" s="12">
        <f>IFERROR($J290/100*INDEX(Продукты!$H$6:$H$66,MATCH($E290,Продукты!$A$6:$A$66,0)),0)</f>
        <v>0</v>
      </c>
      <c r="M290" s="12">
        <f>IFERROR($J290/100*INDEX(Продукты!$I$6:$I$66,MATCH($E290,Продукты!$A$6:$A$66,0)),0)</f>
        <v>0</v>
      </c>
      <c r="N290" s="12">
        <f>IFERROR($J290/100*INDEX(Продукты!$J$6:$J$66,MATCH($E290,Продукты!$A$6:$A$66,0)),0)</f>
        <v>0</v>
      </c>
      <c r="O290" s="3" t="str">
        <f>IFERROR(IF(IFERROR(INDEX(Рецепты!$H$6:$H$85,MATCH(Меню!$D$17,Рецепты!$H$6:$H$85,0)+9)=Меню!$D$17,FALSE),INDEX(Рецепты!$N$6:$N$85,MATCH(Меню!$D$17,Рецепты!$H$6:$H$85,0)+9),""),"")</f>
        <v/>
      </c>
    </row>
    <row r="291" spans="1:15">
      <c r="A291" s="3" t="str">
        <f>IF($E291="","",Меню!$A$17)</f>
        <v/>
      </c>
      <c r="B291" s="3" t="str">
        <f>IF($E291="","",Меню!$B$17)</f>
        <v/>
      </c>
      <c r="C291" s="3" t="str">
        <f>IF($E291="","",Меню!$C$17)</f>
        <v/>
      </c>
      <c r="D291" s="3" t="str">
        <f>IF($E291="","",Меню!$D$17)</f>
        <v/>
      </c>
      <c r="E291" s="3" t="str">
        <f>IFERROR(IF(IFERROR(INDEX(Рецепты!$H$6:$H$85,MATCH(Меню!$D$17,Рецепты!$H$6:$H$85,0)+10)=Меню!$D$17,FALSE),INDEX(Рецепты!$J$6:$J$85,MATCH(Меню!$D$17,Рецепты!$H$6:$H$85,0)+10),""),"")</f>
        <v/>
      </c>
      <c r="F291" s="3" t="str">
        <f>IF($E291="","",INDEX(Рецепты!$K$6:$K$85,MATCH(Меню!$D$17,Рецепты!$H$6:$H$85,0)+10))</f>
        <v/>
      </c>
      <c r="G291" s="3" t="str">
        <f>IF($E291="","",INDEX(Рецепты!$M$6:$M$85,MATCH(Меню!$D$17,Рецепты!$H$6:$H$85,0)+10))</f>
        <v/>
      </c>
      <c r="H291" s="12">
        <f>IFERROR(IF(IFERROR(INDEX(Рецепты!$H$6:$H$85,MATCH(Меню!$D$17,Рецепты!$H$6:$H$85,0)+10)=Меню!$D$17,FALSE),INDEX(Рецепты!$L$6:$L$85,MATCH(Меню!$D$17,Рецепты!$H$6:$H$85,0)+10),0),0)</f>
        <v>0</v>
      </c>
      <c r="I291" s="12" t="str">
        <f>IF($F291="","",Меню!$E$17)</f>
        <v/>
      </c>
      <c r="J291" s="12">
        <f t="shared" si="4"/>
        <v>0</v>
      </c>
      <c r="K291" s="12">
        <f>IFERROR($J291/100*INDEX(Продукты!$G$6:$G$66,MATCH($E291,Продукты!$A$6:$A$66,0)),0)</f>
        <v>0</v>
      </c>
      <c r="L291" s="12">
        <f>IFERROR($J291/100*INDEX(Продукты!$H$6:$H$66,MATCH($E291,Продукты!$A$6:$A$66,0)),0)</f>
        <v>0</v>
      </c>
      <c r="M291" s="12">
        <f>IFERROR($J291/100*INDEX(Продукты!$I$6:$I$66,MATCH($E291,Продукты!$A$6:$A$66,0)),0)</f>
        <v>0</v>
      </c>
      <c r="N291" s="12">
        <f>IFERROR($J291/100*INDEX(Продукты!$J$6:$J$66,MATCH($E291,Продукты!$A$6:$A$66,0)),0)</f>
        <v>0</v>
      </c>
      <c r="O291" s="3" t="str">
        <f>IFERROR(IF(IFERROR(INDEX(Рецепты!$H$6:$H$85,MATCH(Меню!$D$17,Рецепты!$H$6:$H$85,0)+10)=Меню!$D$17,FALSE),INDEX(Рецепты!$N$6:$N$85,MATCH(Меню!$D$17,Рецепты!$H$6:$H$85,0)+10),""),"")</f>
        <v/>
      </c>
    </row>
    <row r="292" spans="1:15">
      <c r="A292" s="3" t="str">
        <f>IF($E292="","",Меню!$A$17)</f>
        <v/>
      </c>
      <c r="B292" s="3" t="str">
        <f>IF($E292="","",Меню!$B$17)</f>
        <v/>
      </c>
      <c r="C292" s="3" t="str">
        <f>IF($E292="","",Меню!$C$17)</f>
        <v/>
      </c>
      <c r="D292" s="3" t="str">
        <f>IF($E292="","",Меню!$D$17)</f>
        <v/>
      </c>
      <c r="E292" s="3" t="str">
        <f>IFERROR(IF(IFERROR(INDEX(Рецепты!$H$6:$H$85,MATCH(Меню!$D$17,Рецепты!$H$6:$H$85,0)+11)=Меню!$D$17,FALSE),INDEX(Рецепты!$J$6:$J$85,MATCH(Меню!$D$17,Рецепты!$H$6:$H$85,0)+11),""),"")</f>
        <v/>
      </c>
      <c r="F292" s="3" t="str">
        <f>IF($E292="","",INDEX(Рецепты!$K$6:$K$85,MATCH(Меню!$D$17,Рецепты!$H$6:$H$85,0)+11))</f>
        <v/>
      </c>
      <c r="G292" s="3" t="str">
        <f>IF($E292="","",INDEX(Рецепты!$M$6:$M$85,MATCH(Меню!$D$17,Рецепты!$H$6:$H$85,0)+11))</f>
        <v/>
      </c>
      <c r="H292" s="12">
        <f>IFERROR(IF(IFERROR(INDEX(Рецепты!$H$6:$H$85,MATCH(Меню!$D$17,Рецепты!$H$6:$H$85,0)+11)=Меню!$D$17,FALSE),INDEX(Рецепты!$L$6:$L$85,MATCH(Меню!$D$17,Рецепты!$H$6:$H$85,0)+11),0),0)</f>
        <v>0</v>
      </c>
      <c r="I292" s="12" t="str">
        <f>IF($F292="","",Меню!$E$17)</f>
        <v/>
      </c>
      <c r="J292" s="12">
        <f t="shared" si="4"/>
        <v>0</v>
      </c>
      <c r="K292" s="12">
        <f>IFERROR($J292/100*INDEX(Продукты!$G$6:$G$66,MATCH($E292,Продукты!$A$6:$A$66,0)),0)</f>
        <v>0</v>
      </c>
      <c r="L292" s="12">
        <f>IFERROR($J292/100*INDEX(Продукты!$H$6:$H$66,MATCH($E292,Продукты!$A$6:$A$66,0)),0)</f>
        <v>0</v>
      </c>
      <c r="M292" s="12">
        <f>IFERROR($J292/100*INDEX(Продукты!$I$6:$I$66,MATCH($E292,Продукты!$A$6:$A$66,0)),0)</f>
        <v>0</v>
      </c>
      <c r="N292" s="12">
        <f>IFERROR($J292/100*INDEX(Продукты!$J$6:$J$66,MATCH($E292,Продукты!$A$6:$A$66,0)),0)</f>
        <v>0</v>
      </c>
      <c r="O292" s="3" t="str">
        <f>IFERROR(IF(IFERROR(INDEX(Рецепты!$H$6:$H$85,MATCH(Меню!$D$17,Рецепты!$H$6:$H$85,0)+11)=Меню!$D$17,FALSE),INDEX(Рецепты!$N$6:$N$85,MATCH(Меню!$D$17,Рецепты!$H$6:$H$85,0)+11),""),"")</f>
        <v/>
      </c>
    </row>
    <row r="293" spans="1:15">
      <c r="A293" s="3" t="str">
        <f>IF($E293="","",Меню!$A$17)</f>
        <v/>
      </c>
      <c r="B293" s="3" t="str">
        <f>IF($E293="","",Меню!$B$17)</f>
        <v/>
      </c>
      <c r="C293" s="3" t="str">
        <f>IF($E293="","",Меню!$C$17)</f>
        <v/>
      </c>
      <c r="D293" s="3" t="str">
        <f>IF($E293="","",Меню!$D$17)</f>
        <v/>
      </c>
      <c r="E293" s="3" t="str">
        <f>IFERROR(IF(IFERROR(INDEX(Рецепты!$H$6:$H$85,MATCH(Меню!$D$17,Рецепты!$H$6:$H$85,0)+12)=Меню!$D$17,FALSE),INDEX(Рецепты!$J$6:$J$85,MATCH(Меню!$D$17,Рецепты!$H$6:$H$85,0)+12),""),"")</f>
        <v/>
      </c>
      <c r="F293" s="3" t="str">
        <f>IF($E293="","",INDEX(Рецепты!$K$6:$K$85,MATCH(Меню!$D$17,Рецепты!$H$6:$H$85,0)+12))</f>
        <v/>
      </c>
      <c r="G293" s="3" t="str">
        <f>IF($E293="","",INDEX(Рецепты!$M$6:$M$85,MATCH(Меню!$D$17,Рецепты!$H$6:$H$85,0)+12))</f>
        <v/>
      </c>
      <c r="H293" s="12">
        <f>IFERROR(IF(IFERROR(INDEX(Рецепты!$H$6:$H$85,MATCH(Меню!$D$17,Рецепты!$H$6:$H$85,0)+12)=Меню!$D$17,FALSE),INDEX(Рецепты!$L$6:$L$85,MATCH(Меню!$D$17,Рецепты!$H$6:$H$85,0)+12),0),0)</f>
        <v>0</v>
      </c>
      <c r="I293" s="12" t="str">
        <f>IF($F293="","",Меню!$E$17)</f>
        <v/>
      </c>
      <c r="J293" s="12">
        <f t="shared" si="4"/>
        <v>0</v>
      </c>
      <c r="K293" s="12">
        <f>IFERROR($J293/100*INDEX(Продукты!$G$6:$G$66,MATCH($E293,Продукты!$A$6:$A$66,0)),0)</f>
        <v>0</v>
      </c>
      <c r="L293" s="12">
        <f>IFERROR($J293/100*INDEX(Продукты!$H$6:$H$66,MATCH($E293,Продукты!$A$6:$A$66,0)),0)</f>
        <v>0</v>
      </c>
      <c r="M293" s="12">
        <f>IFERROR($J293/100*INDEX(Продукты!$I$6:$I$66,MATCH($E293,Продукты!$A$6:$A$66,0)),0)</f>
        <v>0</v>
      </c>
      <c r="N293" s="12">
        <f>IFERROR($J293/100*INDEX(Продукты!$J$6:$J$66,MATCH($E293,Продукты!$A$6:$A$66,0)),0)</f>
        <v>0</v>
      </c>
      <c r="O293" s="3" t="str">
        <f>IFERROR(IF(IFERROR(INDEX(Рецепты!$H$6:$H$85,MATCH(Меню!$D$17,Рецепты!$H$6:$H$85,0)+12)=Меню!$D$17,FALSE),INDEX(Рецепты!$N$6:$N$85,MATCH(Меню!$D$17,Рецепты!$H$6:$H$85,0)+12),""),"")</f>
        <v/>
      </c>
    </row>
    <row r="294" spans="1:15">
      <c r="A294" s="3" t="str">
        <f>IF($E294="","",Меню!$A$17)</f>
        <v/>
      </c>
      <c r="B294" s="3" t="str">
        <f>IF($E294="","",Меню!$B$17)</f>
        <v/>
      </c>
      <c r="C294" s="3" t="str">
        <f>IF($E294="","",Меню!$C$17)</f>
        <v/>
      </c>
      <c r="D294" s="3" t="str">
        <f>IF($E294="","",Меню!$D$17)</f>
        <v/>
      </c>
      <c r="E294" s="3" t="str">
        <f>IFERROR(IF(IFERROR(INDEX(Рецепты!$H$6:$H$85,MATCH(Меню!$D$17,Рецепты!$H$6:$H$85,0)+13)=Меню!$D$17,FALSE),INDEX(Рецепты!$J$6:$J$85,MATCH(Меню!$D$17,Рецепты!$H$6:$H$85,0)+13),""),"")</f>
        <v/>
      </c>
      <c r="F294" s="3" t="str">
        <f>IF($E294="","",INDEX(Рецепты!$K$6:$K$85,MATCH(Меню!$D$17,Рецепты!$H$6:$H$85,0)+13))</f>
        <v/>
      </c>
      <c r="G294" s="3" t="str">
        <f>IF($E294="","",INDEX(Рецепты!$M$6:$M$85,MATCH(Меню!$D$17,Рецепты!$H$6:$H$85,0)+13))</f>
        <v/>
      </c>
      <c r="H294" s="12">
        <f>IFERROR(IF(IFERROR(INDEX(Рецепты!$H$6:$H$85,MATCH(Меню!$D$17,Рецепты!$H$6:$H$85,0)+13)=Меню!$D$17,FALSE),INDEX(Рецепты!$L$6:$L$85,MATCH(Меню!$D$17,Рецепты!$H$6:$H$85,0)+13),0),0)</f>
        <v>0</v>
      </c>
      <c r="I294" s="12" t="str">
        <f>IF($F294="","",Меню!$E$17)</f>
        <v/>
      </c>
      <c r="J294" s="12">
        <f t="shared" si="4"/>
        <v>0</v>
      </c>
      <c r="K294" s="12">
        <f>IFERROR($J294/100*INDEX(Продукты!$G$6:$G$66,MATCH($E294,Продукты!$A$6:$A$66,0)),0)</f>
        <v>0</v>
      </c>
      <c r="L294" s="12">
        <f>IFERROR($J294/100*INDEX(Продукты!$H$6:$H$66,MATCH($E294,Продукты!$A$6:$A$66,0)),0)</f>
        <v>0</v>
      </c>
      <c r="M294" s="12">
        <f>IFERROR($J294/100*INDEX(Продукты!$I$6:$I$66,MATCH($E294,Продукты!$A$6:$A$66,0)),0)</f>
        <v>0</v>
      </c>
      <c r="N294" s="12">
        <f>IFERROR($J294/100*INDEX(Продукты!$J$6:$J$66,MATCH($E294,Продукты!$A$6:$A$66,0)),0)</f>
        <v>0</v>
      </c>
      <c r="O294" s="3" t="str">
        <f>IFERROR(IF(IFERROR(INDEX(Рецепты!$H$6:$H$85,MATCH(Меню!$D$17,Рецепты!$H$6:$H$85,0)+13)=Меню!$D$17,FALSE),INDEX(Рецепты!$N$6:$N$85,MATCH(Меню!$D$17,Рецепты!$H$6:$H$85,0)+13),""),"")</f>
        <v/>
      </c>
    </row>
    <row r="295" spans="1:15">
      <c r="A295" s="3" t="str">
        <f>IF($E295="","",Меню!$A$17)</f>
        <v/>
      </c>
      <c r="B295" s="3" t="str">
        <f>IF($E295="","",Меню!$B$17)</f>
        <v/>
      </c>
      <c r="C295" s="3" t="str">
        <f>IF($E295="","",Меню!$C$17)</f>
        <v/>
      </c>
      <c r="D295" s="3" t="str">
        <f>IF($E295="","",Меню!$D$17)</f>
        <v/>
      </c>
      <c r="E295" s="3" t="str">
        <f>IFERROR(IF(IFERROR(INDEX(Рецепты!$H$6:$H$85,MATCH(Меню!$D$17,Рецепты!$H$6:$H$85,0)+14)=Меню!$D$17,FALSE),INDEX(Рецепты!$J$6:$J$85,MATCH(Меню!$D$17,Рецепты!$H$6:$H$85,0)+14),""),"")</f>
        <v/>
      </c>
      <c r="F295" s="3" t="str">
        <f>IF($E295="","",INDEX(Рецепты!$K$6:$K$85,MATCH(Меню!$D$17,Рецепты!$H$6:$H$85,0)+14))</f>
        <v/>
      </c>
      <c r="G295" s="3" t="str">
        <f>IF($E295="","",INDEX(Рецепты!$M$6:$M$85,MATCH(Меню!$D$17,Рецепты!$H$6:$H$85,0)+14))</f>
        <v/>
      </c>
      <c r="H295" s="12">
        <f>IFERROR(IF(IFERROR(INDEX(Рецепты!$H$6:$H$85,MATCH(Меню!$D$17,Рецепты!$H$6:$H$85,0)+14)=Меню!$D$17,FALSE),INDEX(Рецепты!$L$6:$L$85,MATCH(Меню!$D$17,Рецепты!$H$6:$H$85,0)+14),0),0)</f>
        <v>0</v>
      </c>
      <c r="I295" s="12" t="str">
        <f>IF($F295="","",Меню!$E$17)</f>
        <v/>
      </c>
      <c r="J295" s="12">
        <f t="shared" si="4"/>
        <v>0</v>
      </c>
      <c r="K295" s="12">
        <f>IFERROR($J295/100*INDEX(Продукты!$G$6:$G$66,MATCH($E295,Продукты!$A$6:$A$66,0)),0)</f>
        <v>0</v>
      </c>
      <c r="L295" s="12">
        <f>IFERROR($J295/100*INDEX(Продукты!$H$6:$H$66,MATCH($E295,Продукты!$A$6:$A$66,0)),0)</f>
        <v>0</v>
      </c>
      <c r="M295" s="12">
        <f>IFERROR($J295/100*INDEX(Продукты!$I$6:$I$66,MATCH($E295,Продукты!$A$6:$A$66,0)),0)</f>
        <v>0</v>
      </c>
      <c r="N295" s="12">
        <f>IFERROR($J295/100*INDEX(Продукты!$J$6:$J$66,MATCH($E295,Продукты!$A$6:$A$66,0)),0)</f>
        <v>0</v>
      </c>
      <c r="O295" s="3" t="str">
        <f>IFERROR(IF(IFERROR(INDEX(Рецепты!$H$6:$H$85,MATCH(Меню!$D$17,Рецепты!$H$6:$H$85,0)+14)=Меню!$D$17,FALSE),INDEX(Рецепты!$N$6:$N$85,MATCH(Меню!$D$17,Рецепты!$H$6:$H$85,0)+14),""),"")</f>
        <v/>
      </c>
    </row>
    <row r="296" spans="1:15">
      <c r="A296" s="3" t="str">
        <f>IF($E296="","",Меню!$A$17)</f>
        <v/>
      </c>
      <c r="B296" s="3" t="str">
        <f>IF($E296="","",Меню!$B$17)</f>
        <v/>
      </c>
      <c r="C296" s="3" t="str">
        <f>IF($E296="","",Меню!$C$17)</f>
        <v/>
      </c>
      <c r="D296" s="3" t="str">
        <f>IF($E296="","",Меню!$D$17)</f>
        <v/>
      </c>
      <c r="E296" s="3" t="str">
        <f>IFERROR(IF(IFERROR(INDEX(Рецепты!$H$6:$H$85,MATCH(Меню!$D$17,Рецепты!$H$6:$H$85,0)+15)=Меню!$D$17,FALSE),INDEX(Рецепты!$J$6:$J$85,MATCH(Меню!$D$17,Рецепты!$H$6:$H$85,0)+15),""),"")</f>
        <v/>
      </c>
      <c r="F296" s="3" t="str">
        <f>IF($E296="","",INDEX(Рецепты!$K$6:$K$85,MATCH(Меню!$D$17,Рецепты!$H$6:$H$85,0)+15))</f>
        <v/>
      </c>
      <c r="G296" s="3" t="str">
        <f>IF($E296="","",INDEX(Рецепты!$M$6:$M$85,MATCH(Меню!$D$17,Рецепты!$H$6:$H$85,0)+15))</f>
        <v/>
      </c>
      <c r="H296" s="12">
        <f>IFERROR(IF(IFERROR(INDEX(Рецепты!$H$6:$H$85,MATCH(Меню!$D$17,Рецепты!$H$6:$H$85,0)+15)=Меню!$D$17,FALSE),INDEX(Рецепты!$L$6:$L$85,MATCH(Меню!$D$17,Рецепты!$H$6:$H$85,0)+15),0),0)</f>
        <v>0</v>
      </c>
      <c r="I296" s="12" t="str">
        <f>IF($F296="","",Меню!$E$17)</f>
        <v/>
      </c>
      <c r="J296" s="12">
        <f t="shared" si="4"/>
        <v>0</v>
      </c>
      <c r="K296" s="12">
        <f>IFERROR($J296/100*INDEX(Продукты!$G$6:$G$66,MATCH($E296,Продукты!$A$6:$A$66,0)),0)</f>
        <v>0</v>
      </c>
      <c r="L296" s="12">
        <f>IFERROR($J296/100*INDEX(Продукты!$H$6:$H$66,MATCH($E296,Продукты!$A$6:$A$66,0)),0)</f>
        <v>0</v>
      </c>
      <c r="M296" s="12">
        <f>IFERROR($J296/100*INDEX(Продукты!$I$6:$I$66,MATCH($E296,Продукты!$A$6:$A$66,0)),0)</f>
        <v>0</v>
      </c>
      <c r="N296" s="12">
        <f>IFERROR($J296/100*INDEX(Продукты!$J$6:$J$66,MATCH($E296,Продукты!$A$6:$A$66,0)),0)</f>
        <v>0</v>
      </c>
      <c r="O296" s="3" t="str">
        <f>IFERROR(IF(IFERROR(INDEX(Рецепты!$H$6:$H$85,MATCH(Меню!$D$17,Рецепты!$H$6:$H$85,0)+15)=Меню!$D$17,FALSE),INDEX(Рецепты!$N$6:$N$85,MATCH(Меню!$D$17,Рецепты!$H$6:$H$85,0)+15),""),"")</f>
        <v/>
      </c>
    </row>
    <row r="297" spans="1:15">
      <c r="A297" s="3" t="str">
        <f>IF($E297="","",Меню!$A$17)</f>
        <v/>
      </c>
      <c r="B297" s="3" t="str">
        <f>IF($E297="","",Меню!$B$17)</f>
        <v/>
      </c>
      <c r="C297" s="3" t="str">
        <f>IF($E297="","",Меню!$C$17)</f>
        <v/>
      </c>
      <c r="D297" s="3" t="str">
        <f>IF($E297="","",Меню!$D$17)</f>
        <v/>
      </c>
      <c r="E297" s="3" t="str">
        <f>IFERROR(IF(IFERROR(INDEX(Рецепты!$H$6:$H$85,MATCH(Меню!$D$17,Рецепты!$H$6:$H$85,0)+16)=Меню!$D$17,FALSE),INDEX(Рецепты!$J$6:$J$85,MATCH(Меню!$D$17,Рецепты!$H$6:$H$85,0)+16),""),"")</f>
        <v/>
      </c>
      <c r="F297" s="3" t="str">
        <f>IF($E297="","",INDEX(Рецепты!$K$6:$K$85,MATCH(Меню!$D$17,Рецепты!$H$6:$H$85,0)+16))</f>
        <v/>
      </c>
      <c r="G297" s="3" t="str">
        <f>IF($E297="","",INDEX(Рецепты!$M$6:$M$85,MATCH(Меню!$D$17,Рецепты!$H$6:$H$85,0)+16))</f>
        <v/>
      </c>
      <c r="H297" s="12">
        <f>IFERROR(IF(IFERROR(INDEX(Рецепты!$H$6:$H$85,MATCH(Меню!$D$17,Рецепты!$H$6:$H$85,0)+16)=Меню!$D$17,FALSE),INDEX(Рецепты!$L$6:$L$85,MATCH(Меню!$D$17,Рецепты!$H$6:$H$85,0)+16),0),0)</f>
        <v>0</v>
      </c>
      <c r="I297" s="12" t="str">
        <f>IF($F297="","",Меню!$E$17)</f>
        <v/>
      </c>
      <c r="J297" s="12">
        <f t="shared" si="4"/>
        <v>0</v>
      </c>
      <c r="K297" s="12">
        <f>IFERROR($J297/100*INDEX(Продукты!$G$6:$G$66,MATCH($E297,Продукты!$A$6:$A$66,0)),0)</f>
        <v>0</v>
      </c>
      <c r="L297" s="12">
        <f>IFERROR($J297/100*INDEX(Продукты!$H$6:$H$66,MATCH($E297,Продукты!$A$6:$A$66,0)),0)</f>
        <v>0</v>
      </c>
      <c r="M297" s="12">
        <f>IFERROR($J297/100*INDEX(Продукты!$I$6:$I$66,MATCH($E297,Продукты!$A$6:$A$66,0)),0)</f>
        <v>0</v>
      </c>
      <c r="N297" s="12">
        <f>IFERROR($J297/100*INDEX(Продукты!$J$6:$J$66,MATCH($E297,Продукты!$A$6:$A$66,0)),0)</f>
        <v>0</v>
      </c>
      <c r="O297" s="3" t="str">
        <f>IFERROR(IF(IFERROR(INDEX(Рецепты!$H$6:$H$85,MATCH(Меню!$D$17,Рецепты!$H$6:$H$85,0)+16)=Меню!$D$17,FALSE),INDEX(Рецепты!$N$6:$N$85,MATCH(Меню!$D$17,Рецепты!$H$6:$H$85,0)+16),""),"")</f>
        <v/>
      </c>
    </row>
    <row r="298" spans="1:15">
      <c r="A298" s="3" t="str">
        <f>IF($E298="","",Меню!$A$17)</f>
        <v/>
      </c>
      <c r="B298" s="3" t="str">
        <f>IF($E298="","",Меню!$B$17)</f>
        <v/>
      </c>
      <c r="C298" s="3" t="str">
        <f>IF($E298="","",Меню!$C$17)</f>
        <v/>
      </c>
      <c r="D298" s="3" t="str">
        <f>IF($E298="","",Меню!$D$17)</f>
        <v/>
      </c>
      <c r="E298" s="3" t="str">
        <f>IFERROR(IF(IFERROR(INDEX(Рецепты!$H$6:$H$85,MATCH(Меню!$D$17,Рецепты!$H$6:$H$85,0)+17)=Меню!$D$17,FALSE),INDEX(Рецепты!$J$6:$J$85,MATCH(Меню!$D$17,Рецепты!$H$6:$H$85,0)+17),""),"")</f>
        <v/>
      </c>
      <c r="F298" s="3" t="str">
        <f>IF($E298="","",INDEX(Рецепты!$K$6:$K$85,MATCH(Меню!$D$17,Рецепты!$H$6:$H$85,0)+17))</f>
        <v/>
      </c>
      <c r="G298" s="3" t="str">
        <f>IF($E298="","",INDEX(Рецепты!$M$6:$M$85,MATCH(Меню!$D$17,Рецепты!$H$6:$H$85,0)+17))</f>
        <v/>
      </c>
      <c r="H298" s="12">
        <f>IFERROR(IF(IFERROR(INDEX(Рецепты!$H$6:$H$85,MATCH(Меню!$D$17,Рецепты!$H$6:$H$85,0)+17)=Меню!$D$17,FALSE),INDEX(Рецепты!$L$6:$L$85,MATCH(Меню!$D$17,Рецепты!$H$6:$H$85,0)+17),0),0)</f>
        <v>0</v>
      </c>
      <c r="I298" s="12" t="str">
        <f>IF($F298="","",Меню!$E$17)</f>
        <v/>
      </c>
      <c r="J298" s="12">
        <f t="shared" si="4"/>
        <v>0</v>
      </c>
      <c r="K298" s="12">
        <f>IFERROR($J298/100*INDEX(Продукты!$G$6:$G$66,MATCH($E298,Продукты!$A$6:$A$66,0)),0)</f>
        <v>0</v>
      </c>
      <c r="L298" s="12">
        <f>IFERROR($J298/100*INDEX(Продукты!$H$6:$H$66,MATCH($E298,Продукты!$A$6:$A$66,0)),0)</f>
        <v>0</v>
      </c>
      <c r="M298" s="12">
        <f>IFERROR($J298/100*INDEX(Продукты!$I$6:$I$66,MATCH($E298,Продукты!$A$6:$A$66,0)),0)</f>
        <v>0</v>
      </c>
      <c r="N298" s="12">
        <f>IFERROR($J298/100*INDEX(Продукты!$J$6:$J$66,MATCH($E298,Продукты!$A$6:$A$66,0)),0)</f>
        <v>0</v>
      </c>
      <c r="O298" s="3" t="str">
        <f>IFERROR(IF(IFERROR(INDEX(Рецепты!$H$6:$H$85,MATCH(Меню!$D$17,Рецепты!$H$6:$H$85,0)+17)=Меню!$D$17,FALSE),INDEX(Рецепты!$N$6:$N$85,MATCH(Меню!$D$17,Рецепты!$H$6:$H$85,0)+17),""),"")</f>
        <v/>
      </c>
    </row>
    <row r="299" spans="1:15">
      <c r="A299" s="3" t="str">
        <f>IF($E299="","",Меню!$A$17)</f>
        <v/>
      </c>
      <c r="B299" s="3" t="str">
        <f>IF($E299="","",Меню!$B$17)</f>
        <v/>
      </c>
      <c r="C299" s="3" t="str">
        <f>IF($E299="","",Меню!$C$17)</f>
        <v/>
      </c>
      <c r="D299" s="3" t="str">
        <f>IF($E299="","",Меню!$D$17)</f>
        <v/>
      </c>
      <c r="E299" s="3" t="str">
        <f>IFERROR(IF(IFERROR(INDEX(Рецепты!$H$6:$H$85,MATCH(Меню!$D$17,Рецепты!$H$6:$H$85,0)+18)=Меню!$D$17,FALSE),INDEX(Рецепты!$J$6:$J$85,MATCH(Меню!$D$17,Рецепты!$H$6:$H$85,0)+18),""),"")</f>
        <v/>
      </c>
      <c r="F299" s="3" t="str">
        <f>IF($E299="","",INDEX(Рецепты!$K$6:$K$85,MATCH(Меню!$D$17,Рецепты!$H$6:$H$85,0)+18))</f>
        <v/>
      </c>
      <c r="G299" s="3" t="str">
        <f>IF($E299="","",INDEX(Рецепты!$M$6:$M$85,MATCH(Меню!$D$17,Рецепты!$H$6:$H$85,0)+18))</f>
        <v/>
      </c>
      <c r="H299" s="12">
        <f>IFERROR(IF(IFERROR(INDEX(Рецепты!$H$6:$H$85,MATCH(Меню!$D$17,Рецепты!$H$6:$H$85,0)+18)=Меню!$D$17,FALSE),INDEX(Рецепты!$L$6:$L$85,MATCH(Меню!$D$17,Рецепты!$H$6:$H$85,0)+18),0),0)</f>
        <v>0</v>
      </c>
      <c r="I299" s="12" t="str">
        <f>IF($F299="","",Меню!$E$17)</f>
        <v/>
      </c>
      <c r="J299" s="12">
        <f t="shared" si="4"/>
        <v>0</v>
      </c>
      <c r="K299" s="12">
        <f>IFERROR($J299/100*INDEX(Продукты!$G$6:$G$66,MATCH($E299,Продукты!$A$6:$A$66,0)),0)</f>
        <v>0</v>
      </c>
      <c r="L299" s="12">
        <f>IFERROR($J299/100*INDEX(Продукты!$H$6:$H$66,MATCH($E299,Продукты!$A$6:$A$66,0)),0)</f>
        <v>0</v>
      </c>
      <c r="M299" s="12">
        <f>IFERROR($J299/100*INDEX(Продукты!$I$6:$I$66,MATCH($E299,Продукты!$A$6:$A$66,0)),0)</f>
        <v>0</v>
      </c>
      <c r="N299" s="12">
        <f>IFERROR($J299/100*INDEX(Продукты!$J$6:$J$66,MATCH($E299,Продукты!$A$6:$A$66,0)),0)</f>
        <v>0</v>
      </c>
      <c r="O299" s="3" t="str">
        <f>IFERROR(IF(IFERROR(INDEX(Рецепты!$H$6:$H$85,MATCH(Меню!$D$17,Рецепты!$H$6:$H$85,0)+18)=Меню!$D$17,FALSE),INDEX(Рецепты!$N$6:$N$85,MATCH(Меню!$D$17,Рецепты!$H$6:$H$85,0)+18),""),"")</f>
        <v/>
      </c>
    </row>
    <row r="300" spans="1:15">
      <c r="A300" s="3" t="str">
        <f>IF($E300="","",Меню!$A$17)</f>
        <v/>
      </c>
      <c r="B300" s="3" t="str">
        <f>IF($E300="","",Меню!$B$17)</f>
        <v/>
      </c>
      <c r="C300" s="3" t="str">
        <f>IF($E300="","",Меню!$C$17)</f>
        <v/>
      </c>
      <c r="D300" s="3" t="str">
        <f>IF($E300="","",Меню!$D$17)</f>
        <v/>
      </c>
      <c r="E300" s="3" t="str">
        <f>IFERROR(IF(IFERROR(INDEX(Рецепты!$H$6:$H$85,MATCH(Меню!$D$17,Рецепты!$H$6:$H$85,0)+19)=Меню!$D$17,FALSE),INDEX(Рецепты!$J$6:$J$85,MATCH(Меню!$D$17,Рецепты!$H$6:$H$85,0)+19),""),"")</f>
        <v/>
      </c>
      <c r="F300" s="3" t="str">
        <f>IF($E300="","",INDEX(Рецепты!$K$6:$K$85,MATCH(Меню!$D$17,Рецепты!$H$6:$H$85,0)+19))</f>
        <v/>
      </c>
      <c r="G300" s="3" t="str">
        <f>IF($E300="","",INDEX(Рецепты!$M$6:$M$85,MATCH(Меню!$D$17,Рецепты!$H$6:$H$85,0)+19))</f>
        <v/>
      </c>
      <c r="H300" s="12">
        <f>IFERROR(IF(IFERROR(INDEX(Рецепты!$H$6:$H$85,MATCH(Меню!$D$17,Рецепты!$H$6:$H$85,0)+19)=Меню!$D$17,FALSE),INDEX(Рецепты!$L$6:$L$85,MATCH(Меню!$D$17,Рецепты!$H$6:$H$85,0)+19),0),0)</f>
        <v>0</v>
      </c>
      <c r="I300" s="12" t="str">
        <f>IF($F300="","",Меню!$E$17)</f>
        <v/>
      </c>
      <c r="J300" s="12">
        <f t="shared" si="4"/>
        <v>0</v>
      </c>
      <c r="K300" s="12">
        <f>IFERROR($J300/100*INDEX(Продукты!$G$6:$G$66,MATCH($E300,Продукты!$A$6:$A$66,0)),0)</f>
        <v>0</v>
      </c>
      <c r="L300" s="12">
        <f>IFERROR($J300/100*INDEX(Продукты!$H$6:$H$66,MATCH($E300,Продукты!$A$6:$A$66,0)),0)</f>
        <v>0</v>
      </c>
      <c r="M300" s="12">
        <f>IFERROR($J300/100*INDEX(Продукты!$I$6:$I$66,MATCH($E300,Продукты!$A$6:$A$66,0)),0)</f>
        <v>0</v>
      </c>
      <c r="N300" s="12">
        <f>IFERROR($J300/100*INDEX(Продукты!$J$6:$J$66,MATCH($E300,Продукты!$A$6:$A$66,0)),0)</f>
        <v>0</v>
      </c>
      <c r="O300" s="3" t="str">
        <f>IFERROR(IF(IFERROR(INDEX(Рецепты!$H$6:$H$85,MATCH(Меню!$D$17,Рецепты!$H$6:$H$85,0)+19)=Меню!$D$17,FALSE),INDEX(Рецепты!$N$6:$N$85,MATCH(Меню!$D$17,Рецепты!$H$6:$H$85,0)+19),""),"")</f>
        <v/>
      </c>
    </row>
    <row r="301" spans="1:15">
      <c r="A301" s="3" t="str">
        <f>IF($E301="","",Меню!$A$17)</f>
        <v/>
      </c>
      <c r="B301" s="3" t="str">
        <f>IF($E301="","",Меню!$B$17)</f>
        <v/>
      </c>
      <c r="C301" s="3" t="str">
        <f>IF($E301="","",Меню!$C$17)</f>
        <v/>
      </c>
      <c r="D301" s="3" t="str">
        <f>IF($E301="","",Меню!$D$17)</f>
        <v/>
      </c>
      <c r="E301" s="3" t="str">
        <f>IFERROR(IF(IFERROR(INDEX(Рецепты!$H$6:$H$85,MATCH(Меню!$D$17,Рецепты!$H$6:$H$85,0)+20)=Меню!$D$17,FALSE),INDEX(Рецепты!$J$6:$J$85,MATCH(Меню!$D$17,Рецепты!$H$6:$H$85,0)+20),""),"")</f>
        <v/>
      </c>
      <c r="F301" s="3" t="str">
        <f>IF($E301="","",INDEX(Рецепты!$K$6:$K$85,MATCH(Меню!$D$17,Рецепты!$H$6:$H$85,0)+20))</f>
        <v/>
      </c>
      <c r="G301" s="3" t="str">
        <f>IF($E301="","",INDEX(Рецепты!$M$6:$M$85,MATCH(Меню!$D$17,Рецепты!$H$6:$H$85,0)+20))</f>
        <v/>
      </c>
      <c r="H301" s="12">
        <f>IFERROR(IF(IFERROR(INDEX(Рецепты!$H$6:$H$85,MATCH(Меню!$D$17,Рецепты!$H$6:$H$85,0)+20)=Меню!$D$17,FALSE),INDEX(Рецепты!$L$6:$L$85,MATCH(Меню!$D$17,Рецепты!$H$6:$H$85,0)+20),0),0)</f>
        <v>0</v>
      </c>
      <c r="I301" s="12" t="str">
        <f>IF($F301="","",Меню!$E$17)</f>
        <v/>
      </c>
      <c r="J301" s="12">
        <f t="shared" si="4"/>
        <v>0</v>
      </c>
      <c r="K301" s="12">
        <f>IFERROR($J301/100*INDEX(Продукты!$G$6:$G$66,MATCH($E301,Продукты!$A$6:$A$66,0)),0)</f>
        <v>0</v>
      </c>
      <c r="L301" s="12">
        <f>IFERROR($J301/100*INDEX(Продукты!$H$6:$H$66,MATCH($E301,Продукты!$A$6:$A$66,0)),0)</f>
        <v>0</v>
      </c>
      <c r="M301" s="12">
        <f>IFERROR($J301/100*INDEX(Продукты!$I$6:$I$66,MATCH($E301,Продукты!$A$6:$A$66,0)),0)</f>
        <v>0</v>
      </c>
      <c r="N301" s="12">
        <f>IFERROR($J301/100*INDEX(Продукты!$J$6:$J$66,MATCH($E301,Продукты!$A$6:$A$66,0)),0)</f>
        <v>0</v>
      </c>
      <c r="O301" s="3" t="str">
        <f>IFERROR(IF(IFERROR(INDEX(Рецепты!$H$6:$H$85,MATCH(Меню!$D$17,Рецепты!$H$6:$H$85,0)+20)=Меню!$D$17,FALSE),INDEX(Рецепты!$N$6:$N$85,MATCH(Меню!$D$17,Рецепты!$H$6:$H$85,0)+20),""),"")</f>
        <v/>
      </c>
    </row>
    <row r="302" spans="1:15">
      <c r="A302" s="3" t="str">
        <f>IF($E302="","",Меню!$A$17)</f>
        <v/>
      </c>
      <c r="B302" s="3" t="str">
        <f>IF($E302="","",Меню!$B$17)</f>
        <v/>
      </c>
      <c r="C302" s="3" t="str">
        <f>IF($E302="","",Меню!$C$17)</f>
        <v/>
      </c>
      <c r="D302" s="3" t="str">
        <f>IF($E302="","",Меню!$D$17)</f>
        <v/>
      </c>
      <c r="E302" s="3" t="str">
        <f>IFERROR(IF(IFERROR(INDEX(Рецепты!$H$6:$H$85,MATCH(Меню!$D$17,Рецепты!$H$6:$H$85,0)+21)=Меню!$D$17,FALSE),INDEX(Рецепты!$J$6:$J$85,MATCH(Меню!$D$17,Рецепты!$H$6:$H$85,0)+21),""),"")</f>
        <v/>
      </c>
      <c r="F302" s="3" t="str">
        <f>IF($E302="","",INDEX(Рецепты!$K$6:$K$85,MATCH(Меню!$D$17,Рецепты!$H$6:$H$85,0)+21))</f>
        <v/>
      </c>
      <c r="G302" s="3" t="str">
        <f>IF($E302="","",INDEX(Рецепты!$M$6:$M$85,MATCH(Меню!$D$17,Рецепты!$H$6:$H$85,0)+21))</f>
        <v/>
      </c>
      <c r="H302" s="12">
        <f>IFERROR(IF(IFERROR(INDEX(Рецепты!$H$6:$H$85,MATCH(Меню!$D$17,Рецепты!$H$6:$H$85,0)+21)=Меню!$D$17,FALSE),INDEX(Рецепты!$L$6:$L$85,MATCH(Меню!$D$17,Рецепты!$H$6:$H$85,0)+21),0),0)</f>
        <v>0</v>
      </c>
      <c r="I302" s="12" t="str">
        <f>IF($F302="","",Меню!$E$17)</f>
        <v/>
      </c>
      <c r="J302" s="12">
        <f t="shared" si="4"/>
        <v>0</v>
      </c>
      <c r="K302" s="12">
        <f>IFERROR($J302/100*INDEX(Продукты!$G$6:$G$66,MATCH($E302,Продукты!$A$6:$A$66,0)),0)</f>
        <v>0</v>
      </c>
      <c r="L302" s="12">
        <f>IFERROR($J302/100*INDEX(Продукты!$H$6:$H$66,MATCH($E302,Продукты!$A$6:$A$66,0)),0)</f>
        <v>0</v>
      </c>
      <c r="M302" s="12">
        <f>IFERROR($J302/100*INDEX(Продукты!$I$6:$I$66,MATCH($E302,Продукты!$A$6:$A$66,0)),0)</f>
        <v>0</v>
      </c>
      <c r="N302" s="12">
        <f>IFERROR($J302/100*INDEX(Продукты!$J$6:$J$66,MATCH($E302,Продукты!$A$6:$A$66,0)),0)</f>
        <v>0</v>
      </c>
      <c r="O302" s="3" t="str">
        <f>IFERROR(IF(IFERROR(INDEX(Рецепты!$H$6:$H$85,MATCH(Меню!$D$17,Рецепты!$H$6:$H$85,0)+21)=Меню!$D$17,FALSE),INDEX(Рецепты!$N$6:$N$85,MATCH(Меню!$D$17,Рецепты!$H$6:$H$85,0)+21),""),"")</f>
        <v/>
      </c>
    </row>
    <row r="303" spans="1:15">
      <c r="A303" s="3" t="str">
        <f>IF($E303="","",Меню!$A$17)</f>
        <v/>
      </c>
      <c r="B303" s="3" t="str">
        <f>IF($E303="","",Меню!$B$17)</f>
        <v/>
      </c>
      <c r="C303" s="3" t="str">
        <f>IF($E303="","",Меню!$C$17)</f>
        <v/>
      </c>
      <c r="D303" s="3" t="str">
        <f>IF($E303="","",Меню!$D$17)</f>
        <v/>
      </c>
      <c r="E303" s="3" t="str">
        <f>IFERROR(IF(IFERROR(INDEX(Рецепты!$H$6:$H$85,MATCH(Меню!$D$17,Рецепты!$H$6:$H$85,0)+22)=Меню!$D$17,FALSE),INDEX(Рецепты!$J$6:$J$85,MATCH(Меню!$D$17,Рецепты!$H$6:$H$85,0)+22),""),"")</f>
        <v/>
      </c>
      <c r="F303" s="3" t="str">
        <f>IF($E303="","",INDEX(Рецепты!$K$6:$K$85,MATCH(Меню!$D$17,Рецепты!$H$6:$H$85,0)+22))</f>
        <v/>
      </c>
      <c r="G303" s="3" t="str">
        <f>IF($E303="","",INDEX(Рецепты!$M$6:$M$85,MATCH(Меню!$D$17,Рецепты!$H$6:$H$85,0)+22))</f>
        <v/>
      </c>
      <c r="H303" s="12">
        <f>IFERROR(IF(IFERROR(INDEX(Рецепты!$H$6:$H$85,MATCH(Меню!$D$17,Рецепты!$H$6:$H$85,0)+22)=Меню!$D$17,FALSE),INDEX(Рецепты!$L$6:$L$85,MATCH(Меню!$D$17,Рецепты!$H$6:$H$85,0)+22),0),0)</f>
        <v>0</v>
      </c>
      <c r="I303" s="12" t="str">
        <f>IF($F303="","",Меню!$E$17)</f>
        <v/>
      </c>
      <c r="J303" s="12">
        <f t="shared" si="4"/>
        <v>0</v>
      </c>
      <c r="K303" s="12">
        <f>IFERROR($J303/100*INDEX(Продукты!$G$6:$G$66,MATCH($E303,Продукты!$A$6:$A$66,0)),0)</f>
        <v>0</v>
      </c>
      <c r="L303" s="12">
        <f>IFERROR($J303/100*INDEX(Продукты!$H$6:$H$66,MATCH($E303,Продукты!$A$6:$A$66,0)),0)</f>
        <v>0</v>
      </c>
      <c r="M303" s="12">
        <f>IFERROR($J303/100*INDEX(Продукты!$I$6:$I$66,MATCH($E303,Продукты!$A$6:$A$66,0)),0)</f>
        <v>0</v>
      </c>
      <c r="N303" s="12">
        <f>IFERROR($J303/100*INDEX(Продукты!$J$6:$J$66,MATCH($E303,Продукты!$A$6:$A$66,0)),0)</f>
        <v>0</v>
      </c>
      <c r="O303" s="3" t="str">
        <f>IFERROR(IF(IFERROR(INDEX(Рецепты!$H$6:$H$85,MATCH(Меню!$D$17,Рецепты!$H$6:$H$85,0)+22)=Меню!$D$17,FALSE),INDEX(Рецепты!$N$6:$N$85,MATCH(Меню!$D$17,Рецепты!$H$6:$H$85,0)+22),""),"")</f>
        <v/>
      </c>
    </row>
    <row r="304" spans="1:15">
      <c r="A304" s="3" t="str">
        <f>IF($E304="","",Меню!$A$17)</f>
        <v/>
      </c>
      <c r="B304" s="3" t="str">
        <f>IF($E304="","",Меню!$B$17)</f>
        <v/>
      </c>
      <c r="C304" s="3" t="str">
        <f>IF($E304="","",Меню!$C$17)</f>
        <v/>
      </c>
      <c r="D304" s="3" t="str">
        <f>IF($E304="","",Меню!$D$17)</f>
        <v/>
      </c>
      <c r="E304" s="3" t="str">
        <f>IFERROR(IF(IFERROR(INDEX(Рецепты!$H$6:$H$85,MATCH(Меню!$D$17,Рецепты!$H$6:$H$85,0)+23)=Меню!$D$17,FALSE),INDEX(Рецепты!$J$6:$J$85,MATCH(Меню!$D$17,Рецепты!$H$6:$H$85,0)+23),""),"")</f>
        <v/>
      </c>
      <c r="F304" s="3" t="str">
        <f>IF($E304="","",INDEX(Рецепты!$K$6:$K$85,MATCH(Меню!$D$17,Рецепты!$H$6:$H$85,0)+23))</f>
        <v/>
      </c>
      <c r="G304" s="3" t="str">
        <f>IF($E304="","",INDEX(Рецепты!$M$6:$M$85,MATCH(Меню!$D$17,Рецепты!$H$6:$H$85,0)+23))</f>
        <v/>
      </c>
      <c r="H304" s="12">
        <f>IFERROR(IF(IFERROR(INDEX(Рецепты!$H$6:$H$85,MATCH(Меню!$D$17,Рецепты!$H$6:$H$85,0)+23)=Меню!$D$17,FALSE),INDEX(Рецепты!$L$6:$L$85,MATCH(Меню!$D$17,Рецепты!$H$6:$H$85,0)+23),0),0)</f>
        <v>0</v>
      </c>
      <c r="I304" s="12" t="str">
        <f>IF($F304="","",Меню!$E$17)</f>
        <v/>
      </c>
      <c r="J304" s="12">
        <f t="shared" si="4"/>
        <v>0</v>
      </c>
      <c r="K304" s="12">
        <f>IFERROR($J304/100*INDEX(Продукты!$G$6:$G$66,MATCH($E304,Продукты!$A$6:$A$66,0)),0)</f>
        <v>0</v>
      </c>
      <c r="L304" s="12">
        <f>IFERROR($J304/100*INDEX(Продукты!$H$6:$H$66,MATCH($E304,Продукты!$A$6:$A$66,0)),0)</f>
        <v>0</v>
      </c>
      <c r="M304" s="12">
        <f>IFERROR($J304/100*INDEX(Продукты!$I$6:$I$66,MATCH($E304,Продукты!$A$6:$A$66,0)),0)</f>
        <v>0</v>
      </c>
      <c r="N304" s="12">
        <f>IFERROR($J304/100*INDEX(Продукты!$J$6:$J$66,MATCH($E304,Продукты!$A$6:$A$66,0)),0)</f>
        <v>0</v>
      </c>
      <c r="O304" s="3" t="str">
        <f>IFERROR(IF(IFERROR(INDEX(Рецепты!$H$6:$H$85,MATCH(Меню!$D$17,Рецепты!$H$6:$H$85,0)+23)=Меню!$D$17,FALSE),INDEX(Рецепты!$N$6:$N$85,MATCH(Меню!$D$17,Рецепты!$H$6:$H$85,0)+23),""),"")</f>
        <v/>
      </c>
    </row>
    <row r="305" spans="1:15">
      <c r="A305" s="3" t="str">
        <f>IF($E305="","",Меню!$A$17)</f>
        <v/>
      </c>
      <c r="B305" s="3" t="str">
        <f>IF($E305="","",Меню!$B$17)</f>
        <v/>
      </c>
      <c r="C305" s="3" t="str">
        <f>IF($E305="","",Меню!$C$17)</f>
        <v/>
      </c>
      <c r="D305" s="3" t="str">
        <f>IF($E305="","",Меню!$D$17)</f>
        <v/>
      </c>
      <c r="E305" s="3" t="str">
        <f>IFERROR(IF(IFERROR(INDEX(Рецепты!$H$6:$H$85,MATCH(Меню!$D$17,Рецепты!$H$6:$H$85,0)+24)=Меню!$D$17,FALSE),INDEX(Рецепты!$J$6:$J$85,MATCH(Меню!$D$17,Рецепты!$H$6:$H$85,0)+24),""),"")</f>
        <v/>
      </c>
      <c r="F305" s="3" t="str">
        <f>IF($E305="","",INDEX(Рецепты!$K$6:$K$85,MATCH(Меню!$D$17,Рецепты!$H$6:$H$85,0)+24))</f>
        <v/>
      </c>
      <c r="G305" s="3" t="str">
        <f>IF($E305="","",INDEX(Рецепты!$M$6:$M$85,MATCH(Меню!$D$17,Рецепты!$H$6:$H$85,0)+24))</f>
        <v/>
      </c>
      <c r="H305" s="12">
        <f>IFERROR(IF(IFERROR(INDEX(Рецепты!$H$6:$H$85,MATCH(Меню!$D$17,Рецепты!$H$6:$H$85,0)+24)=Меню!$D$17,FALSE),INDEX(Рецепты!$L$6:$L$85,MATCH(Меню!$D$17,Рецепты!$H$6:$H$85,0)+24),0),0)</f>
        <v>0</v>
      </c>
      <c r="I305" s="12" t="str">
        <f>IF($F305="","",Меню!$E$17)</f>
        <v/>
      </c>
      <c r="J305" s="12">
        <f t="shared" si="4"/>
        <v>0</v>
      </c>
      <c r="K305" s="12">
        <f>IFERROR($J305/100*INDEX(Продукты!$G$6:$G$66,MATCH($E305,Продукты!$A$6:$A$66,0)),0)</f>
        <v>0</v>
      </c>
      <c r="L305" s="12">
        <f>IFERROR($J305/100*INDEX(Продукты!$H$6:$H$66,MATCH($E305,Продукты!$A$6:$A$66,0)),0)</f>
        <v>0</v>
      </c>
      <c r="M305" s="12">
        <f>IFERROR($J305/100*INDEX(Продукты!$I$6:$I$66,MATCH($E305,Продукты!$A$6:$A$66,0)),0)</f>
        <v>0</v>
      </c>
      <c r="N305" s="12">
        <f>IFERROR($J305/100*INDEX(Продукты!$J$6:$J$66,MATCH($E305,Продукты!$A$6:$A$66,0)),0)</f>
        <v>0</v>
      </c>
      <c r="O305" s="3" t="str">
        <f>IFERROR(IF(IFERROR(INDEX(Рецепты!$H$6:$H$85,MATCH(Меню!$D$17,Рецепты!$H$6:$H$85,0)+24)=Меню!$D$17,FALSE),INDEX(Рецепты!$N$6:$N$85,MATCH(Меню!$D$17,Рецепты!$H$6:$H$85,0)+24),""),"")</f>
        <v/>
      </c>
    </row>
    <row r="306" spans="1:15">
      <c r="A306" s="3" t="str">
        <f>IF($E306="","",Меню!$A$18)</f>
        <v/>
      </c>
      <c r="B306" s="3" t="str">
        <f>IF($E306="","",Меню!$B$18)</f>
        <v/>
      </c>
      <c r="C306" s="3" t="str">
        <f>IF($E306="","",Меню!$C$18)</f>
        <v/>
      </c>
      <c r="D306" s="3" t="str">
        <f>IF($E306="","",Меню!$D$18)</f>
        <v/>
      </c>
      <c r="E306" s="3" t="str">
        <f>IFERROR(IF(IFERROR(INDEX(Рецепты!$H$6:$H$85,MATCH(Меню!$D$18,Рецепты!$H$6:$H$85,0)+0)=Меню!$D$18,FALSE),INDEX(Рецепты!$J$6:$J$85,MATCH(Меню!$D$18,Рецепты!$H$6:$H$85,0)+0),""),"")</f>
        <v/>
      </c>
      <c r="F306" s="3" t="str">
        <f>IF($E306="","",INDEX(Рецепты!$K$6:$K$85,MATCH(Меню!$D$18,Рецепты!$H$6:$H$85,0)+0))</f>
        <v/>
      </c>
      <c r="G306" s="3" t="str">
        <f>IF($E306="","",INDEX(Рецепты!$M$6:$M$85,MATCH(Меню!$D$18,Рецепты!$H$6:$H$85,0)+0))</f>
        <v/>
      </c>
      <c r="H306" s="12">
        <f>IFERROR(IF(IFERROR(INDEX(Рецепты!$H$6:$H$85,MATCH(Меню!$D$18,Рецепты!$H$6:$H$85,0)+0)=Меню!$D$18,FALSE),INDEX(Рецепты!$L$6:$L$85,MATCH(Меню!$D$18,Рецепты!$H$6:$H$85,0)+0),0),0)</f>
        <v>0</v>
      </c>
      <c r="I306" s="12" t="str">
        <f>IF($F306="","",Меню!$E$18)</f>
        <v/>
      </c>
      <c r="J306" s="12">
        <f t="shared" si="4"/>
        <v>0</v>
      </c>
      <c r="K306" s="12">
        <f>IFERROR($J306/100*INDEX(Продукты!$G$6:$G$66,MATCH($E306,Продукты!$A$6:$A$66,0)),0)</f>
        <v>0</v>
      </c>
      <c r="L306" s="12">
        <f>IFERROR($J306/100*INDEX(Продукты!$H$6:$H$66,MATCH($E306,Продукты!$A$6:$A$66,0)),0)</f>
        <v>0</v>
      </c>
      <c r="M306" s="12">
        <f>IFERROR($J306/100*INDEX(Продукты!$I$6:$I$66,MATCH($E306,Продукты!$A$6:$A$66,0)),0)</f>
        <v>0</v>
      </c>
      <c r="N306" s="12">
        <f>IFERROR($J306/100*INDEX(Продукты!$J$6:$J$66,MATCH($E306,Продукты!$A$6:$A$66,0)),0)</f>
        <v>0</v>
      </c>
      <c r="O306" s="3" t="str">
        <f>IFERROR(IF(IFERROR(INDEX(Рецепты!$H$6:$H$85,MATCH(Меню!$D$18,Рецепты!$H$6:$H$85,0)+0)=Меню!$D$18,FALSE),INDEX(Рецепты!$N$6:$N$85,MATCH(Меню!$D$18,Рецепты!$H$6:$H$85,0)+0),""),"")</f>
        <v/>
      </c>
    </row>
    <row r="307" spans="1:15">
      <c r="A307" s="3" t="str">
        <f>IF($E307="","",Меню!$A$18)</f>
        <v/>
      </c>
      <c r="B307" s="3" t="str">
        <f>IF($E307="","",Меню!$B$18)</f>
        <v/>
      </c>
      <c r="C307" s="3" t="str">
        <f>IF($E307="","",Меню!$C$18)</f>
        <v/>
      </c>
      <c r="D307" s="3" t="str">
        <f>IF($E307="","",Меню!$D$18)</f>
        <v/>
      </c>
      <c r="E307" s="3" t="str">
        <f>IFERROR(IF(IFERROR(INDEX(Рецепты!$H$6:$H$85,MATCH(Меню!$D$18,Рецепты!$H$6:$H$85,0)+1)=Меню!$D$18,FALSE),INDEX(Рецепты!$J$6:$J$85,MATCH(Меню!$D$18,Рецепты!$H$6:$H$85,0)+1),""),"")</f>
        <v/>
      </c>
      <c r="F307" s="3" t="str">
        <f>IF($E307="","",INDEX(Рецепты!$K$6:$K$85,MATCH(Меню!$D$18,Рецепты!$H$6:$H$85,0)+1))</f>
        <v/>
      </c>
      <c r="G307" s="3" t="str">
        <f>IF($E307="","",INDEX(Рецепты!$M$6:$M$85,MATCH(Меню!$D$18,Рецепты!$H$6:$H$85,0)+1))</f>
        <v/>
      </c>
      <c r="H307" s="12">
        <f>IFERROR(IF(IFERROR(INDEX(Рецепты!$H$6:$H$85,MATCH(Меню!$D$18,Рецепты!$H$6:$H$85,0)+1)=Меню!$D$18,FALSE),INDEX(Рецепты!$L$6:$L$85,MATCH(Меню!$D$18,Рецепты!$H$6:$H$85,0)+1),0),0)</f>
        <v>0</v>
      </c>
      <c r="I307" s="12" t="str">
        <f>IF($F307="","",Меню!$E$18)</f>
        <v/>
      </c>
      <c r="J307" s="12">
        <f t="shared" si="4"/>
        <v>0</v>
      </c>
      <c r="K307" s="12">
        <f>IFERROR($J307/100*INDEX(Продукты!$G$6:$G$66,MATCH($E307,Продукты!$A$6:$A$66,0)),0)</f>
        <v>0</v>
      </c>
      <c r="L307" s="12">
        <f>IFERROR($J307/100*INDEX(Продукты!$H$6:$H$66,MATCH($E307,Продукты!$A$6:$A$66,0)),0)</f>
        <v>0</v>
      </c>
      <c r="M307" s="12">
        <f>IFERROR($J307/100*INDEX(Продукты!$I$6:$I$66,MATCH($E307,Продукты!$A$6:$A$66,0)),0)</f>
        <v>0</v>
      </c>
      <c r="N307" s="12">
        <f>IFERROR($J307/100*INDEX(Продукты!$J$6:$J$66,MATCH($E307,Продукты!$A$6:$A$66,0)),0)</f>
        <v>0</v>
      </c>
      <c r="O307" s="3" t="str">
        <f>IFERROR(IF(IFERROR(INDEX(Рецепты!$H$6:$H$85,MATCH(Меню!$D$18,Рецепты!$H$6:$H$85,0)+1)=Меню!$D$18,FALSE),INDEX(Рецепты!$N$6:$N$85,MATCH(Меню!$D$18,Рецепты!$H$6:$H$85,0)+1),""),"")</f>
        <v/>
      </c>
    </row>
    <row r="308" spans="1:15">
      <c r="A308" s="3" t="str">
        <f>IF($E308="","",Меню!$A$18)</f>
        <v/>
      </c>
      <c r="B308" s="3" t="str">
        <f>IF($E308="","",Меню!$B$18)</f>
        <v/>
      </c>
      <c r="C308" s="3" t="str">
        <f>IF($E308="","",Меню!$C$18)</f>
        <v/>
      </c>
      <c r="D308" s="3" t="str">
        <f>IF($E308="","",Меню!$D$18)</f>
        <v/>
      </c>
      <c r="E308" s="3" t="str">
        <f>IFERROR(IF(IFERROR(INDEX(Рецепты!$H$6:$H$85,MATCH(Меню!$D$18,Рецепты!$H$6:$H$85,0)+2)=Меню!$D$18,FALSE),INDEX(Рецепты!$J$6:$J$85,MATCH(Меню!$D$18,Рецепты!$H$6:$H$85,0)+2),""),"")</f>
        <v/>
      </c>
      <c r="F308" s="3" t="str">
        <f>IF($E308="","",INDEX(Рецепты!$K$6:$K$85,MATCH(Меню!$D$18,Рецепты!$H$6:$H$85,0)+2))</f>
        <v/>
      </c>
      <c r="G308" s="3" t="str">
        <f>IF($E308="","",INDEX(Рецепты!$M$6:$M$85,MATCH(Меню!$D$18,Рецепты!$H$6:$H$85,0)+2))</f>
        <v/>
      </c>
      <c r="H308" s="12">
        <f>IFERROR(IF(IFERROR(INDEX(Рецепты!$H$6:$H$85,MATCH(Меню!$D$18,Рецепты!$H$6:$H$85,0)+2)=Меню!$D$18,FALSE),INDEX(Рецепты!$L$6:$L$85,MATCH(Меню!$D$18,Рецепты!$H$6:$H$85,0)+2),0),0)</f>
        <v>0</v>
      </c>
      <c r="I308" s="12" t="str">
        <f>IF($F308="","",Меню!$E$18)</f>
        <v/>
      </c>
      <c r="J308" s="12">
        <f t="shared" si="4"/>
        <v>0</v>
      </c>
      <c r="K308" s="12">
        <f>IFERROR($J308/100*INDEX(Продукты!$G$6:$G$66,MATCH($E308,Продукты!$A$6:$A$66,0)),0)</f>
        <v>0</v>
      </c>
      <c r="L308" s="12">
        <f>IFERROR($J308/100*INDEX(Продукты!$H$6:$H$66,MATCH($E308,Продукты!$A$6:$A$66,0)),0)</f>
        <v>0</v>
      </c>
      <c r="M308" s="12">
        <f>IFERROR($J308/100*INDEX(Продукты!$I$6:$I$66,MATCH($E308,Продукты!$A$6:$A$66,0)),0)</f>
        <v>0</v>
      </c>
      <c r="N308" s="12">
        <f>IFERROR($J308/100*INDEX(Продукты!$J$6:$J$66,MATCH($E308,Продукты!$A$6:$A$66,0)),0)</f>
        <v>0</v>
      </c>
      <c r="O308" s="3" t="str">
        <f>IFERROR(IF(IFERROR(INDEX(Рецепты!$H$6:$H$85,MATCH(Меню!$D$18,Рецепты!$H$6:$H$85,0)+2)=Меню!$D$18,FALSE),INDEX(Рецепты!$N$6:$N$85,MATCH(Меню!$D$18,Рецепты!$H$6:$H$85,0)+2),""),"")</f>
        <v/>
      </c>
    </row>
    <row r="309" spans="1:15">
      <c r="A309" s="3" t="str">
        <f>IF($E309="","",Меню!$A$18)</f>
        <v/>
      </c>
      <c r="B309" s="3" t="str">
        <f>IF($E309="","",Меню!$B$18)</f>
        <v/>
      </c>
      <c r="C309" s="3" t="str">
        <f>IF($E309="","",Меню!$C$18)</f>
        <v/>
      </c>
      <c r="D309" s="3" t="str">
        <f>IF($E309="","",Меню!$D$18)</f>
        <v/>
      </c>
      <c r="E309" s="3" t="str">
        <f>IFERROR(IF(IFERROR(INDEX(Рецепты!$H$6:$H$85,MATCH(Меню!$D$18,Рецепты!$H$6:$H$85,0)+3)=Меню!$D$18,FALSE),INDEX(Рецепты!$J$6:$J$85,MATCH(Меню!$D$18,Рецепты!$H$6:$H$85,0)+3),""),"")</f>
        <v/>
      </c>
      <c r="F309" s="3" t="str">
        <f>IF($E309="","",INDEX(Рецепты!$K$6:$K$85,MATCH(Меню!$D$18,Рецепты!$H$6:$H$85,0)+3))</f>
        <v/>
      </c>
      <c r="G309" s="3" t="str">
        <f>IF($E309="","",INDEX(Рецепты!$M$6:$M$85,MATCH(Меню!$D$18,Рецепты!$H$6:$H$85,0)+3))</f>
        <v/>
      </c>
      <c r="H309" s="12">
        <f>IFERROR(IF(IFERROR(INDEX(Рецепты!$H$6:$H$85,MATCH(Меню!$D$18,Рецепты!$H$6:$H$85,0)+3)=Меню!$D$18,FALSE),INDEX(Рецепты!$L$6:$L$85,MATCH(Меню!$D$18,Рецепты!$H$6:$H$85,0)+3),0),0)</f>
        <v>0</v>
      </c>
      <c r="I309" s="12" t="str">
        <f>IF($F309="","",Меню!$E$18)</f>
        <v/>
      </c>
      <c r="J309" s="12">
        <f t="shared" si="4"/>
        <v>0</v>
      </c>
      <c r="K309" s="12">
        <f>IFERROR($J309/100*INDEX(Продукты!$G$6:$G$66,MATCH($E309,Продукты!$A$6:$A$66,0)),0)</f>
        <v>0</v>
      </c>
      <c r="L309" s="12">
        <f>IFERROR($J309/100*INDEX(Продукты!$H$6:$H$66,MATCH($E309,Продукты!$A$6:$A$66,0)),0)</f>
        <v>0</v>
      </c>
      <c r="M309" s="12">
        <f>IFERROR($J309/100*INDEX(Продукты!$I$6:$I$66,MATCH($E309,Продукты!$A$6:$A$66,0)),0)</f>
        <v>0</v>
      </c>
      <c r="N309" s="12">
        <f>IFERROR($J309/100*INDEX(Продукты!$J$6:$J$66,MATCH($E309,Продукты!$A$6:$A$66,0)),0)</f>
        <v>0</v>
      </c>
      <c r="O309" s="3" t="str">
        <f>IFERROR(IF(IFERROR(INDEX(Рецепты!$H$6:$H$85,MATCH(Меню!$D$18,Рецепты!$H$6:$H$85,0)+3)=Меню!$D$18,FALSE),INDEX(Рецепты!$N$6:$N$85,MATCH(Меню!$D$18,Рецепты!$H$6:$H$85,0)+3),""),"")</f>
        <v/>
      </c>
    </row>
    <row r="310" spans="1:15">
      <c r="A310" s="3" t="str">
        <f>IF($E310="","",Меню!$A$18)</f>
        <v/>
      </c>
      <c r="B310" s="3" t="str">
        <f>IF($E310="","",Меню!$B$18)</f>
        <v/>
      </c>
      <c r="C310" s="3" t="str">
        <f>IF($E310="","",Меню!$C$18)</f>
        <v/>
      </c>
      <c r="D310" s="3" t="str">
        <f>IF($E310="","",Меню!$D$18)</f>
        <v/>
      </c>
      <c r="E310" s="3" t="str">
        <f>IFERROR(IF(IFERROR(INDEX(Рецепты!$H$6:$H$85,MATCH(Меню!$D$18,Рецепты!$H$6:$H$85,0)+4)=Меню!$D$18,FALSE),INDEX(Рецепты!$J$6:$J$85,MATCH(Меню!$D$18,Рецепты!$H$6:$H$85,0)+4),""),"")</f>
        <v/>
      </c>
      <c r="F310" s="3" t="str">
        <f>IF($E310="","",INDEX(Рецепты!$K$6:$K$85,MATCH(Меню!$D$18,Рецепты!$H$6:$H$85,0)+4))</f>
        <v/>
      </c>
      <c r="G310" s="3" t="str">
        <f>IF($E310="","",INDEX(Рецепты!$M$6:$M$85,MATCH(Меню!$D$18,Рецепты!$H$6:$H$85,0)+4))</f>
        <v/>
      </c>
      <c r="H310" s="12">
        <f>IFERROR(IF(IFERROR(INDEX(Рецепты!$H$6:$H$85,MATCH(Меню!$D$18,Рецепты!$H$6:$H$85,0)+4)=Меню!$D$18,FALSE),INDEX(Рецепты!$L$6:$L$85,MATCH(Меню!$D$18,Рецепты!$H$6:$H$85,0)+4),0),0)</f>
        <v>0</v>
      </c>
      <c r="I310" s="12" t="str">
        <f>IF($F310="","",Меню!$E$18)</f>
        <v/>
      </c>
      <c r="J310" s="12">
        <f t="shared" si="4"/>
        <v>0</v>
      </c>
      <c r="K310" s="12">
        <f>IFERROR($J310/100*INDEX(Продукты!$G$6:$G$66,MATCH($E310,Продукты!$A$6:$A$66,0)),0)</f>
        <v>0</v>
      </c>
      <c r="L310" s="12">
        <f>IFERROR($J310/100*INDEX(Продукты!$H$6:$H$66,MATCH($E310,Продукты!$A$6:$A$66,0)),0)</f>
        <v>0</v>
      </c>
      <c r="M310" s="12">
        <f>IFERROR($J310/100*INDEX(Продукты!$I$6:$I$66,MATCH($E310,Продукты!$A$6:$A$66,0)),0)</f>
        <v>0</v>
      </c>
      <c r="N310" s="12">
        <f>IFERROR($J310/100*INDEX(Продукты!$J$6:$J$66,MATCH($E310,Продукты!$A$6:$A$66,0)),0)</f>
        <v>0</v>
      </c>
      <c r="O310" s="3" t="str">
        <f>IFERROR(IF(IFERROR(INDEX(Рецепты!$H$6:$H$85,MATCH(Меню!$D$18,Рецепты!$H$6:$H$85,0)+4)=Меню!$D$18,FALSE),INDEX(Рецепты!$N$6:$N$85,MATCH(Меню!$D$18,Рецепты!$H$6:$H$85,0)+4),""),"")</f>
        <v/>
      </c>
    </row>
    <row r="311" spans="1:15">
      <c r="A311" s="3" t="str">
        <f>IF($E311="","",Меню!$A$18)</f>
        <v/>
      </c>
      <c r="B311" s="3" t="str">
        <f>IF($E311="","",Меню!$B$18)</f>
        <v/>
      </c>
      <c r="C311" s="3" t="str">
        <f>IF($E311="","",Меню!$C$18)</f>
        <v/>
      </c>
      <c r="D311" s="3" t="str">
        <f>IF($E311="","",Меню!$D$18)</f>
        <v/>
      </c>
      <c r="E311" s="3" t="str">
        <f>IFERROR(IF(IFERROR(INDEX(Рецепты!$H$6:$H$85,MATCH(Меню!$D$18,Рецепты!$H$6:$H$85,0)+5)=Меню!$D$18,FALSE),INDEX(Рецепты!$J$6:$J$85,MATCH(Меню!$D$18,Рецепты!$H$6:$H$85,0)+5),""),"")</f>
        <v/>
      </c>
      <c r="F311" s="3" t="str">
        <f>IF($E311="","",INDEX(Рецепты!$K$6:$K$85,MATCH(Меню!$D$18,Рецепты!$H$6:$H$85,0)+5))</f>
        <v/>
      </c>
      <c r="G311" s="3" t="str">
        <f>IF($E311="","",INDEX(Рецепты!$M$6:$M$85,MATCH(Меню!$D$18,Рецепты!$H$6:$H$85,0)+5))</f>
        <v/>
      </c>
      <c r="H311" s="12">
        <f>IFERROR(IF(IFERROR(INDEX(Рецепты!$H$6:$H$85,MATCH(Меню!$D$18,Рецепты!$H$6:$H$85,0)+5)=Меню!$D$18,FALSE),INDEX(Рецепты!$L$6:$L$85,MATCH(Меню!$D$18,Рецепты!$H$6:$H$85,0)+5),0),0)</f>
        <v>0</v>
      </c>
      <c r="I311" s="12" t="str">
        <f>IF($F311="","",Меню!$E$18)</f>
        <v/>
      </c>
      <c r="J311" s="12">
        <f t="shared" si="4"/>
        <v>0</v>
      </c>
      <c r="K311" s="12">
        <f>IFERROR($J311/100*INDEX(Продукты!$G$6:$G$66,MATCH($E311,Продукты!$A$6:$A$66,0)),0)</f>
        <v>0</v>
      </c>
      <c r="L311" s="12">
        <f>IFERROR($J311/100*INDEX(Продукты!$H$6:$H$66,MATCH($E311,Продукты!$A$6:$A$66,0)),0)</f>
        <v>0</v>
      </c>
      <c r="M311" s="12">
        <f>IFERROR($J311/100*INDEX(Продукты!$I$6:$I$66,MATCH($E311,Продукты!$A$6:$A$66,0)),0)</f>
        <v>0</v>
      </c>
      <c r="N311" s="12">
        <f>IFERROR($J311/100*INDEX(Продукты!$J$6:$J$66,MATCH($E311,Продукты!$A$6:$A$66,0)),0)</f>
        <v>0</v>
      </c>
      <c r="O311" s="3" t="str">
        <f>IFERROR(IF(IFERROR(INDEX(Рецепты!$H$6:$H$85,MATCH(Меню!$D$18,Рецепты!$H$6:$H$85,0)+5)=Меню!$D$18,FALSE),INDEX(Рецепты!$N$6:$N$85,MATCH(Меню!$D$18,Рецепты!$H$6:$H$85,0)+5),""),"")</f>
        <v/>
      </c>
    </row>
    <row r="312" spans="1:15">
      <c r="A312" s="3" t="str">
        <f>IF($E312="","",Меню!$A$18)</f>
        <v/>
      </c>
      <c r="B312" s="3" t="str">
        <f>IF($E312="","",Меню!$B$18)</f>
        <v/>
      </c>
      <c r="C312" s="3" t="str">
        <f>IF($E312="","",Меню!$C$18)</f>
        <v/>
      </c>
      <c r="D312" s="3" t="str">
        <f>IF($E312="","",Меню!$D$18)</f>
        <v/>
      </c>
      <c r="E312" s="3" t="str">
        <f>IFERROR(IF(IFERROR(INDEX(Рецепты!$H$6:$H$85,MATCH(Меню!$D$18,Рецепты!$H$6:$H$85,0)+6)=Меню!$D$18,FALSE),INDEX(Рецепты!$J$6:$J$85,MATCH(Меню!$D$18,Рецепты!$H$6:$H$85,0)+6),""),"")</f>
        <v/>
      </c>
      <c r="F312" s="3" t="str">
        <f>IF($E312="","",INDEX(Рецепты!$K$6:$K$85,MATCH(Меню!$D$18,Рецепты!$H$6:$H$85,0)+6))</f>
        <v/>
      </c>
      <c r="G312" s="3" t="str">
        <f>IF($E312="","",INDEX(Рецепты!$M$6:$M$85,MATCH(Меню!$D$18,Рецепты!$H$6:$H$85,0)+6))</f>
        <v/>
      </c>
      <c r="H312" s="12">
        <f>IFERROR(IF(IFERROR(INDEX(Рецепты!$H$6:$H$85,MATCH(Меню!$D$18,Рецепты!$H$6:$H$85,0)+6)=Меню!$D$18,FALSE),INDEX(Рецепты!$L$6:$L$85,MATCH(Меню!$D$18,Рецепты!$H$6:$H$85,0)+6),0),0)</f>
        <v>0</v>
      </c>
      <c r="I312" s="12" t="str">
        <f>IF($F312="","",Меню!$E$18)</f>
        <v/>
      </c>
      <c r="J312" s="12">
        <f t="shared" si="4"/>
        <v>0</v>
      </c>
      <c r="K312" s="12">
        <f>IFERROR($J312/100*INDEX(Продукты!$G$6:$G$66,MATCH($E312,Продукты!$A$6:$A$66,0)),0)</f>
        <v>0</v>
      </c>
      <c r="L312" s="12">
        <f>IFERROR($J312/100*INDEX(Продукты!$H$6:$H$66,MATCH($E312,Продукты!$A$6:$A$66,0)),0)</f>
        <v>0</v>
      </c>
      <c r="M312" s="12">
        <f>IFERROR($J312/100*INDEX(Продукты!$I$6:$I$66,MATCH($E312,Продукты!$A$6:$A$66,0)),0)</f>
        <v>0</v>
      </c>
      <c r="N312" s="12">
        <f>IFERROR($J312/100*INDEX(Продукты!$J$6:$J$66,MATCH($E312,Продукты!$A$6:$A$66,0)),0)</f>
        <v>0</v>
      </c>
      <c r="O312" s="3" t="str">
        <f>IFERROR(IF(IFERROR(INDEX(Рецепты!$H$6:$H$85,MATCH(Меню!$D$18,Рецепты!$H$6:$H$85,0)+6)=Меню!$D$18,FALSE),INDEX(Рецепты!$N$6:$N$85,MATCH(Меню!$D$18,Рецепты!$H$6:$H$85,0)+6),""),"")</f>
        <v/>
      </c>
    </row>
    <row r="313" spans="1:15">
      <c r="A313" s="3" t="str">
        <f>IF($E313="","",Меню!$A$18)</f>
        <v/>
      </c>
      <c r="B313" s="3" t="str">
        <f>IF($E313="","",Меню!$B$18)</f>
        <v/>
      </c>
      <c r="C313" s="3" t="str">
        <f>IF($E313="","",Меню!$C$18)</f>
        <v/>
      </c>
      <c r="D313" s="3" t="str">
        <f>IF($E313="","",Меню!$D$18)</f>
        <v/>
      </c>
      <c r="E313" s="3" t="str">
        <f>IFERROR(IF(IFERROR(INDEX(Рецепты!$H$6:$H$85,MATCH(Меню!$D$18,Рецепты!$H$6:$H$85,0)+7)=Меню!$D$18,FALSE),INDEX(Рецепты!$J$6:$J$85,MATCH(Меню!$D$18,Рецепты!$H$6:$H$85,0)+7),""),"")</f>
        <v/>
      </c>
      <c r="F313" s="3" t="str">
        <f>IF($E313="","",INDEX(Рецепты!$K$6:$K$85,MATCH(Меню!$D$18,Рецепты!$H$6:$H$85,0)+7))</f>
        <v/>
      </c>
      <c r="G313" s="3" t="str">
        <f>IF($E313="","",INDEX(Рецепты!$M$6:$M$85,MATCH(Меню!$D$18,Рецепты!$H$6:$H$85,0)+7))</f>
        <v/>
      </c>
      <c r="H313" s="12">
        <f>IFERROR(IF(IFERROR(INDEX(Рецепты!$H$6:$H$85,MATCH(Меню!$D$18,Рецепты!$H$6:$H$85,0)+7)=Меню!$D$18,FALSE),INDEX(Рецепты!$L$6:$L$85,MATCH(Меню!$D$18,Рецепты!$H$6:$H$85,0)+7),0),0)</f>
        <v>0</v>
      </c>
      <c r="I313" s="12" t="str">
        <f>IF($F313="","",Меню!$E$18)</f>
        <v/>
      </c>
      <c r="J313" s="12">
        <f t="shared" si="4"/>
        <v>0</v>
      </c>
      <c r="K313" s="12">
        <f>IFERROR($J313/100*INDEX(Продукты!$G$6:$G$66,MATCH($E313,Продукты!$A$6:$A$66,0)),0)</f>
        <v>0</v>
      </c>
      <c r="L313" s="12">
        <f>IFERROR($J313/100*INDEX(Продукты!$H$6:$H$66,MATCH($E313,Продукты!$A$6:$A$66,0)),0)</f>
        <v>0</v>
      </c>
      <c r="M313" s="12">
        <f>IFERROR($J313/100*INDEX(Продукты!$I$6:$I$66,MATCH($E313,Продукты!$A$6:$A$66,0)),0)</f>
        <v>0</v>
      </c>
      <c r="N313" s="12">
        <f>IFERROR($J313/100*INDEX(Продукты!$J$6:$J$66,MATCH($E313,Продукты!$A$6:$A$66,0)),0)</f>
        <v>0</v>
      </c>
      <c r="O313" s="3" t="str">
        <f>IFERROR(IF(IFERROR(INDEX(Рецепты!$H$6:$H$85,MATCH(Меню!$D$18,Рецепты!$H$6:$H$85,0)+7)=Меню!$D$18,FALSE),INDEX(Рецепты!$N$6:$N$85,MATCH(Меню!$D$18,Рецепты!$H$6:$H$85,0)+7),""),"")</f>
        <v/>
      </c>
    </row>
    <row r="314" spans="1:15">
      <c r="A314" s="3" t="str">
        <f>IF($E314="","",Меню!$A$18)</f>
        <v/>
      </c>
      <c r="B314" s="3" t="str">
        <f>IF($E314="","",Меню!$B$18)</f>
        <v/>
      </c>
      <c r="C314" s="3" t="str">
        <f>IF($E314="","",Меню!$C$18)</f>
        <v/>
      </c>
      <c r="D314" s="3" t="str">
        <f>IF($E314="","",Меню!$D$18)</f>
        <v/>
      </c>
      <c r="E314" s="3" t="str">
        <f>IFERROR(IF(IFERROR(INDEX(Рецепты!$H$6:$H$85,MATCH(Меню!$D$18,Рецепты!$H$6:$H$85,0)+8)=Меню!$D$18,FALSE),INDEX(Рецепты!$J$6:$J$85,MATCH(Меню!$D$18,Рецепты!$H$6:$H$85,0)+8),""),"")</f>
        <v/>
      </c>
      <c r="F314" s="3" t="str">
        <f>IF($E314="","",INDEX(Рецепты!$K$6:$K$85,MATCH(Меню!$D$18,Рецепты!$H$6:$H$85,0)+8))</f>
        <v/>
      </c>
      <c r="G314" s="3" t="str">
        <f>IF($E314="","",INDEX(Рецепты!$M$6:$M$85,MATCH(Меню!$D$18,Рецепты!$H$6:$H$85,0)+8))</f>
        <v/>
      </c>
      <c r="H314" s="12">
        <f>IFERROR(IF(IFERROR(INDEX(Рецепты!$H$6:$H$85,MATCH(Меню!$D$18,Рецепты!$H$6:$H$85,0)+8)=Меню!$D$18,FALSE),INDEX(Рецепты!$L$6:$L$85,MATCH(Меню!$D$18,Рецепты!$H$6:$H$85,0)+8),0),0)</f>
        <v>0</v>
      </c>
      <c r="I314" s="12" t="str">
        <f>IF($F314="","",Меню!$E$18)</f>
        <v/>
      </c>
      <c r="J314" s="12">
        <f t="shared" si="4"/>
        <v>0</v>
      </c>
      <c r="K314" s="12">
        <f>IFERROR($J314/100*INDEX(Продукты!$G$6:$G$66,MATCH($E314,Продукты!$A$6:$A$66,0)),0)</f>
        <v>0</v>
      </c>
      <c r="L314" s="12">
        <f>IFERROR($J314/100*INDEX(Продукты!$H$6:$H$66,MATCH($E314,Продукты!$A$6:$A$66,0)),0)</f>
        <v>0</v>
      </c>
      <c r="M314" s="12">
        <f>IFERROR($J314/100*INDEX(Продукты!$I$6:$I$66,MATCH($E314,Продукты!$A$6:$A$66,0)),0)</f>
        <v>0</v>
      </c>
      <c r="N314" s="12">
        <f>IFERROR($J314/100*INDEX(Продукты!$J$6:$J$66,MATCH($E314,Продукты!$A$6:$A$66,0)),0)</f>
        <v>0</v>
      </c>
      <c r="O314" s="3" t="str">
        <f>IFERROR(IF(IFERROR(INDEX(Рецепты!$H$6:$H$85,MATCH(Меню!$D$18,Рецепты!$H$6:$H$85,0)+8)=Меню!$D$18,FALSE),INDEX(Рецепты!$N$6:$N$85,MATCH(Меню!$D$18,Рецепты!$H$6:$H$85,0)+8),""),"")</f>
        <v/>
      </c>
    </row>
    <row r="315" spans="1:15">
      <c r="A315" s="3" t="str">
        <f>IF($E315="","",Меню!$A$18)</f>
        <v/>
      </c>
      <c r="B315" s="3" t="str">
        <f>IF($E315="","",Меню!$B$18)</f>
        <v/>
      </c>
      <c r="C315" s="3" t="str">
        <f>IF($E315="","",Меню!$C$18)</f>
        <v/>
      </c>
      <c r="D315" s="3" t="str">
        <f>IF($E315="","",Меню!$D$18)</f>
        <v/>
      </c>
      <c r="E315" s="3" t="str">
        <f>IFERROR(IF(IFERROR(INDEX(Рецепты!$H$6:$H$85,MATCH(Меню!$D$18,Рецепты!$H$6:$H$85,0)+9)=Меню!$D$18,FALSE),INDEX(Рецепты!$J$6:$J$85,MATCH(Меню!$D$18,Рецепты!$H$6:$H$85,0)+9),""),"")</f>
        <v/>
      </c>
      <c r="F315" s="3" t="str">
        <f>IF($E315="","",INDEX(Рецепты!$K$6:$K$85,MATCH(Меню!$D$18,Рецепты!$H$6:$H$85,0)+9))</f>
        <v/>
      </c>
      <c r="G315" s="3" t="str">
        <f>IF($E315="","",INDEX(Рецепты!$M$6:$M$85,MATCH(Меню!$D$18,Рецепты!$H$6:$H$85,0)+9))</f>
        <v/>
      </c>
      <c r="H315" s="12">
        <f>IFERROR(IF(IFERROR(INDEX(Рецепты!$H$6:$H$85,MATCH(Меню!$D$18,Рецепты!$H$6:$H$85,0)+9)=Меню!$D$18,FALSE),INDEX(Рецепты!$L$6:$L$85,MATCH(Меню!$D$18,Рецепты!$H$6:$H$85,0)+9),0),0)</f>
        <v>0</v>
      </c>
      <c r="I315" s="12" t="str">
        <f>IF($F315="","",Меню!$E$18)</f>
        <v/>
      </c>
      <c r="J315" s="12">
        <f t="shared" si="4"/>
        <v>0</v>
      </c>
      <c r="K315" s="12">
        <f>IFERROR($J315/100*INDEX(Продукты!$G$6:$G$66,MATCH($E315,Продукты!$A$6:$A$66,0)),0)</f>
        <v>0</v>
      </c>
      <c r="L315" s="12">
        <f>IFERROR($J315/100*INDEX(Продукты!$H$6:$H$66,MATCH($E315,Продукты!$A$6:$A$66,0)),0)</f>
        <v>0</v>
      </c>
      <c r="M315" s="12">
        <f>IFERROR($J315/100*INDEX(Продукты!$I$6:$I$66,MATCH($E315,Продукты!$A$6:$A$66,0)),0)</f>
        <v>0</v>
      </c>
      <c r="N315" s="12">
        <f>IFERROR($J315/100*INDEX(Продукты!$J$6:$J$66,MATCH($E315,Продукты!$A$6:$A$66,0)),0)</f>
        <v>0</v>
      </c>
      <c r="O315" s="3" t="str">
        <f>IFERROR(IF(IFERROR(INDEX(Рецепты!$H$6:$H$85,MATCH(Меню!$D$18,Рецепты!$H$6:$H$85,0)+9)=Меню!$D$18,FALSE),INDEX(Рецепты!$N$6:$N$85,MATCH(Меню!$D$18,Рецепты!$H$6:$H$85,0)+9),""),"")</f>
        <v/>
      </c>
    </row>
    <row r="316" spans="1:15">
      <c r="A316" s="3" t="str">
        <f>IF($E316="","",Меню!$A$18)</f>
        <v/>
      </c>
      <c r="B316" s="3" t="str">
        <f>IF($E316="","",Меню!$B$18)</f>
        <v/>
      </c>
      <c r="C316" s="3" t="str">
        <f>IF($E316="","",Меню!$C$18)</f>
        <v/>
      </c>
      <c r="D316" s="3" t="str">
        <f>IF($E316="","",Меню!$D$18)</f>
        <v/>
      </c>
      <c r="E316" s="3" t="str">
        <f>IFERROR(IF(IFERROR(INDEX(Рецепты!$H$6:$H$85,MATCH(Меню!$D$18,Рецепты!$H$6:$H$85,0)+10)=Меню!$D$18,FALSE),INDEX(Рецепты!$J$6:$J$85,MATCH(Меню!$D$18,Рецепты!$H$6:$H$85,0)+10),""),"")</f>
        <v/>
      </c>
      <c r="F316" s="3" t="str">
        <f>IF($E316="","",INDEX(Рецепты!$K$6:$K$85,MATCH(Меню!$D$18,Рецепты!$H$6:$H$85,0)+10))</f>
        <v/>
      </c>
      <c r="G316" s="3" t="str">
        <f>IF($E316="","",INDEX(Рецепты!$M$6:$M$85,MATCH(Меню!$D$18,Рецепты!$H$6:$H$85,0)+10))</f>
        <v/>
      </c>
      <c r="H316" s="12">
        <f>IFERROR(IF(IFERROR(INDEX(Рецепты!$H$6:$H$85,MATCH(Меню!$D$18,Рецепты!$H$6:$H$85,0)+10)=Меню!$D$18,FALSE),INDEX(Рецепты!$L$6:$L$85,MATCH(Меню!$D$18,Рецепты!$H$6:$H$85,0)+10),0),0)</f>
        <v>0</v>
      </c>
      <c r="I316" s="12" t="str">
        <f>IF($F316="","",Меню!$E$18)</f>
        <v/>
      </c>
      <c r="J316" s="12">
        <f t="shared" si="4"/>
        <v>0</v>
      </c>
      <c r="K316" s="12">
        <f>IFERROR($J316/100*INDEX(Продукты!$G$6:$G$66,MATCH($E316,Продукты!$A$6:$A$66,0)),0)</f>
        <v>0</v>
      </c>
      <c r="L316" s="12">
        <f>IFERROR($J316/100*INDEX(Продукты!$H$6:$H$66,MATCH($E316,Продукты!$A$6:$A$66,0)),0)</f>
        <v>0</v>
      </c>
      <c r="M316" s="12">
        <f>IFERROR($J316/100*INDEX(Продукты!$I$6:$I$66,MATCH($E316,Продукты!$A$6:$A$66,0)),0)</f>
        <v>0</v>
      </c>
      <c r="N316" s="12">
        <f>IFERROR($J316/100*INDEX(Продукты!$J$6:$J$66,MATCH($E316,Продукты!$A$6:$A$66,0)),0)</f>
        <v>0</v>
      </c>
      <c r="O316" s="3" t="str">
        <f>IFERROR(IF(IFERROR(INDEX(Рецепты!$H$6:$H$85,MATCH(Меню!$D$18,Рецепты!$H$6:$H$85,0)+10)=Меню!$D$18,FALSE),INDEX(Рецепты!$N$6:$N$85,MATCH(Меню!$D$18,Рецепты!$H$6:$H$85,0)+10),""),"")</f>
        <v/>
      </c>
    </row>
    <row r="317" spans="1:15">
      <c r="A317" s="3" t="str">
        <f>IF($E317="","",Меню!$A$18)</f>
        <v/>
      </c>
      <c r="B317" s="3" t="str">
        <f>IF($E317="","",Меню!$B$18)</f>
        <v/>
      </c>
      <c r="C317" s="3" t="str">
        <f>IF($E317="","",Меню!$C$18)</f>
        <v/>
      </c>
      <c r="D317" s="3" t="str">
        <f>IF($E317="","",Меню!$D$18)</f>
        <v/>
      </c>
      <c r="E317" s="3" t="str">
        <f>IFERROR(IF(IFERROR(INDEX(Рецепты!$H$6:$H$85,MATCH(Меню!$D$18,Рецепты!$H$6:$H$85,0)+11)=Меню!$D$18,FALSE),INDEX(Рецепты!$J$6:$J$85,MATCH(Меню!$D$18,Рецепты!$H$6:$H$85,0)+11),""),"")</f>
        <v/>
      </c>
      <c r="F317" s="3" t="str">
        <f>IF($E317="","",INDEX(Рецепты!$K$6:$K$85,MATCH(Меню!$D$18,Рецепты!$H$6:$H$85,0)+11))</f>
        <v/>
      </c>
      <c r="G317" s="3" t="str">
        <f>IF($E317="","",INDEX(Рецепты!$M$6:$M$85,MATCH(Меню!$D$18,Рецепты!$H$6:$H$85,0)+11))</f>
        <v/>
      </c>
      <c r="H317" s="12">
        <f>IFERROR(IF(IFERROR(INDEX(Рецепты!$H$6:$H$85,MATCH(Меню!$D$18,Рецепты!$H$6:$H$85,0)+11)=Меню!$D$18,FALSE),INDEX(Рецепты!$L$6:$L$85,MATCH(Меню!$D$18,Рецепты!$H$6:$H$85,0)+11),0),0)</f>
        <v>0</v>
      </c>
      <c r="I317" s="12" t="str">
        <f>IF($F317="","",Меню!$E$18)</f>
        <v/>
      </c>
      <c r="J317" s="12">
        <f t="shared" si="4"/>
        <v>0</v>
      </c>
      <c r="K317" s="12">
        <f>IFERROR($J317/100*INDEX(Продукты!$G$6:$G$66,MATCH($E317,Продукты!$A$6:$A$66,0)),0)</f>
        <v>0</v>
      </c>
      <c r="L317" s="12">
        <f>IFERROR($J317/100*INDEX(Продукты!$H$6:$H$66,MATCH($E317,Продукты!$A$6:$A$66,0)),0)</f>
        <v>0</v>
      </c>
      <c r="M317" s="12">
        <f>IFERROR($J317/100*INDEX(Продукты!$I$6:$I$66,MATCH($E317,Продукты!$A$6:$A$66,0)),0)</f>
        <v>0</v>
      </c>
      <c r="N317" s="12">
        <f>IFERROR($J317/100*INDEX(Продукты!$J$6:$J$66,MATCH($E317,Продукты!$A$6:$A$66,0)),0)</f>
        <v>0</v>
      </c>
      <c r="O317" s="3" t="str">
        <f>IFERROR(IF(IFERROR(INDEX(Рецепты!$H$6:$H$85,MATCH(Меню!$D$18,Рецепты!$H$6:$H$85,0)+11)=Меню!$D$18,FALSE),INDEX(Рецепты!$N$6:$N$85,MATCH(Меню!$D$18,Рецепты!$H$6:$H$85,0)+11),""),"")</f>
        <v/>
      </c>
    </row>
    <row r="318" spans="1:15">
      <c r="A318" s="3" t="str">
        <f>IF($E318="","",Меню!$A$18)</f>
        <v/>
      </c>
      <c r="B318" s="3" t="str">
        <f>IF($E318="","",Меню!$B$18)</f>
        <v/>
      </c>
      <c r="C318" s="3" t="str">
        <f>IF($E318="","",Меню!$C$18)</f>
        <v/>
      </c>
      <c r="D318" s="3" t="str">
        <f>IF($E318="","",Меню!$D$18)</f>
        <v/>
      </c>
      <c r="E318" s="3" t="str">
        <f>IFERROR(IF(IFERROR(INDEX(Рецепты!$H$6:$H$85,MATCH(Меню!$D$18,Рецепты!$H$6:$H$85,0)+12)=Меню!$D$18,FALSE),INDEX(Рецепты!$J$6:$J$85,MATCH(Меню!$D$18,Рецепты!$H$6:$H$85,0)+12),""),"")</f>
        <v/>
      </c>
      <c r="F318" s="3" t="str">
        <f>IF($E318="","",INDEX(Рецепты!$K$6:$K$85,MATCH(Меню!$D$18,Рецепты!$H$6:$H$85,0)+12))</f>
        <v/>
      </c>
      <c r="G318" s="3" t="str">
        <f>IF($E318="","",INDEX(Рецепты!$M$6:$M$85,MATCH(Меню!$D$18,Рецепты!$H$6:$H$85,0)+12))</f>
        <v/>
      </c>
      <c r="H318" s="12">
        <f>IFERROR(IF(IFERROR(INDEX(Рецепты!$H$6:$H$85,MATCH(Меню!$D$18,Рецепты!$H$6:$H$85,0)+12)=Меню!$D$18,FALSE),INDEX(Рецепты!$L$6:$L$85,MATCH(Меню!$D$18,Рецепты!$H$6:$H$85,0)+12),0),0)</f>
        <v>0</v>
      </c>
      <c r="I318" s="12" t="str">
        <f>IF($F318="","",Меню!$E$18)</f>
        <v/>
      </c>
      <c r="J318" s="12">
        <f t="shared" si="4"/>
        <v>0</v>
      </c>
      <c r="K318" s="12">
        <f>IFERROR($J318/100*INDEX(Продукты!$G$6:$G$66,MATCH($E318,Продукты!$A$6:$A$66,0)),0)</f>
        <v>0</v>
      </c>
      <c r="L318" s="12">
        <f>IFERROR($J318/100*INDEX(Продукты!$H$6:$H$66,MATCH($E318,Продукты!$A$6:$A$66,0)),0)</f>
        <v>0</v>
      </c>
      <c r="M318" s="12">
        <f>IFERROR($J318/100*INDEX(Продукты!$I$6:$I$66,MATCH($E318,Продукты!$A$6:$A$66,0)),0)</f>
        <v>0</v>
      </c>
      <c r="N318" s="12">
        <f>IFERROR($J318/100*INDEX(Продукты!$J$6:$J$66,MATCH($E318,Продукты!$A$6:$A$66,0)),0)</f>
        <v>0</v>
      </c>
      <c r="O318" s="3" t="str">
        <f>IFERROR(IF(IFERROR(INDEX(Рецепты!$H$6:$H$85,MATCH(Меню!$D$18,Рецепты!$H$6:$H$85,0)+12)=Меню!$D$18,FALSE),INDEX(Рецепты!$N$6:$N$85,MATCH(Меню!$D$18,Рецепты!$H$6:$H$85,0)+12),""),"")</f>
        <v/>
      </c>
    </row>
    <row r="319" spans="1:15">
      <c r="A319" s="3" t="str">
        <f>IF($E319="","",Меню!$A$18)</f>
        <v/>
      </c>
      <c r="B319" s="3" t="str">
        <f>IF($E319="","",Меню!$B$18)</f>
        <v/>
      </c>
      <c r="C319" s="3" t="str">
        <f>IF($E319="","",Меню!$C$18)</f>
        <v/>
      </c>
      <c r="D319" s="3" t="str">
        <f>IF($E319="","",Меню!$D$18)</f>
        <v/>
      </c>
      <c r="E319" s="3" t="str">
        <f>IFERROR(IF(IFERROR(INDEX(Рецепты!$H$6:$H$85,MATCH(Меню!$D$18,Рецепты!$H$6:$H$85,0)+13)=Меню!$D$18,FALSE),INDEX(Рецепты!$J$6:$J$85,MATCH(Меню!$D$18,Рецепты!$H$6:$H$85,0)+13),""),"")</f>
        <v/>
      </c>
      <c r="F319" s="3" t="str">
        <f>IF($E319="","",INDEX(Рецепты!$K$6:$K$85,MATCH(Меню!$D$18,Рецепты!$H$6:$H$85,0)+13))</f>
        <v/>
      </c>
      <c r="G319" s="3" t="str">
        <f>IF($E319="","",INDEX(Рецепты!$M$6:$M$85,MATCH(Меню!$D$18,Рецепты!$H$6:$H$85,0)+13))</f>
        <v/>
      </c>
      <c r="H319" s="12">
        <f>IFERROR(IF(IFERROR(INDEX(Рецепты!$H$6:$H$85,MATCH(Меню!$D$18,Рецепты!$H$6:$H$85,0)+13)=Меню!$D$18,FALSE),INDEX(Рецепты!$L$6:$L$85,MATCH(Меню!$D$18,Рецепты!$H$6:$H$85,0)+13),0),0)</f>
        <v>0</v>
      </c>
      <c r="I319" s="12" t="str">
        <f>IF($F319="","",Меню!$E$18)</f>
        <v/>
      </c>
      <c r="J319" s="12">
        <f t="shared" si="4"/>
        <v>0</v>
      </c>
      <c r="K319" s="12">
        <f>IFERROR($J319/100*INDEX(Продукты!$G$6:$G$66,MATCH($E319,Продукты!$A$6:$A$66,0)),0)</f>
        <v>0</v>
      </c>
      <c r="L319" s="12">
        <f>IFERROR($J319/100*INDEX(Продукты!$H$6:$H$66,MATCH($E319,Продукты!$A$6:$A$66,0)),0)</f>
        <v>0</v>
      </c>
      <c r="M319" s="12">
        <f>IFERROR($J319/100*INDEX(Продукты!$I$6:$I$66,MATCH($E319,Продукты!$A$6:$A$66,0)),0)</f>
        <v>0</v>
      </c>
      <c r="N319" s="12">
        <f>IFERROR($J319/100*INDEX(Продукты!$J$6:$J$66,MATCH($E319,Продукты!$A$6:$A$66,0)),0)</f>
        <v>0</v>
      </c>
      <c r="O319" s="3" t="str">
        <f>IFERROR(IF(IFERROR(INDEX(Рецепты!$H$6:$H$85,MATCH(Меню!$D$18,Рецепты!$H$6:$H$85,0)+13)=Меню!$D$18,FALSE),INDEX(Рецепты!$N$6:$N$85,MATCH(Меню!$D$18,Рецепты!$H$6:$H$85,0)+13),""),"")</f>
        <v/>
      </c>
    </row>
    <row r="320" spans="1:15">
      <c r="A320" s="3" t="str">
        <f>IF($E320="","",Меню!$A$18)</f>
        <v/>
      </c>
      <c r="B320" s="3" t="str">
        <f>IF($E320="","",Меню!$B$18)</f>
        <v/>
      </c>
      <c r="C320" s="3" t="str">
        <f>IF($E320="","",Меню!$C$18)</f>
        <v/>
      </c>
      <c r="D320" s="3" t="str">
        <f>IF($E320="","",Меню!$D$18)</f>
        <v/>
      </c>
      <c r="E320" s="3" t="str">
        <f>IFERROR(IF(IFERROR(INDEX(Рецепты!$H$6:$H$85,MATCH(Меню!$D$18,Рецепты!$H$6:$H$85,0)+14)=Меню!$D$18,FALSE),INDEX(Рецепты!$J$6:$J$85,MATCH(Меню!$D$18,Рецепты!$H$6:$H$85,0)+14),""),"")</f>
        <v/>
      </c>
      <c r="F320" s="3" t="str">
        <f>IF($E320="","",INDEX(Рецепты!$K$6:$K$85,MATCH(Меню!$D$18,Рецепты!$H$6:$H$85,0)+14))</f>
        <v/>
      </c>
      <c r="G320" s="3" t="str">
        <f>IF($E320="","",INDEX(Рецепты!$M$6:$M$85,MATCH(Меню!$D$18,Рецепты!$H$6:$H$85,0)+14))</f>
        <v/>
      </c>
      <c r="H320" s="12">
        <f>IFERROR(IF(IFERROR(INDEX(Рецепты!$H$6:$H$85,MATCH(Меню!$D$18,Рецепты!$H$6:$H$85,0)+14)=Меню!$D$18,FALSE),INDEX(Рецепты!$L$6:$L$85,MATCH(Меню!$D$18,Рецепты!$H$6:$H$85,0)+14),0),0)</f>
        <v>0</v>
      </c>
      <c r="I320" s="12" t="str">
        <f>IF($F320="","",Меню!$E$18)</f>
        <v/>
      </c>
      <c r="J320" s="12">
        <f t="shared" si="4"/>
        <v>0</v>
      </c>
      <c r="K320" s="12">
        <f>IFERROR($J320/100*INDEX(Продукты!$G$6:$G$66,MATCH($E320,Продукты!$A$6:$A$66,0)),0)</f>
        <v>0</v>
      </c>
      <c r="L320" s="12">
        <f>IFERROR($J320/100*INDEX(Продукты!$H$6:$H$66,MATCH($E320,Продукты!$A$6:$A$66,0)),0)</f>
        <v>0</v>
      </c>
      <c r="M320" s="12">
        <f>IFERROR($J320/100*INDEX(Продукты!$I$6:$I$66,MATCH($E320,Продукты!$A$6:$A$66,0)),0)</f>
        <v>0</v>
      </c>
      <c r="N320" s="12">
        <f>IFERROR($J320/100*INDEX(Продукты!$J$6:$J$66,MATCH($E320,Продукты!$A$6:$A$66,0)),0)</f>
        <v>0</v>
      </c>
      <c r="O320" s="3" t="str">
        <f>IFERROR(IF(IFERROR(INDEX(Рецепты!$H$6:$H$85,MATCH(Меню!$D$18,Рецепты!$H$6:$H$85,0)+14)=Меню!$D$18,FALSE),INDEX(Рецепты!$N$6:$N$85,MATCH(Меню!$D$18,Рецепты!$H$6:$H$85,0)+14),""),"")</f>
        <v/>
      </c>
    </row>
    <row r="321" spans="1:15">
      <c r="A321" s="3" t="str">
        <f>IF($E321="","",Меню!$A$18)</f>
        <v/>
      </c>
      <c r="B321" s="3" t="str">
        <f>IF($E321="","",Меню!$B$18)</f>
        <v/>
      </c>
      <c r="C321" s="3" t="str">
        <f>IF($E321="","",Меню!$C$18)</f>
        <v/>
      </c>
      <c r="D321" s="3" t="str">
        <f>IF($E321="","",Меню!$D$18)</f>
        <v/>
      </c>
      <c r="E321" s="3" t="str">
        <f>IFERROR(IF(IFERROR(INDEX(Рецепты!$H$6:$H$85,MATCH(Меню!$D$18,Рецепты!$H$6:$H$85,0)+15)=Меню!$D$18,FALSE),INDEX(Рецепты!$J$6:$J$85,MATCH(Меню!$D$18,Рецепты!$H$6:$H$85,0)+15),""),"")</f>
        <v/>
      </c>
      <c r="F321" s="3" t="str">
        <f>IF($E321="","",INDEX(Рецепты!$K$6:$K$85,MATCH(Меню!$D$18,Рецепты!$H$6:$H$85,0)+15))</f>
        <v/>
      </c>
      <c r="G321" s="3" t="str">
        <f>IF($E321="","",INDEX(Рецепты!$M$6:$M$85,MATCH(Меню!$D$18,Рецепты!$H$6:$H$85,0)+15))</f>
        <v/>
      </c>
      <c r="H321" s="12">
        <f>IFERROR(IF(IFERROR(INDEX(Рецепты!$H$6:$H$85,MATCH(Меню!$D$18,Рецепты!$H$6:$H$85,0)+15)=Меню!$D$18,FALSE),INDEX(Рецепты!$L$6:$L$85,MATCH(Меню!$D$18,Рецепты!$H$6:$H$85,0)+15),0),0)</f>
        <v>0</v>
      </c>
      <c r="I321" s="12" t="str">
        <f>IF($F321="","",Меню!$E$18)</f>
        <v/>
      </c>
      <c r="J321" s="12">
        <f t="shared" si="4"/>
        <v>0</v>
      </c>
      <c r="K321" s="12">
        <f>IFERROR($J321/100*INDEX(Продукты!$G$6:$G$66,MATCH($E321,Продукты!$A$6:$A$66,0)),0)</f>
        <v>0</v>
      </c>
      <c r="L321" s="12">
        <f>IFERROR($J321/100*INDEX(Продукты!$H$6:$H$66,MATCH($E321,Продукты!$A$6:$A$66,0)),0)</f>
        <v>0</v>
      </c>
      <c r="M321" s="12">
        <f>IFERROR($J321/100*INDEX(Продукты!$I$6:$I$66,MATCH($E321,Продукты!$A$6:$A$66,0)),0)</f>
        <v>0</v>
      </c>
      <c r="N321" s="12">
        <f>IFERROR($J321/100*INDEX(Продукты!$J$6:$J$66,MATCH($E321,Продукты!$A$6:$A$66,0)),0)</f>
        <v>0</v>
      </c>
      <c r="O321" s="3" t="str">
        <f>IFERROR(IF(IFERROR(INDEX(Рецепты!$H$6:$H$85,MATCH(Меню!$D$18,Рецепты!$H$6:$H$85,0)+15)=Меню!$D$18,FALSE),INDEX(Рецепты!$N$6:$N$85,MATCH(Меню!$D$18,Рецепты!$H$6:$H$85,0)+15),""),"")</f>
        <v/>
      </c>
    </row>
    <row r="322" spans="1:15">
      <c r="A322" s="3" t="str">
        <f>IF($E322="","",Меню!$A$18)</f>
        <v/>
      </c>
      <c r="B322" s="3" t="str">
        <f>IF($E322="","",Меню!$B$18)</f>
        <v/>
      </c>
      <c r="C322" s="3" t="str">
        <f>IF($E322="","",Меню!$C$18)</f>
        <v/>
      </c>
      <c r="D322" s="3" t="str">
        <f>IF($E322="","",Меню!$D$18)</f>
        <v/>
      </c>
      <c r="E322" s="3" t="str">
        <f>IFERROR(IF(IFERROR(INDEX(Рецепты!$H$6:$H$85,MATCH(Меню!$D$18,Рецепты!$H$6:$H$85,0)+16)=Меню!$D$18,FALSE),INDEX(Рецепты!$J$6:$J$85,MATCH(Меню!$D$18,Рецепты!$H$6:$H$85,0)+16),""),"")</f>
        <v/>
      </c>
      <c r="F322" s="3" t="str">
        <f>IF($E322="","",INDEX(Рецепты!$K$6:$K$85,MATCH(Меню!$D$18,Рецепты!$H$6:$H$85,0)+16))</f>
        <v/>
      </c>
      <c r="G322" s="3" t="str">
        <f>IF($E322="","",INDEX(Рецепты!$M$6:$M$85,MATCH(Меню!$D$18,Рецепты!$H$6:$H$85,0)+16))</f>
        <v/>
      </c>
      <c r="H322" s="12">
        <f>IFERROR(IF(IFERROR(INDEX(Рецепты!$H$6:$H$85,MATCH(Меню!$D$18,Рецепты!$H$6:$H$85,0)+16)=Меню!$D$18,FALSE),INDEX(Рецепты!$L$6:$L$85,MATCH(Меню!$D$18,Рецепты!$H$6:$H$85,0)+16),0),0)</f>
        <v>0</v>
      </c>
      <c r="I322" s="12" t="str">
        <f>IF($F322="","",Меню!$E$18)</f>
        <v/>
      </c>
      <c r="J322" s="12">
        <f t="shared" si="4"/>
        <v>0</v>
      </c>
      <c r="K322" s="12">
        <f>IFERROR($J322/100*INDEX(Продукты!$G$6:$G$66,MATCH($E322,Продукты!$A$6:$A$66,0)),0)</f>
        <v>0</v>
      </c>
      <c r="L322" s="12">
        <f>IFERROR($J322/100*INDEX(Продукты!$H$6:$H$66,MATCH($E322,Продукты!$A$6:$A$66,0)),0)</f>
        <v>0</v>
      </c>
      <c r="M322" s="12">
        <f>IFERROR($J322/100*INDEX(Продукты!$I$6:$I$66,MATCH($E322,Продукты!$A$6:$A$66,0)),0)</f>
        <v>0</v>
      </c>
      <c r="N322" s="12">
        <f>IFERROR($J322/100*INDEX(Продукты!$J$6:$J$66,MATCH($E322,Продукты!$A$6:$A$66,0)),0)</f>
        <v>0</v>
      </c>
      <c r="O322" s="3" t="str">
        <f>IFERROR(IF(IFERROR(INDEX(Рецепты!$H$6:$H$85,MATCH(Меню!$D$18,Рецепты!$H$6:$H$85,0)+16)=Меню!$D$18,FALSE),INDEX(Рецепты!$N$6:$N$85,MATCH(Меню!$D$18,Рецепты!$H$6:$H$85,0)+16),""),"")</f>
        <v/>
      </c>
    </row>
    <row r="323" spans="1:15">
      <c r="A323" s="3" t="str">
        <f>IF($E323="","",Меню!$A$18)</f>
        <v/>
      </c>
      <c r="B323" s="3" t="str">
        <f>IF($E323="","",Меню!$B$18)</f>
        <v/>
      </c>
      <c r="C323" s="3" t="str">
        <f>IF($E323="","",Меню!$C$18)</f>
        <v/>
      </c>
      <c r="D323" s="3" t="str">
        <f>IF($E323="","",Меню!$D$18)</f>
        <v/>
      </c>
      <c r="E323" s="3" t="str">
        <f>IFERROR(IF(IFERROR(INDEX(Рецепты!$H$6:$H$85,MATCH(Меню!$D$18,Рецепты!$H$6:$H$85,0)+17)=Меню!$D$18,FALSE),INDEX(Рецепты!$J$6:$J$85,MATCH(Меню!$D$18,Рецепты!$H$6:$H$85,0)+17),""),"")</f>
        <v/>
      </c>
      <c r="F323" s="3" t="str">
        <f>IF($E323="","",INDEX(Рецепты!$K$6:$K$85,MATCH(Меню!$D$18,Рецепты!$H$6:$H$85,0)+17))</f>
        <v/>
      </c>
      <c r="G323" s="3" t="str">
        <f>IF($E323="","",INDEX(Рецепты!$M$6:$M$85,MATCH(Меню!$D$18,Рецепты!$H$6:$H$85,0)+17))</f>
        <v/>
      </c>
      <c r="H323" s="12">
        <f>IFERROR(IF(IFERROR(INDEX(Рецепты!$H$6:$H$85,MATCH(Меню!$D$18,Рецепты!$H$6:$H$85,0)+17)=Меню!$D$18,FALSE),INDEX(Рецепты!$L$6:$L$85,MATCH(Меню!$D$18,Рецепты!$H$6:$H$85,0)+17),0),0)</f>
        <v>0</v>
      </c>
      <c r="I323" s="12" t="str">
        <f>IF($F323="","",Меню!$E$18)</f>
        <v/>
      </c>
      <c r="J323" s="12">
        <f t="shared" si="4"/>
        <v>0</v>
      </c>
      <c r="K323" s="12">
        <f>IFERROR($J323/100*INDEX(Продукты!$G$6:$G$66,MATCH($E323,Продукты!$A$6:$A$66,0)),0)</f>
        <v>0</v>
      </c>
      <c r="L323" s="12">
        <f>IFERROR($J323/100*INDEX(Продукты!$H$6:$H$66,MATCH($E323,Продукты!$A$6:$A$66,0)),0)</f>
        <v>0</v>
      </c>
      <c r="M323" s="12">
        <f>IFERROR($J323/100*INDEX(Продукты!$I$6:$I$66,MATCH($E323,Продукты!$A$6:$A$66,0)),0)</f>
        <v>0</v>
      </c>
      <c r="N323" s="12">
        <f>IFERROR($J323/100*INDEX(Продукты!$J$6:$J$66,MATCH($E323,Продукты!$A$6:$A$66,0)),0)</f>
        <v>0</v>
      </c>
      <c r="O323" s="3" t="str">
        <f>IFERROR(IF(IFERROR(INDEX(Рецепты!$H$6:$H$85,MATCH(Меню!$D$18,Рецепты!$H$6:$H$85,0)+17)=Меню!$D$18,FALSE),INDEX(Рецепты!$N$6:$N$85,MATCH(Меню!$D$18,Рецепты!$H$6:$H$85,0)+17),""),"")</f>
        <v/>
      </c>
    </row>
    <row r="324" spans="1:15">
      <c r="A324" s="3" t="str">
        <f>IF($E324="","",Меню!$A$18)</f>
        <v/>
      </c>
      <c r="B324" s="3" t="str">
        <f>IF($E324="","",Меню!$B$18)</f>
        <v/>
      </c>
      <c r="C324" s="3" t="str">
        <f>IF($E324="","",Меню!$C$18)</f>
        <v/>
      </c>
      <c r="D324" s="3" t="str">
        <f>IF($E324="","",Меню!$D$18)</f>
        <v/>
      </c>
      <c r="E324" s="3" t="str">
        <f>IFERROR(IF(IFERROR(INDEX(Рецепты!$H$6:$H$85,MATCH(Меню!$D$18,Рецепты!$H$6:$H$85,0)+18)=Меню!$D$18,FALSE),INDEX(Рецепты!$J$6:$J$85,MATCH(Меню!$D$18,Рецепты!$H$6:$H$85,0)+18),""),"")</f>
        <v/>
      </c>
      <c r="F324" s="3" t="str">
        <f>IF($E324="","",INDEX(Рецепты!$K$6:$K$85,MATCH(Меню!$D$18,Рецепты!$H$6:$H$85,0)+18))</f>
        <v/>
      </c>
      <c r="G324" s="3" t="str">
        <f>IF($E324="","",INDEX(Рецепты!$M$6:$M$85,MATCH(Меню!$D$18,Рецепты!$H$6:$H$85,0)+18))</f>
        <v/>
      </c>
      <c r="H324" s="12">
        <f>IFERROR(IF(IFERROR(INDEX(Рецепты!$H$6:$H$85,MATCH(Меню!$D$18,Рецепты!$H$6:$H$85,0)+18)=Меню!$D$18,FALSE),INDEX(Рецепты!$L$6:$L$85,MATCH(Меню!$D$18,Рецепты!$H$6:$H$85,0)+18),0),0)</f>
        <v>0</v>
      </c>
      <c r="I324" s="12" t="str">
        <f>IF($F324="","",Меню!$E$18)</f>
        <v/>
      </c>
      <c r="J324" s="12">
        <f t="shared" si="4"/>
        <v>0</v>
      </c>
      <c r="K324" s="12">
        <f>IFERROR($J324/100*INDEX(Продукты!$G$6:$G$66,MATCH($E324,Продукты!$A$6:$A$66,0)),0)</f>
        <v>0</v>
      </c>
      <c r="L324" s="12">
        <f>IFERROR($J324/100*INDEX(Продукты!$H$6:$H$66,MATCH($E324,Продукты!$A$6:$A$66,0)),0)</f>
        <v>0</v>
      </c>
      <c r="M324" s="12">
        <f>IFERROR($J324/100*INDEX(Продукты!$I$6:$I$66,MATCH($E324,Продукты!$A$6:$A$66,0)),0)</f>
        <v>0</v>
      </c>
      <c r="N324" s="12">
        <f>IFERROR($J324/100*INDEX(Продукты!$J$6:$J$66,MATCH($E324,Продукты!$A$6:$A$66,0)),0)</f>
        <v>0</v>
      </c>
      <c r="O324" s="3" t="str">
        <f>IFERROR(IF(IFERROR(INDEX(Рецепты!$H$6:$H$85,MATCH(Меню!$D$18,Рецепты!$H$6:$H$85,0)+18)=Меню!$D$18,FALSE),INDEX(Рецепты!$N$6:$N$85,MATCH(Меню!$D$18,Рецепты!$H$6:$H$85,0)+18),""),"")</f>
        <v/>
      </c>
    </row>
    <row r="325" spans="1:15">
      <c r="A325" s="3" t="str">
        <f>IF($E325="","",Меню!$A$18)</f>
        <v/>
      </c>
      <c r="B325" s="3" t="str">
        <f>IF($E325="","",Меню!$B$18)</f>
        <v/>
      </c>
      <c r="C325" s="3" t="str">
        <f>IF($E325="","",Меню!$C$18)</f>
        <v/>
      </c>
      <c r="D325" s="3" t="str">
        <f>IF($E325="","",Меню!$D$18)</f>
        <v/>
      </c>
      <c r="E325" s="3" t="str">
        <f>IFERROR(IF(IFERROR(INDEX(Рецепты!$H$6:$H$85,MATCH(Меню!$D$18,Рецепты!$H$6:$H$85,0)+19)=Меню!$D$18,FALSE),INDEX(Рецепты!$J$6:$J$85,MATCH(Меню!$D$18,Рецепты!$H$6:$H$85,0)+19),""),"")</f>
        <v/>
      </c>
      <c r="F325" s="3" t="str">
        <f>IF($E325="","",INDEX(Рецепты!$K$6:$K$85,MATCH(Меню!$D$18,Рецепты!$H$6:$H$85,0)+19))</f>
        <v/>
      </c>
      <c r="G325" s="3" t="str">
        <f>IF($E325="","",INDEX(Рецепты!$M$6:$M$85,MATCH(Меню!$D$18,Рецепты!$H$6:$H$85,0)+19))</f>
        <v/>
      </c>
      <c r="H325" s="12">
        <f>IFERROR(IF(IFERROR(INDEX(Рецепты!$H$6:$H$85,MATCH(Меню!$D$18,Рецепты!$H$6:$H$85,0)+19)=Меню!$D$18,FALSE),INDEX(Рецепты!$L$6:$L$85,MATCH(Меню!$D$18,Рецепты!$H$6:$H$85,0)+19),0),0)</f>
        <v>0</v>
      </c>
      <c r="I325" s="12" t="str">
        <f>IF($F325="","",Меню!$E$18)</f>
        <v/>
      </c>
      <c r="J325" s="12">
        <f t="shared" si="4"/>
        <v>0</v>
      </c>
      <c r="K325" s="12">
        <f>IFERROR($J325/100*INDEX(Продукты!$G$6:$G$66,MATCH($E325,Продукты!$A$6:$A$66,0)),0)</f>
        <v>0</v>
      </c>
      <c r="L325" s="12">
        <f>IFERROR($J325/100*INDEX(Продукты!$H$6:$H$66,MATCH($E325,Продукты!$A$6:$A$66,0)),0)</f>
        <v>0</v>
      </c>
      <c r="M325" s="12">
        <f>IFERROR($J325/100*INDEX(Продукты!$I$6:$I$66,MATCH($E325,Продукты!$A$6:$A$66,0)),0)</f>
        <v>0</v>
      </c>
      <c r="N325" s="12">
        <f>IFERROR($J325/100*INDEX(Продукты!$J$6:$J$66,MATCH($E325,Продукты!$A$6:$A$66,0)),0)</f>
        <v>0</v>
      </c>
      <c r="O325" s="3" t="str">
        <f>IFERROR(IF(IFERROR(INDEX(Рецепты!$H$6:$H$85,MATCH(Меню!$D$18,Рецепты!$H$6:$H$85,0)+19)=Меню!$D$18,FALSE),INDEX(Рецепты!$N$6:$N$85,MATCH(Меню!$D$18,Рецепты!$H$6:$H$85,0)+19),""),"")</f>
        <v/>
      </c>
    </row>
    <row r="326" spans="1:15">
      <c r="A326" s="3" t="str">
        <f>IF($E326="","",Меню!$A$18)</f>
        <v/>
      </c>
      <c r="B326" s="3" t="str">
        <f>IF($E326="","",Меню!$B$18)</f>
        <v/>
      </c>
      <c r="C326" s="3" t="str">
        <f>IF($E326="","",Меню!$C$18)</f>
        <v/>
      </c>
      <c r="D326" s="3" t="str">
        <f>IF($E326="","",Меню!$D$18)</f>
        <v/>
      </c>
      <c r="E326" s="3" t="str">
        <f>IFERROR(IF(IFERROR(INDEX(Рецепты!$H$6:$H$85,MATCH(Меню!$D$18,Рецепты!$H$6:$H$85,0)+20)=Меню!$D$18,FALSE),INDEX(Рецепты!$J$6:$J$85,MATCH(Меню!$D$18,Рецепты!$H$6:$H$85,0)+20),""),"")</f>
        <v/>
      </c>
      <c r="F326" s="3" t="str">
        <f>IF($E326="","",INDEX(Рецепты!$K$6:$K$85,MATCH(Меню!$D$18,Рецепты!$H$6:$H$85,0)+20))</f>
        <v/>
      </c>
      <c r="G326" s="3" t="str">
        <f>IF($E326="","",INDEX(Рецепты!$M$6:$M$85,MATCH(Меню!$D$18,Рецепты!$H$6:$H$85,0)+20))</f>
        <v/>
      </c>
      <c r="H326" s="12">
        <f>IFERROR(IF(IFERROR(INDEX(Рецепты!$H$6:$H$85,MATCH(Меню!$D$18,Рецепты!$H$6:$H$85,0)+20)=Меню!$D$18,FALSE),INDEX(Рецепты!$L$6:$L$85,MATCH(Меню!$D$18,Рецепты!$H$6:$H$85,0)+20),0),0)</f>
        <v>0</v>
      </c>
      <c r="I326" s="12" t="str">
        <f>IF($F326="","",Меню!$E$18)</f>
        <v/>
      </c>
      <c r="J326" s="12">
        <f t="shared" ref="J326:J389" si="5">IFERROR($H326*$I326,0)</f>
        <v>0</v>
      </c>
      <c r="K326" s="12">
        <f>IFERROR($J326/100*INDEX(Продукты!$G$6:$G$66,MATCH($E326,Продукты!$A$6:$A$66,0)),0)</f>
        <v>0</v>
      </c>
      <c r="L326" s="12">
        <f>IFERROR($J326/100*INDEX(Продукты!$H$6:$H$66,MATCH($E326,Продукты!$A$6:$A$66,0)),0)</f>
        <v>0</v>
      </c>
      <c r="M326" s="12">
        <f>IFERROR($J326/100*INDEX(Продукты!$I$6:$I$66,MATCH($E326,Продукты!$A$6:$A$66,0)),0)</f>
        <v>0</v>
      </c>
      <c r="N326" s="12">
        <f>IFERROR($J326/100*INDEX(Продукты!$J$6:$J$66,MATCH($E326,Продукты!$A$6:$A$66,0)),0)</f>
        <v>0</v>
      </c>
      <c r="O326" s="3" t="str">
        <f>IFERROR(IF(IFERROR(INDEX(Рецепты!$H$6:$H$85,MATCH(Меню!$D$18,Рецепты!$H$6:$H$85,0)+20)=Меню!$D$18,FALSE),INDEX(Рецепты!$N$6:$N$85,MATCH(Меню!$D$18,Рецепты!$H$6:$H$85,0)+20),""),"")</f>
        <v/>
      </c>
    </row>
    <row r="327" spans="1:15">
      <c r="A327" s="3" t="str">
        <f>IF($E327="","",Меню!$A$18)</f>
        <v/>
      </c>
      <c r="B327" s="3" t="str">
        <f>IF($E327="","",Меню!$B$18)</f>
        <v/>
      </c>
      <c r="C327" s="3" t="str">
        <f>IF($E327="","",Меню!$C$18)</f>
        <v/>
      </c>
      <c r="D327" s="3" t="str">
        <f>IF($E327="","",Меню!$D$18)</f>
        <v/>
      </c>
      <c r="E327" s="3" t="str">
        <f>IFERROR(IF(IFERROR(INDEX(Рецепты!$H$6:$H$85,MATCH(Меню!$D$18,Рецепты!$H$6:$H$85,0)+21)=Меню!$D$18,FALSE),INDEX(Рецепты!$J$6:$J$85,MATCH(Меню!$D$18,Рецепты!$H$6:$H$85,0)+21),""),"")</f>
        <v/>
      </c>
      <c r="F327" s="3" t="str">
        <f>IF($E327="","",INDEX(Рецепты!$K$6:$K$85,MATCH(Меню!$D$18,Рецепты!$H$6:$H$85,0)+21))</f>
        <v/>
      </c>
      <c r="G327" s="3" t="str">
        <f>IF($E327="","",INDEX(Рецепты!$M$6:$M$85,MATCH(Меню!$D$18,Рецепты!$H$6:$H$85,0)+21))</f>
        <v/>
      </c>
      <c r="H327" s="12">
        <f>IFERROR(IF(IFERROR(INDEX(Рецепты!$H$6:$H$85,MATCH(Меню!$D$18,Рецепты!$H$6:$H$85,0)+21)=Меню!$D$18,FALSE),INDEX(Рецепты!$L$6:$L$85,MATCH(Меню!$D$18,Рецепты!$H$6:$H$85,0)+21),0),0)</f>
        <v>0</v>
      </c>
      <c r="I327" s="12" t="str">
        <f>IF($F327="","",Меню!$E$18)</f>
        <v/>
      </c>
      <c r="J327" s="12">
        <f t="shared" si="5"/>
        <v>0</v>
      </c>
      <c r="K327" s="12">
        <f>IFERROR($J327/100*INDEX(Продукты!$G$6:$G$66,MATCH($E327,Продукты!$A$6:$A$66,0)),0)</f>
        <v>0</v>
      </c>
      <c r="L327" s="12">
        <f>IFERROR($J327/100*INDEX(Продукты!$H$6:$H$66,MATCH($E327,Продукты!$A$6:$A$66,0)),0)</f>
        <v>0</v>
      </c>
      <c r="M327" s="12">
        <f>IFERROR($J327/100*INDEX(Продукты!$I$6:$I$66,MATCH($E327,Продукты!$A$6:$A$66,0)),0)</f>
        <v>0</v>
      </c>
      <c r="N327" s="12">
        <f>IFERROR($J327/100*INDEX(Продукты!$J$6:$J$66,MATCH($E327,Продукты!$A$6:$A$66,0)),0)</f>
        <v>0</v>
      </c>
      <c r="O327" s="3" t="str">
        <f>IFERROR(IF(IFERROR(INDEX(Рецепты!$H$6:$H$85,MATCH(Меню!$D$18,Рецепты!$H$6:$H$85,0)+21)=Меню!$D$18,FALSE),INDEX(Рецепты!$N$6:$N$85,MATCH(Меню!$D$18,Рецепты!$H$6:$H$85,0)+21),""),"")</f>
        <v/>
      </c>
    </row>
    <row r="328" spans="1:15">
      <c r="A328" s="3" t="str">
        <f>IF($E328="","",Меню!$A$18)</f>
        <v/>
      </c>
      <c r="B328" s="3" t="str">
        <f>IF($E328="","",Меню!$B$18)</f>
        <v/>
      </c>
      <c r="C328" s="3" t="str">
        <f>IF($E328="","",Меню!$C$18)</f>
        <v/>
      </c>
      <c r="D328" s="3" t="str">
        <f>IF($E328="","",Меню!$D$18)</f>
        <v/>
      </c>
      <c r="E328" s="3" t="str">
        <f>IFERROR(IF(IFERROR(INDEX(Рецепты!$H$6:$H$85,MATCH(Меню!$D$18,Рецепты!$H$6:$H$85,0)+22)=Меню!$D$18,FALSE),INDEX(Рецепты!$J$6:$J$85,MATCH(Меню!$D$18,Рецепты!$H$6:$H$85,0)+22),""),"")</f>
        <v/>
      </c>
      <c r="F328" s="3" t="str">
        <f>IF($E328="","",INDEX(Рецепты!$K$6:$K$85,MATCH(Меню!$D$18,Рецепты!$H$6:$H$85,0)+22))</f>
        <v/>
      </c>
      <c r="G328" s="3" t="str">
        <f>IF($E328="","",INDEX(Рецепты!$M$6:$M$85,MATCH(Меню!$D$18,Рецепты!$H$6:$H$85,0)+22))</f>
        <v/>
      </c>
      <c r="H328" s="12">
        <f>IFERROR(IF(IFERROR(INDEX(Рецепты!$H$6:$H$85,MATCH(Меню!$D$18,Рецепты!$H$6:$H$85,0)+22)=Меню!$D$18,FALSE),INDEX(Рецепты!$L$6:$L$85,MATCH(Меню!$D$18,Рецепты!$H$6:$H$85,0)+22),0),0)</f>
        <v>0</v>
      </c>
      <c r="I328" s="12" t="str">
        <f>IF($F328="","",Меню!$E$18)</f>
        <v/>
      </c>
      <c r="J328" s="12">
        <f t="shared" si="5"/>
        <v>0</v>
      </c>
      <c r="K328" s="12">
        <f>IFERROR($J328/100*INDEX(Продукты!$G$6:$G$66,MATCH($E328,Продукты!$A$6:$A$66,0)),0)</f>
        <v>0</v>
      </c>
      <c r="L328" s="12">
        <f>IFERROR($J328/100*INDEX(Продукты!$H$6:$H$66,MATCH($E328,Продукты!$A$6:$A$66,0)),0)</f>
        <v>0</v>
      </c>
      <c r="M328" s="12">
        <f>IFERROR($J328/100*INDEX(Продукты!$I$6:$I$66,MATCH($E328,Продукты!$A$6:$A$66,0)),0)</f>
        <v>0</v>
      </c>
      <c r="N328" s="12">
        <f>IFERROR($J328/100*INDEX(Продукты!$J$6:$J$66,MATCH($E328,Продукты!$A$6:$A$66,0)),0)</f>
        <v>0</v>
      </c>
      <c r="O328" s="3" t="str">
        <f>IFERROR(IF(IFERROR(INDEX(Рецепты!$H$6:$H$85,MATCH(Меню!$D$18,Рецепты!$H$6:$H$85,0)+22)=Меню!$D$18,FALSE),INDEX(Рецепты!$N$6:$N$85,MATCH(Меню!$D$18,Рецепты!$H$6:$H$85,0)+22),""),"")</f>
        <v/>
      </c>
    </row>
    <row r="329" spans="1:15">
      <c r="A329" s="3" t="str">
        <f>IF($E329="","",Меню!$A$18)</f>
        <v/>
      </c>
      <c r="B329" s="3" t="str">
        <f>IF($E329="","",Меню!$B$18)</f>
        <v/>
      </c>
      <c r="C329" s="3" t="str">
        <f>IF($E329="","",Меню!$C$18)</f>
        <v/>
      </c>
      <c r="D329" s="3" t="str">
        <f>IF($E329="","",Меню!$D$18)</f>
        <v/>
      </c>
      <c r="E329" s="3" t="str">
        <f>IFERROR(IF(IFERROR(INDEX(Рецепты!$H$6:$H$85,MATCH(Меню!$D$18,Рецепты!$H$6:$H$85,0)+23)=Меню!$D$18,FALSE),INDEX(Рецепты!$J$6:$J$85,MATCH(Меню!$D$18,Рецепты!$H$6:$H$85,0)+23),""),"")</f>
        <v/>
      </c>
      <c r="F329" s="3" t="str">
        <f>IF($E329="","",INDEX(Рецепты!$K$6:$K$85,MATCH(Меню!$D$18,Рецепты!$H$6:$H$85,0)+23))</f>
        <v/>
      </c>
      <c r="G329" s="3" t="str">
        <f>IF($E329="","",INDEX(Рецепты!$M$6:$M$85,MATCH(Меню!$D$18,Рецепты!$H$6:$H$85,0)+23))</f>
        <v/>
      </c>
      <c r="H329" s="12">
        <f>IFERROR(IF(IFERROR(INDEX(Рецепты!$H$6:$H$85,MATCH(Меню!$D$18,Рецепты!$H$6:$H$85,0)+23)=Меню!$D$18,FALSE),INDEX(Рецепты!$L$6:$L$85,MATCH(Меню!$D$18,Рецепты!$H$6:$H$85,0)+23),0),0)</f>
        <v>0</v>
      </c>
      <c r="I329" s="12" t="str">
        <f>IF($F329="","",Меню!$E$18)</f>
        <v/>
      </c>
      <c r="J329" s="12">
        <f t="shared" si="5"/>
        <v>0</v>
      </c>
      <c r="K329" s="12">
        <f>IFERROR($J329/100*INDEX(Продукты!$G$6:$G$66,MATCH($E329,Продукты!$A$6:$A$66,0)),0)</f>
        <v>0</v>
      </c>
      <c r="L329" s="12">
        <f>IFERROR($J329/100*INDEX(Продукты!$H$6:$H$66,MATCH($E329,Продукты!$A$6:$A$66,0)),0)</f>
        <v>0</v>
      </c>
      <c r="M329" s="12">
        <f>IFERROR($J329/100*INDEX(Продукты!$I$6:$I$66,MATCH($E329,Продукты!$A$6:$A$66,0)),0)</f>
        <v>0</v>
      </c>
      <c r="N329" s="12">
        <f>IFERROR($J329/100*INDEX(Продукты!$J$6:$J$66,MATCH($E329,Продукты!$A$6:$A$66,0)),0)</f>
        <v>0</v>
      </c>
      <c r="O329" s="3" t="str">
        <f>IFERROR(IF(IFERROR(INDEX(Рецепты!$H$6:$H$85,MATCH(Меню!$D$18,Рецепты!$H$6:$H$85,0)+23)=Меню!$D$18,FALSE),INDEX(Рецепты!$N$6:$N$85,MATCH(Меню!$D$18,Рецепты!$H$6:$H$85,0)+23),""),"")</f>
        <v/>
      </c>
    </row>
    <row r="330" spans="1:15">
      <c r="A330" s="3" t="str">
        <f>IF($E330="","",Меню!$A$18)</f>
        <v/>
      </c>
      <c r="B330" s="3" t="str">
        <f>IF($E330="","",Меню!$B$18)</f>
        <v/>
      </c>
      <c r="C330" s="3" t="str">
        <f>IF($E330="","",Меню!$C$18)</f>
        <v/>
      </c>
      <c r="D330" s="3" t="str">
        <f>IF($E330="","",Меню!$D$18)</f>
        <v/>
      </c>
      <c r="E330" s="3" t="str">
        <f>IFERROR(IF(IFERROR(INDEX(Рецепты!$H$6:$H$85,MATCH(Меню!$D$18,Рецепты!$H$6:$H$85,0)+24)=Меню!$D$18,FALSE),INDEX(Рецепты!$J$6:$J$85,MATCH(Меню!$D$18,Рецепты!$H$6:$H$85,0)+24),""),"")</f>
        <v/>
      </c>
      <c r="F330" s="3" t="str">
        <f>IF($E330="","",INDEX(Рецепты!$K$6:$K$85,MATCH(Меню!$D$18,Рецепты!$H$6:$H$85,0)+24))</f>
        <v/>
      </c>
      <c r="G330" s="3" t="str">
        <f>IF($E330="","",INDEX(Рецепты!$M$6:$M$85,MATCH(Меню!$D$18,Рецепты!$H$6:$H$85,0)+24))</f>
        <v/>
      </c>
      <c r="H330" s="12">
        <f>IFERROR(IF(IFERROR(INDEX(Рецепты!$H$6:$H$85,MATCH(Меню!$D$18,Рецепты!$H$6:$H$85,0)+24)=Меню!$D$18,FALSE),INDEX(Рецепты!$L$6:$L$85,MATCH(Меню!$D$18,Рецепты!$H$6:$H$85,0)+24),0),0)</f>
        <v>0</v>
      </c>
      <c r="I330" s="12" t="str">
        <f>IF($F330="","",Меню!$E$18)</f>
        <v/>
      </c>
      <c r="J330" s="12">
        <f t="shared" si="5"/>
        <v>0</v>
      </c>
      <c r="K330" s="12">
        <f>IFERROR($J330/100*INDEX(Продукты!$G$6:$G$66,MATCH($E330,Продукты!$A$6:$A$66,0)),0)</f>
        <v>0</v>
      </c>
      <c r="L330" s="12">
        <f>IFERROR($J330/100*INDEX(Продукты!$H$6:$H$66,MATCH($E330,Продукты!$A$6:$A$66,0)),0)</f>
        <v>0</v>
      </c>
      <c r="M330" s="12">
        <f>IFERROR($J330/100*INDEX(Продукты!$I$6:$I$66,MATCH($E330,Продукты!$A$6:$A$66,0)),0)</f>
        <v>0</v>
      </c>
      <c r="N330" s="12">
        <f>IFERROR($J330/100*INDEX(Продукты!$J$6:$J$66,MATCH($E330,Продукты!$A$6:$A$66,0)),0)</f>
        <v>0</v>
      </c>
      <c r="O330" s="3" t="str">
        <f>IFERROR(IF(IFERROR(INDEX(Рецепты!$H$6:$H$85,MATCH(Меню!$D$18,Рецепты!$H$6:$H$85,0)+24)=Меню!$D$18,FALSE),INDEX(Рецепты!$N$6:$N$85,MATCH(Меню!$D$18,Рецепты!$H$6:$H$85,0)+24),""),"")</f>
        <v/>
      </c>
    </row>
    <row r="331" spans="1:15">
      <c r="A331" s="3" t="str">
        <f>IF($E331="","",Меню!$A$19)</f>
        <v/>
      </c>
      <c r="B331" s="3" t="str">
        <f>IF($E331="","",Меню!$B$19)</f>
        <v/>
      </c>
      <c r="C331" s="3" t="str">
        <f>IF($E331="","",Меню!$C$19)</f>
        <v/>
      </c>
      <c r="D331" s="3" t="str">
        <f>IF($E331="","",Меню!$D$19)</f>
        <v/>
      </c>
      <c r="E331" s="3" t="str">
        <f>IFERROR(IF(IFERROR(INDEX(Рецепты!$H$6:$H$85,MATCH(Меню!$D$19,Рецепты!$H$6:$H$85,0)+0)=Меню!$D$19,FALSE),INDEX(Рецепты!$J$6:$J$85,MATCH(Меню!$D$19,Рецепты!$H$6:$H$85,0)+0),""),"")</f>
        <v/>
      </c>
      <c r="F331" s="3" t="str">
        <f>IF($E331="","",INDEX(Рецепты!$K$6:$K$85,MATCH(Меню!$D$19,Рецепты!$H$6:$H$85,0)+0))</f>
        <v/>
      </c>
      <c r="G331" s="3" t="str">
        <f>IF($E331="","",INDEX(Рецепты!$M$6:$M$85,MATCH(Меню!$D$19,Рецепты!$H$6:$H$85,0)+0))</f>
        <v/>
      </c>
      <c r="H331" s="12">
        <f>IFERROR(IF(IFERROR(INDEX(Рецепты!$H$6:$H$85,MATCH(Меню!$D$19,Рецепты!$H$6:$H$85,0)+0)=Меню!$D$19,FALSE),INDEX(Рецепты!$L$6:$L$85,MATCH(Меню!$D$19,Рецепты!$H$6:$H$85,0)+0),0),0)</f>
        <v>0</v>
      </c>
      <c r="I331" s="12" t="str">
        <f>IF($F331="","",Меню!$E$19)</f>
        <v/>
      </c>
      <c r="J331" s="12">
        <f t="shared" si="5"/>
        <v>0</v>
      </c>
      <c r="K331" s="12">
        <f>IFERROR($J331/100*INDEX(Продукты!$G$6:$G$66,MATCH($E331,Продукты!$A$6:$A$66,0)),0)</f>
        <v>0</v>
      </c>
      <c r="L331" s="12">
        <f>IFERROR($J331/100*INDEX(Продукты!$H$6:$H$66,MATCH($E331,Продукты!$A$6:$A$66,0)),0)</f>
        <v>0</v>
      </c>
      <c r="M331" s="12">
        <f>IFERROR($J331/100*INDEX(Продукты!$I$6:$I$66,MATCH($E331,Продукты!$A$6:$A$66,0)),0)</f>
        <v>0</v>
      </c>
      <c r="N331" s="12">
        <f>IFERROR($J331/100*INDEX(Продукты!$J$6:$J$66,MATCH($E331,Продукты!$A$6:$A$66,0)),0)</f>
        <v>0</v>
      </c>
      <c r="O331" s="3" t="str">
        <f>IFERROR(IF(IFERROR(INDEX(Рецепты!$H$6:$H$85,MATCH(Меню!$D$19,Рецепты!$H$6:$H$85,0)+0)=Меню!$D$19,FALSE),INDEX(Рецепты!$N$6:$N$85,MATCH(Меню!$D$19,Рецепты!$H$6:$H$85,0)+0),""),"")</f>
        <v/>
      </c>
    </row>
    <row r="332" spans="1:15">
      <c r="A332" s="3" t="str">
        <f>IF($E332="","",Меню!$A$19)</f>
        <v/>
      </c>
      <c r="B332" s="3" t="str">
        <f>IF($E332="","",Меню!$B$19)</f>
        <v/>
      </c>
      <c r="C332" s="3" t="str">
        <f>IF($E332="","",Меню!$C$19)</f>
        <v/>
      </c>
      <c r="D332" s="3" t="str">
        <f>IF($E332="","",Меню!$D$19)</f>
        <v/>
      </c>
      <c r="E332" s="3" t="str">
        <f>IFERROR(IF(IFERROR(INDEX(Рецепты!$H$6:$H$85,MATCH(Меню!$D$19,Рецепты!$H$6:$H$85,0)+1)=Меню!$D$19,FALSE),INDEX(Рецепты!$J$6:$J$85,MATCH(Меню!$D$19,Рецепты!$H$6:$H$85,0)+1),""),"")</f>
        <v/>
      </c>
      <c r="F332" s="3" t="str">
        <f>IF($E332="","",INDEX(Рецепты!$K$6:$K$85,MATCH(Меню!$D$19,Рецепты!$H$6:$H$85,0)+1))</f>
        <v/>
      </c>
      <c r="G332" s="3" t="str">
        <f>IF($E332="","",INDEX(Рецепты!$M$6:$M$85,MATCH(Меню!$D$19,Рецепты!$H$6:$H$85,0)+1))</f>
        <v/>
      </c>
      <c r="H332" s="12">
        <f>IFERROR(IF(IFERROR(INDEX(Рецепты!$H$6:$H$85,MATCH(Меню!$D$19,Рецепты!$H$6:$H$85,0)+1)=Меню!$D$19,FALSE),INDEX(Рецепты!$L$6:$L$85,MATCH(Меню!$D$19,Рецепты!$H$6:$H$85,0)+1),0),0)</f>
        <v>0</v>
      </c>
      <c r="I332" s="12" t="str">
        <f>IF($F332="","",Меню!$E$19)</f>
        <v/>
      </c>
      <c r="J332" s="12">
        <f t="shared" si="5"/>
        <v>0</v>
      </c>
      <c r="K332" s="12">
        <f>IFERROR($J332/100*INDEX(Продукты!$G$6:$G$66,MATCH($E332,Продукты!$A$6:$A$66,0)),0)</f>
        <v>0</v>
      </c>
      <c r="L332" s="12">
        <f>IFERROR($J332/100*INDEX(Продукты!$H$6:$H$66,MATCH($E332,Продукты!$A$6:$A$66,0)),0)</f>
        <v>0</v>
      </c>
      <c r="M332" s="12">
        <f>IFERROR($J332/100*INDEX(Продукты!$I$6:$I$66,MATCH($E332,Продукты!$A$6:$A$66,0)),0)</f>
        <v>0</v>
      </c>
      <c r="N332" s="12">
        <f>IFERROR($J332/100*INDEX(Продукты!$J$6:$J$66,MATCH($E332,Продукты!$A$6:$A$66,0)),0)</f>
        <v>0</v>
      </c>
      <c r="O332" s="3" t="str">
        <f>IFERROR(IF(IFERROR(INDEX(Рецепты!$H$6:$H$85,MATCH(Меню!$D$19,Рецепты!$H$6:$H$85,0)+1)=Меню!$D$19,FALSE),INDEX(Рецепты!$N$6:$N$85,MATCH(Меню!$D$19,Рецепты!$H$6:$H$85,0)+1),""),"")</f>
        <v/>
      </c>
    </row>
    <row r="333" spans="1:15">
      <c r="A333" s="3" t="str">
        <f>IF($E333="","",Меню!$A$19)</f>
        <v/>
      </c>
      <c r="B333" s="3" t="str">
        <f>IF($E333="","",Меню!$B$19)</f>
        <v/>
      </c>
      <c r="C333" s="3" t="str">
        <f>IF($E333="","",Меню!$C$19)</f>
        <v/>
      </c>
      <c r="D333" s="3" t="str">
        <f>IF($E333="","",Меню!$D$19)</f>
        <v/>
      </c>
      <c r="E333" s="3" t="str">
        <f>IFERROR(IF(IFERROR(INDEX(Рецепты!$H$6:$H$85,MATCH(Меню!$D$19,Рецепты!$H$6:$H$85,0)+2)=Меню!$D$19,FALSE),INDEX(Рецепты!$J$6:$J$85,MATCH(Меню!$D$19,Рецепты!$H$6:$H$85,0)+2),""),"")</f>
        <v/>
      </c>
      <c r="F333" s="3" t="str">
        <f>IF($E333="","",INDEX(Рецепты!$K$6:$K$85,MATCH(Меню!$D$19,Рецепты!$H$6:$H$85,0)+2))</f>
        <v/>
      </c>
      <c r="G333" s="3" t="str">
        <f>IF($E333="","",INDEX(Рецепты!$M$6:$M$85,MATCH(Меню!$D$19,Рецепты!$H$6:$H$85,0)+2))</f>
        <v/>
      </c>
      <c r="H333" s="12">
        <f>IFERROR(IF(IFERROR(INDEX(Рецепты!$H$6:$H$85,MATCH(Меню!$D$19,Рецепты!$H$6:$H$85,0)+2)=Меню!$D$19,FALSE),INDEX(Рецепты!$L$6:$L$85,MATCH(Меню!$D$19,Рецепты!$H$6:$H$85,0)+2),0),0)</f>
        <v>0</v>
      </c>
      <c r="I333" s="12" t="str">
        <f>IF($F333="","",Меню!$E$19)</f>
        <v/>
      </c>
      <c r="J333" s="12">
        <f t="shared" si="5"/>
        <v>0</v>
      </c>
      <c r="K333" s="12">
        <f>IFERROR($J333/100*INDEX(Продукты!$G$6:$G$66,MATCH($E333,Продукты!$A$6:$A$66,0)),0)</f>
        <v>0</v>
      </c>
      <c r="L333" s="12">
        <f>IFERROR($J333/100*INDEX(Продукты!$H$6:$H$66,MATCH($E333,Продукты!$A$6:$A$66,0)),0)</f>
        <v>0</v>
      </c>
      <c r="M333" s="12">
        <f>IFERROR($J333/100*INDEX(Продукты!$I$6:$I$66,MATCH($E333,Продукты!$A$6:$A$66,0)),0)</f>
        <v>0</v>
      </c>
      <c r="N333" s="12">
        <f>IFERROR($J333/100*INDEX(Продукты!$J$6:$J$66,MATCH($E333,Продукты!$A$6:$A$66,0)),0)</f>
        <v>0</v>
      </c>
      <c r="O333" s="3" t="str">
        <f>IFERROR(IF(IFERROR(INDEX(Рецепты!$H$6:$H$85,MATCH(Меню!$D$19,Рецепты!$H$6:$H$85,0)+2)=Меню!$D$19,FALSE),INDEX(Рецепты!$N$6:$N$85,MATCH(Меню!$D$19,Рецепты!$H$6:$H$85,0)+2),""),"")</f>
        <v/>
      </c>
    </row>
    <row r="334" spans="1:15">
      <c r="A334" s="3" t="str">
        <f>IF($E334="","",Меню!$A$19)</f>
        <v/>
      </c>
      <c r="B334" s="3" t="str">
        <f>IF($E334="","",Меню!$B$19)</f>
        <v/>
      </c>
      <c r="C334" s="3" t="str">
        <f>IF($E334="","",Меню!$C$19)</f>
        <v/>
      </c>
      <c r="D334" s="3" t="str">
        <f>IF($E334="","",Меню!$D$19)</f>
        <v/>
      </c>
      <c r="E334" s="3" t="str">
        <f>IFERROR(IF(IFERROR(INDEX(Рецепты!$H$6:$H$85,MATCH(Меню!$D$19,Рецепты!$H$6:$H$85,0)+3)=Меню!$D$19,FALSE),INDEX(Рецепты!$J$6:$J$85,MATCH(Меню!$D$19,Рецепты!$H$6:$H$85,0)+3),""),"")</f>
        <v/>
      </c>
      <c r="F334" s="3" t="str">
        <f>IF($E334="","",INDEX(Рецепты!$K$6:$K$85,MATCH(Меню!$D$19,Рецепты!$H$6:$H$85,0)+3))</f>
        <v/>
      </c>
      <c r="G334" s="3" t="str">
        <f>IF($E334="","",INDEX(Рецепты!$M$6:$M$85,MATCH(Меню!$D$19,Рецепты!$H$6:$H$85,0)+3))</f>
        <v/>
      </c>
      <c r="H334" s="12">
        <f>IFERROR(IF(IFERROR(INDEX(Рецепты!$H$6:$H$85,MATCH(Меню!$D$19,Рецепты!$H$6:$H$85,0)+3)=Меню!$D$19,FALSE),INDEX(Рецепты!$L$6:$L$85,MATCH(Меню!$D$19,Рецепты!$H$6:$H$85,0)+3),0),0)</f>
        <v>0</v>
      </c>
      <c r="I334" s="12" t="str">
        <f>IF($F334="","",Меню!$E$19)</f>
        <v/>
      </c>
      <c r="J334" s="12">
        <f t="shared" si="5"/>
        <v>0</v>
      </c>
      <c r="K334" s="12">
        <f>IFERROR($J334/100*INDEX(Продукты!$G$6:$G$66,MATCH($E334,Продукты!$A$6:$A$66,0)),0)</f>
        <v>0</v>
      </c>
      <c r="L334" s="12">
        <f>IFERROR($J334/100*INDEX(Продукты!$H$6:$H$66,MATCH($E334,Продукты!$A$6:$A$66,0)),0)</f>
        <v>0</v>
      </c>
      <c r="M334" s="12">
        <f>IFERROR($J334/100*INDEX(Продукты!$I$6:$I$66,MATCH($E334,Продукты!$A$6:$A$66,0)),0)</f>
        <v>0</v>
      </c>
      <c r="N334" s="12">
        <f>IFERROR($J334/100*INDEX(Продукты!$J$6:$J$66,MATCH($E334,Продукты!$A$6:$A$66,0)),0)</f>
        <v>0</v>
      </c>
      <c r="O334" s="3" t="str">
        <f>IFERROR(IF(IFERROR(INDEX(Рецепты!$H$6:$H$85,MATCH(Меню!$D$19,Рецепты!$H$6:$H$85,0)+3)=Меню!$D$19,FALSE),INDEX(Рецепты!$N$6:$N$85,MATCH(Меню!$D$19,Рецепты!$H$6:$H$85,0)+3),""),"")</f>
        <v/>
      </c>
    </row>
    <row r="335" spans="1:15">
      <c r="A335" s="3" t="str">
        <f>IF($E335="","",Меню!$A$19)</f>
        <v/>
      </c>
      <c r="B335" s="3" t="str">
        <f>IF($E335="","",Меню!$B$19)</f>
        <v/>
      </c>
      <c r="C335" s="3" t="str">
        <f>IF($E335="","",Меню!$C$19)</f>
        <v/>
      </c>
      <c r="D335" s="3" t="str">
        <f>IF($E335="","",Меню!$D$19)</f>
        <v/>
      </c>
      <c r="E335" s="3" t="str">
        <f>IFERROR(IF(IFERROR(INDEX(Рецепты!$H$6:$H$85,MATCH(Меню!$D$19,Рецепты!$H$6:$H$85,0)+4)=Меню!$D$19,FALSE),INDEX(Рецепты!$J$6:$J$85,MATCH(Меню!$D$19,Рецепты!$H$6:$H$85,0)+4),""),"")</f>
        <v/>
      </c>
      <c r="F335" s="3" t="str">
        <f>IF($E335="","",INDEX(Рецепты!$K$6:$K$85,MATCH(Меню!$D$19,Рецепты!$H$6:$H$85,0)+4))</f>
        <v/>
      </c>
      <c r="G335" s="3" t="str">
        <f>IF($E335="","",INDEX(Рецепты!$M$6:$M$85,MATCH(Меню!$D$19,Рецепты!$H$6:$H$85,0)+4))</f>
        <v/>
      </c>
      <c r="H335" s="12">
        <f>IFERROR(IF(IFERROR(INDEX(Рецепты!$H$6:$H$85,MATCH(Меню!$D$19,Рецепты!$H$6:$H$85,0)+4)=Меню!$D$19,FALSE),INDEX(Рецепты!$L$6:$L$85,MATCH(Меню!$D$19,Рецепты!$H$6:$H$85,0)+4),0),0)</f>
        <v>0</v>
      </c>
      <c r="I335" s="12" t="str">
        <f>IF($F335="","",Меню!$E$19)</f>
        <v/>
      </c>
      <c r="J335" s="12">
        <f t="shared" si="5"/>
        <v>0</v>
      </c>
      <c r="K335" s="12">
        <f>IFERROR($J335/100*INDEX(Продукты!$G$6:$G$66,MATCH($E335,Продукты!$A$6:$A$66,0)),0)</f>
        <v>0</v>
      </c>
      <c r="L335" s="12">
        <f>IFERROR($J335/100*INDEX(Продукты!$H$6:$H$66,MATCH($E335,Продукты!$A$6:$A$66,0)),0)</f>
        <v>0</v>
      </c>
      <c r="M335" s="12">
        <f>IFERROR($J335/100*INDEX(Продукты!$I$6:$I$66,MATCH($E335,Продукты!$A$6:$A$66,0)),0)</f>
        <v>0</v>
      </c>
      <c r="N335" s="12">
        <f>IFERROR($J335/100*INDEX(Продукты!$J$6:$J$66,MATCH($E335,Продукты!$A$6:$A$66,0)),0)</f>
        <v>0</v>
      </c>
      <c r="O335" s="3" t="str">
        <f>IFERROR(IF(IFERROR(INDEX(Рецепты!$H$6:$H$85,MATCH(Меню!$D$19,Рецепты!$H$6:$H$85,0)+4)=Меню!$D$19,FALSE),INDEX(Рецепты!$N$6:$N$85,MATCH(Меню!$D$19,Рецепты!$H$6:$H$85,0)+4),""),"")</f>
        <v/>
      </c>
    </row>
    <row r="336" spans="1:15">
      <c r="A336" s="3" t="str">
        <f>IF($E336="","",Меню!$A$19)</f>
        <v/>
      </c>
      <c r="B336" s="3" t="str">
        <f>IF($E336="","",Меню!$B$19)</f>
        <v/>
      </c>
      <c r="C336" s="3" t="str">
        <f>IF($E336="","",Меню!$C$19)</f>
        <v/>
      </c>
      <c r="D336" s="3" t="str">
        <f>IF($E336="","",Меню!$D$19)</f>
        <v/>
      </c>
      <c r="E336" s="3" t="str">
        <f>IFERROR(IF(IFERROR(INDEX(Рецепты!$H$6:$H$85,MATCH(Меню!$D$19,Рецепты!$H$6:$H$85,0)+5)=Меню!$D$19,FALSE),INDEX(Рецепты!$J$6:$J$85,MATCH(Меню!$D$19,Рецепты!$H$6:$H$85,0)+5),""),"")</f>
        <v/>
      </c>
      <c r="F336" s="3" t="str">
        <f>IF($E336="","",INDEX(Рецепты!$K$6:$K$85,MATCH(Меню!$D$19,Рецепты!$H$6:$H$85,0)+5))</f>
        <v/>
      </c>
      <c r="G336" s="3" t="str">
        <f>IF($E336="","",INDEX(Рецепты!$M$6:$M$85,MATCH(Меню!$D$19,Рецепты!$H$6:$H$85,0)+5))</f>
        <v/>
      </c>
      <c r="H336" s="12">
        <f>IFERROR(IF(IFERROR(INDEX(Рецепты!$H$6:$H$85,MATCH(Меню!$D$19,Рецепты!$H$6:$H$85,0)+5)=Меню!$D$19,FALSE),INDEX(Рецепты!$L$6:$L$85,MATCH(Меню!$D$19,Рецепты!$H$6:$H$85,0)+5),0),0)</f>
        <v>0</v>
      </c>
      <c r="I336" s="12" t="str">
        <f>IF($F336="","",Меню!$E$19)</f>
        <v/>
      </c>
      <c r="J336" s="12">
        <f t="shared" si="5"/>
        <v>0</v>
      </c>
      <c r="K336" s="12">
        <f>IFERROR($J336/100*INDEX(Продукты!$G$6:$G$66,MATCH($E336,Продукты!$A$6:$A$66,0)),0)</f>
        <v>0</v>
      </c>
      <c r="L336" s="12">
        <f>IFERROR($J336/100*INDEX(Продукты!$H$6:$H$66,MATCH($E336,Продукты!$A$6:$A$66,0)),0)</f>
        <v>0</v>
      </c>
      <c r="M336" s="12">
        <f>IFERROR($J336/100*INDEX(Продукты!$I$6:$I$66,MATCH($E336,Продукты!$A$6:$A$66,0)),0)</f>
        <v>0</v>
      </c>
      <c r="N336" s="12">
        <f>IFERROR($J336/100*INDEX(Продукты!$J$6:$J$66,MATCH($E336,Продукты!$A$6:$A$66,0)),0)</f>
        <v>0</v>
      </c>
      <c r="O336" s="3" t="str">
        <f>IFERROR(IF(IFERROR(INDEX(Рецепты!$H$6:$H$85,MATCH(Меню!$D$19,Рецепты!$H$6:$H$85,0)+5)=Меню!$D$19,FALSE),INDEX(Рецепты!$N$6:$N$85,MATCH(Меню!$D$19,Рецепты!$H$6:$H$85,0)+5),""),"")</f>
        <v/>
      </c>
    </row>
    <row r="337" spans="1:15">
      <c r="A337" s="3" t="str">
        <f>IF($E337="","",Меню!$A$19)</f>
        <v/>
      </c>
      <c r="B337" s="3" t="str">
        <f>IF($E337="","",Меню!$B$19)</f>
        <v/>
      </c>
      <c r="C337" s="3" t="str">
        <f>IF($E337="","",Меню!$C$19)</f>
        <v/>
      </c>
      <c r="D337" s="3" t="str">
        <f>IF($E337="","",Меню!$D$19)</f>
        <v/>
      </c>
      <c r="E337" s="3" t="str">
        <f>IFERROR(IF(IFERROR(INDEX(Рецепты!$H$6:$H$85,MATCH(Меню!$D$19,Рецепты!$H$6:$H$85,0)+6)=Меню!$D$19,FALSE),INDEX(Рецепты!$J$6:$J$85,MATCH(Меню!$D$19,Рецепты!$H$6:$H$85,0)+6),""),"")</f>
        <v/>
      </c>
      <c r="F337" s="3" t="str">
        <f>IF($E337="","",INDEX(Рецепты!$K$6:$K$85,MATCH(Меню!$D$19,Рецепты!$H$6:$H$85,0)+6))</f>
        <v/>
      </c>
      <c r="G337" s="3" t="str">
        <f>IF($E337="","",INDEX(Рецепты!$M$6:$M$85,MATCH(Меню!$D$19,Рецепты!$H$6:$H$85,0)+6))</f>
        <v/>
      </c>
      <c r="H337" s="12">
        <f>IFERROR(IF(IFERROR(INDEX(Рецепты!$H$6:$H$85,MATCH(Меню!$D$19,Рецепты!$H$6:$H$85,0)+6)=Меню!$D$19,FALSE),INDEX(Рецепты!$L$6:$L$85,MATCH(Меню!$D$19,Рецепты!$H$6:$H$85,0)+6),0),0)</f>
        <v>0</v>
      </c>
      <c r="I337" s="12" t="str">
        <f>IF($F337="","",Меню!$E$19)</f>
        <v/>
      </c>
      <c r="J337" s="12">
        <f t="shared" si="5"/>
        <v>0</v>
      </c>
      <c r="K337" s="12">
        <f>IFERROR($J337/100*INDEX(Продукты!$G$6:$G$66,MATCH($E337,Продукты!$A$6:$A$66,0)),0)</f>
        <v>0</v>
      </c>
      <c r="L337" s="12">
        <f>IFERROR($J337/100*INDEX(Продукты!$H$6:$H$66,MATCH($E337,Продукты!$A$6:$A$66,0)),0)</f>
        <v>0</v>
      </c>
      <c r="M337" s="12">
        <f>IFERROR($J337/100*INDEX(Продукты!$I$6:$I$66,MATCH($E337,Продукты!$A$6:$A$66,0)),0)</f>
        <v>0</v>
      </c>
      <c r="N337" s="12">
        <f>IFERROR($J337/100*INDEX(Продукты!$J$6:$J$66,MATCH($E337,Продукты!$A$6:$A$66,0)),0)</f>
        <v>0</v>
      </c>
      <c r="O337" s="3" t="str">
        <f>IFERROR(IF(IFERROR(INDEX(Рецепты!$H$6:$H$85,MATCH(Меню!$D$19,Рецепты!$H$6:$H$85,0)+6)=Меню!$D$19,FALSE),INDEX(Рецепты!$N$6:$N$85,MATCH(Меню!$D$19,Рецепты!$H$6:$H$85,0)+6),""),"")</f>
        <v/>
      </c>
    </row>
    <row r="338" spans="1:15">
      <c r="A338" s="3" t="str">
        <f>IF($E338="","",Меню!$A$19)</f>
        <v/>
      </c>
      <c r="B338" s="3" t="str">
        <f>IF($E338="","",Меню!$B$19)</f>
        <v/>
      </c>
      <c r="C338" s="3" t="str">
        <f>IF($E338="","",Меню!$C$19)</f>
        <v/>
      </c>
      <c r="D338" s="3" t="str">
        <f>IF($E338="","",Меню!$D$19)</f>
        <v/>
      </c>
      <c r="E338" s="3" t="str">
        <f>IFERROR(IF(IFERROR(INDEX(Рецепты!$H$6:$H$85,MATCH(Меню!$D$19,Рецепты!$H$6:$H$85,0)+7)=Меню!$D$19,FALSE),INDEX(Рецепты!$J$6:$J$85,MATCH(Меню!$D$19,Рецепты!$H$6:$H$85,0)+7),""),"")</f>
        <v/>
      </c>
      <c r="F338" s="3" t="str">
        <f>IF($E338="","",INDEX(Рецепты!$K$6:$K$85,MATCH(Меню!$D$19,Рецепты!$H$6:$H$85,0)+7))</f>
        <v/>
      </c>
      <c r="G338" s="3" t="str">
        <f>IF($E338="","",INDEX(Рецепты!$M$6:$M$85,MATCH(Меню!$D$19,Рецепты!$H$6:$H$85,0)+7))</f>
        <v/>
      </c>
      <c r="H338" s="12">
        <f>IFERROR(IF(IFERROR(INDEX(Рецепты!$H$6:$H$85,MATCH(Меню!$D$19,Рецепты!$H$6:$H$85,0)+7)=Меню!$D$19,FALSE),INDEX(Рецепты!$L$6:$L$85,MATCH(Меню!$D$19,Рецепты!$H$6:$H$85,0)+7),0),0)</f>
        <v>0</v>
      </c>
      <c r="I338" s="12" t="str">
        <f>IF($F338="","",Меню!$E$19)</f>
        <v/>
      </c>
      <c r="J338" s="12">
        <f t="shared" si="5"/>
        <v>0</v>
      </c>
      <c r="K338" s="12">
        <f>IFERROR($J338/100*INDEX(Продукты!$G$6:$G$66,MATCH($E338,Продукты!$A$6:$A$66,0)),0)</f>
        <v>0</v>
      </c>
      <c r="L338" s="12">
        <f>IFERROR($J338/100*INDEX(Продукты!$H$6:$H$66,MATCH($E338,Продукты!$A$6:$A$66,0)),0)</f>
        <v>0</v>
      </c>
      <c r="M338" s="12">
        <f>IFERROR($J338/100*INDEX(Продукты!$I$6:$I$66,MATCH($E338,Продукты!$A$6:$A$66,0)),0)</f>
        <v>0</v>
      </c>
      <c r="N338" s="12">
        <f>IFERROR($J338/100*INDEX(Продукты!$J$6:$J$66,MATCH($E338,Продукты!$A$6:$A$66,0)),0)</f>
        <v>0</v>
      </c>
      <c r="O338" s="3" t="str">
        <f>IFERROR(IF(IFERROR(INDEX(Рецепты!$H$6:$H$85,MATCH(Меню!$D$19,Рецепты!$H$6:$H$85,0)+7)=Меню!$D$19,FALSE),INDEX(Рецепты!$N$6:$N$85,MATCH(Меню!$D$19,Рецепты!$H$6:$H$85,0)+7),""),"")</f>
        <v/>
      </c>
    </row>
    <row r="339" spans="1:15">
      <c r="A339" s="3" t="str">
        <f>IF($E339="","",Меню!$A$19)</f>
        <v/>
      </c>
      <c r="B339" s="3" t="str">
        <f>IF($E339="","",Меню!$B$19)</f>
        <v/>
      </c>
      <c r="C339" s="3" t="str">
        <f>IF($E339="","",Меню!$C$19)</f>
        <v/>
      </c>
      <c r="D339" s="3" t="str">
        <f>IF($E339="","",Меню!$D$19)</f>
        <v/>
      </c>
      <c r="E339" s="3" t="str">
        <f>IFERROR(IF(IFERROR(INDEX(Рецепты!$H$6:$H$85,MATCH(Меню!$D$19,Рецепты!$H$6:$H$85,0)+8)=Меню!$D$19,FALSE),INDEX(Рецепты!$J$6:$J$85,MATCH(Меню!$D$19,Рецепты!$H$6:$H$85,0)+8),""),"")</f>
        <v/>
      </c>
      <c r="F339" s="3" t="str">
        <f>IF($E339="","",INDEX(Рецепты!$K$6:$K$85,MATCH(Меню!$D$19,Рецепты!$H$6:$H$85,0)+8))</f>
        <v/>
      </c>
      <c r="G339" s="3" t="str">
        <f>IF($E339="","",INDEX(Рецепты!$M$6:$M$85,MATCH(Меню!$D$19,Рецепты!$H$6:$H$85,0)+8))</f>
        <v/>
      </c>
      <c r="H339" s="12">
        <f>IFERROR(IF(IFERROR(INDEX(Рецепты!$H$6:$H$85,MATCH(Меню!$D$19,Рецепты!$H$6:$H$85,0)+8)=Меню!$D$19,FALSE),INDEX(Рецепты!$L$6:$L$85,MATCH(Меню!$D$19,Рецепты!$H$6:$H$85,0)+8),0),0)</f>
        <v>0</v>
      </c>
      <c r="I339" s="12" t="str">
        <f>IF($F339="","",Меню!$E$19)</f>
        <v/>
      </c>
      <c r="J339" s="12">
        <f t="shared" si="5"/>
        <v>0</v>
      </c>
      <c r="K339" s="12">
        <f>IFERROR($J339/100*INDEX(Продукты!$G$6:$G$66,MATCH($E339,Продукты!$A$6:$A$66,0)),0)</f>
        <v>0</v>
      </c>
      <c r="L339" s="12">
        <f>IFERROR($J339/100*INDEX(Продукты!$H$6:$H$66,MATCH($E339,Продукты!$A$6:$A$66,0)),0)</f>
        <v>0</v>
      </c>
      <c r="M339" s="12">
        <f>IFERROR($J339/100*INDEX(Продукты!$I$6:$I$66,MATCH($E339,Продукты!$A$6:$A$66,0)),0)</f>
        <v>0</v>
      </c>
      <c r="N339" s="12">
        <f>IFERROR($J339/100*INDEX(Продукты!$J$6:$J$66,MATCH($E339,Продукты!$A$6:$A$66,0)),0)</f>
        <v>0</v>
      </c>
      <c r="O339" s="3" t="str">
        <f>IFERROR(IF(IFERROR(INDEX(Рецепты!$H$6:$H$85,MATCH(Меню!$D$19,Рецепты!$H$6:$H$85,0)+8)=Меню!$D$19,FALSE),INDEX(Рецепты!$N$6:$N$85,MATCH(Меню!$D$19,Рецепты!$H$6:$H$85,0)+8),""),"")</f>
        <v/>
      </c>
    </row>
    <row r="340" spans="1:15">
      <c r="A340" s="3" t="str">
        <f>IF($E340="","",Меню!$A$19)</f>
        <v/>
      </c>
      <c r="B340" s="3" t="str">
        <f>IF($E340="","",Меню!$B$19)</f>
        <v/>
      </c>
      <c r="C340" s="3" t="str">
        <f>IF($E340="","",Меню!$C$19)</f>
        <v/>
      </c>
      <c r="D340" s="3" t="str">
        <f>IF($E340="","",Меню!$D$19)</f>
        <v/>
      </c>
      <c r="E340" s="3" t="str">
        <f>IFERROR(IF(IFERROR(INDEX(Рецепты!$H$6:$H$85,MATCH(Меню!$D$19,Рецепты!$H$6:$H$85,0)+9)=Меню!$D$19,FALSE),INDEX(Рецепты!$J$6:$J$85,MATCH(Меню!$D$19,Рецепты!$H$6:$H$85,0)+9),""),"")</f>
        <v/>
      </c>
      <c r="F340" s="3" t="str">
        <f>IF($E340="","",INDEX(Рецепты!$K$6:$K$85,MATCH(Меню!$D$19,Рецепты!$H$6:$H$85,0)+9))</f>
        <v/>
      </c>
      <c r="G340" s="3" t="str">
        <f>IF($E340="","",INDEX(Рецепты!$M$6:$M$85,MATCH(Меню!$D$19,Рецепты!$H$6:$H$85,0)+9))</f>
        <v/>
      </c>
      <c r="H340" s="12">
        <f>IFERROR(IF(IFERROR(INDEX(Рецепты!$H$6:$H$85,MATCH(Меню!$D$19,Рецепты!$H$6:$H$85,0)+9)=Меню!$D$19,FALSE),INDEX(Рецепты!$L$6:$L$85,MATCH(Меню!$D$19,Рецепты!$H$6:$H$85,0)+9),0),0)</f>
        <v>0</v>
      </c>
      <c r="I340" s="12" t="str">
        <f>IF($F340="","",Меню!$E$19)</f>
        <v/>
      </c>
      <c r="J340" s="12">
        <f t="shared" si="5"/>
        <v>0</v>
      </c>
      <c r="K340" s="12">
        <f>IFERROR($J340/100*INDEX(Продукты!$G$6:$G$66,MATCH($E340,Продукты!$A$6:$A$66,0)),0)</f>
        <v>0</v>
      </c>
      <c r="L340" s="12">
        <f>IFERROR($J340/100*INDEX(Продукты!$H$6:$H$66,MATCH($E340,Продукты!$A$6:$A$66,0)),0)</f>
        <v>0</v>
      </c>
      <c r="M340" s="12">
        <f>IFERROR($J340/100*INDEX(Продукты!$I$6:$I$66,MATCH($E340,Продукты!$A$6:$A$66,0)),0)</f>
        <v>0</v>
      </c>
      <c r="N340" s="12">
        <f>IFERROR($J340/100*INDEX(Продукты!$J$6:$J$66,MATCH($E340,Продукты!$A$6:$A$66,0)),0)</f>
        <v>0</v>
      </c>
      <c r="O340" s="3" t="str">
        <f>IFERROR(IF(IFERROR(INDEX(Рецепты!$H$6:$H$85,MATCH(Меню!$D$19,Рецепты!$H$6:$H$85,0)+9)=Меню!$D$19,FALSE),INDEX(Рецепты!$N$6:$N$85,MATCH(Меню!$D$19,Рецепты!$H$6:$H$85,0)+9),""),"")</f>
        <v/>
      </c>
    </row>
    <row r="341" spans="1:15">
      <c r="A341" s="3" t="str">
        <f>IF($E341="","",Меню!$A$19)</f>
        <v/>
      </c>
      <c r="B341" s="3" t="str">
        <f>IF($E341="","",Меню!$B$19)</f>
        <v/>
      </c>
      <c r="C341" s="3" t="str">
        <f>IF($E341="","",Меню!$C$19)</f>
        <v/>
      </c>
      <c r="D341" s="3" t="str">
        <f>IF($E341="","",Меню!$D$19)</f>
        <v/>
      </c>
      <c r="E341" s="3" t="str">
        <f>IFERROR(IF(IFERROR(INDEX(Рецепты!$H$6:$H$85,MATCH(Меню!$D$19,Рецепты!$H$6:$H$85,0)+10)=Меню!$D$19,FALSE),INDEX(Рецепты!$J$6:$J$85,MATCH(Меню!$D$19,Рецепты!$H$6:$H$85,0)+10),""),"")</f>
        <v/>
      </c>
      <c r="F341" s="3" t="str">
        <f>IF($E341="","",INDEX(Рецепты!$K$6:$K$85,MATCH(Меню!$D$19,Рецепты!$H$6:$H$85,0)+10))</f>
        <v/>
      </c>
      <c r="G341" s="3" t="str">
        <f>IF($E341="","",INDEX(Рецепты!$M$6:$M$85,MATCH(Меню!$D$19,Рецепты!$H$6:$H$85,0)+10))</f>
        <v/>
      </c>
      <c r="H341" s="12">
        <f>IFERROR(IF(IFERROR(INDEX(Рецепты!$H$6:$H$85,MATCH(Меню!$D$19,Рецепты!$H$6:$H$85,0)+10)=Меню!$D$19,FALSE),INDEX(Рецепты!$L$6:$L$85,MATCH(Меню!$D$19,Рецепты!$H$6:$H$85,0)+10),0),0)</f>
        <v>0</v>
      </c>
      <c r="I341" s="12" t="str">
        <f>IF($F341="","",Меню!$E$19)</f>
        <v/>
      </c>
      <c r="J341" s="12">
        <f t="shared" si="5"/>
        <v>0</v>
      </c>
      <c r="K341" s="12">
        <f>IFERROR($J341/100*INDEX(Продукты!$G$6:$G$66,MATCH($E341,Продукты!$A$6:$A$66,0)),0)</f>
        <v>0</v>
      </c>
      <c r="L341" s="12">
        <f>IFERROR($J341/100*INDEX(Продукты!$H$6:$H$66,MATCH($E341,Продукты!$A$6:$A$66,0)),0)</f>
        <v>0</v>
      </c>
      <c r="M341" s="12">
        <f>IFERROR($J341/100*INDEX(Продукты!$I$6:$I$66,MATCH($E341,Продукты!$A$6:$A$66,0)),0)</f>
        <v>0</v>
      </c>
      <c r="N341" s="12">
        <f>IFERROR($J341/100*INDEX(Продукты!$J$6:$J$66,MATCH($E341,Продукты!$A$6:$A$66,0)),0)</f>
        <v>0</v>
      </c>
      <c r="O341" s="3" t="str">
        <f>IFERROR(IF(IFERROR(INDEX(Рецепты!$H$6:$H$85,MATCH(Меню!$D$19,Рецепты!$H$6:$H$85,0)+10)=Меню!$D$19,FALSE),INDEX(Рецепты!$N$6:$N$85,MATCH(Меню!$D$19,Рецепты!$H$6:$H$85,0)+10),""),"")</f>
        <v/>
      </c>
    </row>
    <row r="342" spans="1:15">
      <c r="A342" s="3" t="str">
        <f>IF($E342="","",Меню!$A$19)</f>
        <v/>
      </c>
      <c r="B342" s="3" t="str">
        <f>IF($E342="","",Меню!$B$19)</f>
        <v/>
      </c>
      <c r="C342" s="3" t="str">
        <f>IF($E342="","",Меню!$C$19)</f>
        <v/>
      </c>
      <c r="D342" s="3" t="str">
        <f>IF($E342="","",Меню!$D$19)</f>
        <v/>
      </c>
      <c r="E342" s="3" t="str">
        <f>IFERROR(IF(IFERROR(INDEX(Рецепты!$H$6:$H$85,MATCH(Меню!$D$19,Рецепты!$H$6:$H$85,0)+11)=Меню!$D$19,FALSE),INDEX(Рецепты!$J$6:$J$85,MATCH(Меню!$D$19,Рецепты!$H$6:$H$85,0)+11),""),"")</f>
        <v/>
      </c>
      <c r="F342" s="3" t="str">
        <f>IF($E342="","",INDEX(Рецепты!$K$6:$K$85,MATCH(Меню!$D$19,Рецепты!$H$6:$H$85,0)+11))</f>
        <v/>
      </c>
      <c r="G342" s="3" t="str">
        <f>IF($E342="","",INDEX(Рецепты!$M$6:$M$85,MATCH(Меню!$D$19,Рецепты!$H$6:$H$85,0)+11))</f>
        <v/>
      </c>
      <c r="H342" s="12">
        <f>IFERROR(IF(IFERROR(INDEX(Рецепты!$H$6:$H$85,MATCH(Меню!$D$19,Рецепты!$H$6:$H$85,0)+11)=Меню!$D$19,FALSE),INDEX(Рецепты!$L$6:$L$85,MATCH(Меню!$D$19,Рецепты!$H$6:$H$85,0)+11),0),0)</f>
        <v>0</v>
      </c>
      <c r="I342" s="12" t="str">
        <f>IF($F342="","",Меню!$E$19)</f>
        <v/>
      </c>
      <c r="J342" s="12">
        <f t="shared" si="5"/>
        <v>0</v>
      </c>
      <c r="K342" s="12">
        <f>IFERROR($J342/100*INDEX(Продукты!$G$6:$G$66,MATCH($E342,Продукты!$A$6:$A$66,0)),0)</f>
        <v>0</v>
      </c>
      <c r="L342" s="12">
        <f>IFERROR($J342/100*INDEX(Продукты!$H$6:$H$66,MATCH($E342,Продукты!$A$6:$A$66,0)),0)</f>
        <v>0</v>
      </c>
      <c r="M342" s="12">
        <f>IFERROR($J342/100*INDEX(Продукты!$I$6:$I$66,MATCH($E342,Продукты!$A$6:$A$66,0)),0)</f>
        <v>0</v>
      </c>
      <c r="N342" s="12">
        <f>IFERROR($J342/100*INDEX(Продукты!$J$6:$J$66,MATCH($E342,Продукты!$A$6:$A$66,0)),0)</f>
        <v>0</v>
      </c>
      <c r="O342" s="3" t="str">
        <f>IFERROR(IF(IFERROR(INDEX(Рецепты!$H$6:$H$85,MATCH(Меню!$D$19,Рецепты!$H$6:$H$85,0)+11)=Меню!$D$19,FALSE),INDEX(Рецепты!$N$6:$N$85,MATCH(Меню!$D$19,Рецепты!$H$6:$H$85,0)+11),""),"")</f>
        <v/>
      </c>
    </row>
    <row r="343" spans="1:15">
      <c r="A343" s="3" t="str">
        <f>IF($E343="","",Меню!$A$19)</f>
        <v/>
      </c>
      <c r="B343" s="3" t="str">
        <f>IF($E343="","",Меню!$B$19)</f>
        <v/>
      </c>
      <c r="C343" s="3" t="str">
        <f>IF($E343="","",Меню!$C$19)</f>
        <v/>
      </c>
      <c r="D343" s="3" t="str">
        <f>IF($E343="","",Меню!$D$19)</f>
        <v/>
      </c>
      <c r="E343" s="3" t="str">
        <f>IFERROR(IF(IFERROR(INDEX(Рецепты!$H$6:$H$85,MATCH(Меню!$D$19,Рецепты!$H$6:$H$85,0)+12)=Меню!$D$19,FALSE),INDEX(Рецепты!$J$6:$J$85,MATCH(Меню!$D$19,Рецепты!$H$6:$H$85,0)+12),""),"")</f>
        <v/>
      </c>
      <c r="F343" s="3" t="str">
        <f>IF($E343="","",INDEX(Рецепты!$K$6:$K$85,MATCH(Меню!$D$19,Рецепты!$H$6:$H$85,0)+12))</f>
        <v/>
      </c>
      <c r="G343" s="3" t="str">
        <f>IF($E343="","",INDEX(Рецепты!$M$6:$M$85,MATCH(Меню!$D$19,Рецепты!$H$6:$H$85,0)+12))</f>
        <v/>
      </c>
      <c r="H343" s="12">
        <f>IFERROR(IF(IFERROR(INDEX(Рецепты!$H$6:$H$85,MATCH(Меню!$D$19,Рецепты!$H$6:$H$85,0)+12)=Меню!$D$19,FALSE),INDEX(Рецепты!$L$6:$L$85,MATCH(Меню!$D$19,Рецепты!$H$6:$H$85,0)+12),0),0)</f>
        <v>0</v>
      </c>
      <c r="I343" s="12" t="str">
        <f>IF($F343="","",Меню!$E$19)</f>
        <v/>
      </c>
      <c r="J343" s="12">
        <f t="shared" si="5"/>
        <v>0</v>
      </c>
      <c r="K343" s="12">
        <f>IFERROR($J343/100*INDEX(Продукты!$G$6:$G$66,MATCH($E343,Продукты!$A$6:$A$66,0)),0)</f>
        <v>0</v>
      </c>
      <c r="L343" s="12">
        <f>IFERROR($J343/100*INDEX(Продукты!$H$6:$H$66,MATCH($E343,Продукты!$A$6:$A$66,0)),0)</f>
        <v>0</v>
      </c>
      <c r="M343" s="12">
        <f>IFERROR($J343/100*INDEX(Продукты!$I$6:$I$66,MATCH($E343,Продукты!$A$6:$A$66,0)),0)</f>
        <v>0</v>
      </c>
      <c r="N343" s="12">
        <f>IFERROR($J343/100*INDEX(Продукты!$J$6:$J$66,MATCH($E343,Продукты!$A$6:$A$66,0)),0)</f>
        <v>0</v>
      </c>
      <c r="O343" s="3" t="str">
        <f>IFERROR(IF(IFERROR(INDEX(Рецепты!$H$6:$H$85,MATCH(Меню!$D$19,Рецепты!$H$6:$H$85,0)+12)=Меню!$D$19,FALSE),INDEX(Рецепты!$N$6:$N$85,MATCH(Меню!$D$19,Рецепты!$H$6:$H$85,0)+12),""),"")</f>
        <v/>
      </c>
    </row>
    <row r="344" spans="1:15">
      <c r="A344" s="3" t="str">
        <f>IF($E344="","",Меню!$A$19)</f>
        <v/>
      </c>
      <c r="B344" s="3" t="str">
        <f>IF($E344="","",Меню!$B$19)</f>
        <v/>
      </c>
      <c r="C344" s="3" t="str">
        <f>IF($E344="","",Меню!$C$19)</f>
        <v/>
      </c>
      <c r="D344" s="3" t="str">
        <f>IF($E344="","",Меню!$D$19)</f>
        <v/>
      </c>
      <c r="E344" s="3" t="str">
        <f>IFERROR(IF(IFERROR(INDEX(Рецепты!$H$6:$H$85,MATCH(Меню!$D$19,Рецепты!$H$6:$H$85,0)+13)=Меню!$D$19,FALSE),INDEX(Рецепты!$J$6:$J$85,MATCH(Меню!$D$19,Рецепты!$H$6:$H$85,0)+13),""),"")</f>
        <v/>
      </c>
      <c r="F344" s="3" t="str">
        <f>IF($E344="","",INDEX(Рецепты!$K$6:$K$85,MATCH(Меню!$D$19,Рецепты!$H$6:$H$85,0)+13))</f>
        <v/>
      </c>
      <c r="G344" s="3" t="str">
        <f>IF($E344="","",INDEX(Рецепты!$M$6:$M$85,MATCH(Меню!$D$19,Рецепты!$H$6:$H$85,0)+13))</f>
        <v/>
      </c>
      <c r="H344" s="12">
        <f>IFERROR(IF(IFERROR(INDEX(Рецепты!$H$6:$H$85,MATCH(Меню!$D$19,Рецепты!$H$6:$H$85,0)+13)=Меню!$D$19,FALSE),INDEX(Рецепты!$L$6:$L$85,MATCH(Меню!$D$19,Рецепты!$H$6:$H$85,0)+13),0),0)</f>
        <v>0</v>
      </c>
      <c r="I344" s="12" t="str">
        <f>IF($F344="","",Меню!$E$19)</f>
        <v/>
      </c>
      <c r="J344" s="12">
        <f t="shared" si="5"/>
        <v>0</v>
      </c>
      <c r="K344" s="12">
        <f>IFERROR($J344/100*INDEX(Продукты!$G$6:$G$66,MATCH($E344,Продукты!$A$6:$A$66,0)),0)</f>
        <v>0</v>
      </c>
      <c r="L344" s="12">
        <f>IFERROR($J344/100*INDEX(Продукты!$H$6:$H$66,MATCH($E344,Продукты!$A$6:$A$66,0)),0)</f>
        <v>0</v>
      </c>
      <c r="M344" s="12">
        <f>IFERROR($J344/100*INDEX(Продукты!$I$6:$I$66,MATCH($E344,Продукты!$A$6:$A$66,0)),0)</f>
        <v>0</v>
      </c>
      <c r="N344" s="12">
        <f>IFERROR($J344/100*INDEX(Продукты!$J$6:$J$66,MATCH($E344,Продукты!$A$6:$A$66,0)),0)</f>
        <v>0</v>
      </c>
      <c r="O344" s="3" t="str">
        <f>IFERROR(IF(IFERROR(INDEX(Рецепты!$H$6:$H$85,MATCH(Меню!$D$19,Рецепты!$H$6:$H$85,0)+13)=Меню!$D$19,FALSE),INDEX(Рецепты!$N$6:$N$85,MATCH(Меню!$D$19,Рецепты!$H$6:$H$85,0)+13),""),"")</f>
        <v/>
      </c>
    </row>
    <row r="345" spans="1:15">
      <c r="A345" s="3" t="str">
        <f>IF($E345="","",Меню!$A$19)</f>
        <v/>
      </c>
      <c r="B345" s="3" t="str">
        <f>IF($E345="","",Меню!$B$19)</f>
        <v/>
      </c>
      <c r="C345" s="3" t="str">
        <f>IF($E345="","",Меню!$C$19)</f>
        <v/>
      </c>
      <c r="D345" s="3" t="str">
        <f>IF($E345="","",Меню!$D$19)</f>
        <v/>
      </c>
      <c r="E345" s="3" t="str">
        <f>IFERROR(IF(IFERROR(INDEX(Рецепты!$H$6:$H$85,MATCH(Меню!$D$19,Рецепты!$H$6:$H$85,0)+14)=Меню!$D$19,FALSE),INDEX(Рецепты!$J$6:$J$85,MATCH(Меню!$D$19,Рецепты!$H$6:$H$85,0)+14),""),"")</f>
        <v/>
      </c>
      <c r="F345" s="3" t="str">
        <f>IF($E345="","",INDEX(Рецепты!$K$6:$K$85,MATCH(Меню!$D$19,Рецепты!$H$6:$H$85,0)+14))</f>
        <v/>
      </c>
      <c r="G345" s="3" t="str">
        <f>IF($E345="","",INDEX(Рецепты!$M$6:$M$85,MATCH(Меню!$D$19,Рецепты!$H$6:$H$85,0)+14))</f>
        <v/>
      </c>
      <c r="H345" s="12">
        <f>IFERROR(IF(IFERROR(INDEX(Рецепты!$H$6:$H$85,MATCH(Меню!$D$19,Рецепты!$H$6:$H$85,0)+14)=Меню!$D$19,FALSE),INDEX(Рецепты!$L$6:$L$85,MATCH(Меню!$D$19,Рецепты!$H$6:$H$85,0)+14),0),0)</f>
        <v>0</v>
      </c>
      <c r="I345" s="12" t="str">
        <f>IF($F345="","",Меню!$E$19)</f>
        <v/>
      </c>
      <c r="J345" s="12">
        <f t="shared" si="5"/>
        <v>0</v>
      </c>
      <c r="K345" s="12">
        <f>IFERROR($J345/100*INDEX(Продукты!$G$6:$G$66,MATCH($E345,Продукты!$A$6:$A$66,0)),0)</f>
        <v>0</v>
      </c>
      <c r="L345" s="12">
        <f>IFERROR($J345/100*INDEX(Продукты!$H$6:$H$66,MATCH($E345,Продукты!$A$6:$A$66,0)),0)</f>
        <v>0</v>
      </c>
      <c r="M345" s="12">
        <f>IFERROR($J345/100*INDEX(Продукты!$I$6:$I$66,MATCH($E345,Продукты!$A$6:$A$66,0)),0)</f>
        <v>0</v>
      </c>
      <c r="N345" s="12">
        <f>IFERROR($J345/100*INDEX(Продукты!$J$6:$J$66,MATCH($E345,Продукты!$A$6:$A$66,0)),0)</f>
        <v>0</v>
      </c>
      <c r="O345" s="3" t="str">
        <f>IFERROR(IF(IFERROR(INDEX(Рецепты!$H$6:$H$85,MATCH(Меню!$D$19,Рецепты!$H$6:$H$85,0)+14)=Меню!$D$19,FALSE),INDEX(Рецепты!$N$6:$N$85,MATCH(Меню!$D$19,Рецепты!$H$6:$H$85,0)+14),""),"")</f>
        <v/>
      </c>
    </row>
    <row r="346" spans="1:15">
      <c r="A346" s="3" t="str">
        <f>IF($E346="","",Меню!$A$19)</f>
        <v/>
      </c>
      <c r="B346" s="3" t="str">
        <f>IF($E346="","",Меню!$B$19)</f>
        <v/>
      </c>
      <c r="C346" s="3" t="str">
        <f>IF($E346="","",Меню!$C$19)</f>
        <v/>
      </c>
      <c r="D346" s="3" t="str">
        <f>IF($E346="","",Меню!$D$19)</f>
        <v/>
      </c>
      <c r="E346" s="3" t="str">
        <f>IFERROR(IF(IFERROR(INDEX(Рецепты!$H$6:$H$85,MATCH(Меню!$D$19,Рецепты!$H$6:$H$85,0)+15)=Меню!$D$19,FALSE),INDEX(Рецепты!$J$6:$J$85,MATCH(Меню!$D$19,Рецепты!$H$6:$H$85,0)+15),""),"")</f>
        <v/>
      </c>
      <c r="F346" s="3" t="str">
        <f>IF($E346="","",INDEX(Рецепты!$K$6:$K$85,MATCH(Меню!$D$19,Рецепты!$H$6:$H$85,0)+15))</f>
        <v/>
      </c>
      <c r="G346" s="3" t="str">
        <f>IF($E346="","",INDEX(Рецепты!$M$6:$M$85,MATCH(Меню!$D$19,Рецепты!$H$6:$H$85,0)+15))</f>
        <v/>
      </c>
      <c r="H346" s="12">
        <f>IFERROR(IF(IFERROR(INDEX(Рецепты!$H$6:$H$85,MATCH(Меню!$D$19,Рецепты!$H$6:$H$85,0)+15)=Меню!$D$19,FALSE),INDEX(Рецепты!$L$6:$L$85,MATCH(Меню!$D$19,Рецепты!$H$6:$H$85,0)+15),0),0)</f>
        <v>0</v>
      </c>
      <c r="I346" s="12" t="str">
        <f>IF($F346="","",Меню!$E$19)</f>
        <v/>
      </c>
      <c r="J346" s="12">
        <f t="shared" si="5"/>
        <v>0</v>
      </c>
      <c r="K346" s="12">
        <f>IFERROR($J346/100*INDEX(Продукты!$G$6:$G$66,MATCH($E346,Продукты!$A$6:$A$66,0)),0)</f>
        <v>0</v>
      </c>
      <c r="L346" s="12">
        <f>IFERROR($J346/100*INDEX(Продукты!$H$6:$H$66,MATCH($E346,Продукты!$A$6:$A$66,0)),0)</f>
        <v>0</v>
      </c>
      <c r="M346" s="12">
        <f>IFERROR($J346/100*INDEX(Продукты!$I$6:$I$66,MATCH($E346,Продукты!$A$6:$A$66,0)),0)</f>
        <v>0</v>
      </c>
      <c r="N346" s="12">
        <f>IFERROR($J346/100*INDEX(Продукты!$J$6:$J$66,MATCH($E346,Продукты!$A$6:$A$66,0)),0)</f>
        <v>0</v>
      </c>
      <c r="O346" s="3" t="str">
        <f>IFERROR(IF(IFERROR(INDEX(Рецепты!$H$6:$H$85,MATCH(Меню!$D$19,Рецепты!$H$6:$H$85,0)+15)=Меню!$D$19,FALSE),INDEX(Рецепты!$N$6:$N$85,MATCH(Меню!$D$19,Рецепты!$H$6:$H$85,0)+15),""),"")</f>
        <v/>
      </c>
    </row>
    <row r="347" spans="1:15">
      <c r="A347" s="3" t="str">
        <f>IF($E347="","",Меню!$A$19)</f>
        <v/>
      </c>
      <c r="B347" s="3" t="str">
        <f>IF($E347="","",Меню!$B$19)</f>
        <v/>
      </c>
      <c r="C347" s="3" t="str">
        <f>IF($E347="","",Меню!$C$19)</f>
        <v/>
      </c>
      <c r="D347" s="3" t="str">
        <f>IF($E347="","",Меню!$D$19)</f>
        <v/>
      </c>
      <c r="E347" s="3" t="str">
        <f>IFERROR(IF(IFERROR(INDEX(Рецепты!$H$6:$H$85,MATCH(Меню!$D$19,Рецепты!$H$6:$H$85,0)+16)=Меню!$D$19,FALSE),INDEX(Рецепты!$J$6:$J$85,MATCH(Меню!$D$19,Рецепты!$H$6:$H$85,0)+16),""),"")</f>
        <v/>
      </c>
      <c r="F347" s="3" t="str">
        <f>IF($E347="","",INDEX(Рецепты!$K$6:$K$85,MATCH(Меню!$D$19,Рецепты!$H$6:$H$85,0)+16))</f>
        <v/>
      </c>
      <c r="G347" s="3" t="str">
        <f>IF($E347="","",INDEX(Рецепты!$M$6:$M$85,MATCH(Меню!$D$19,Рецепты!$H$6:$H$85,0)+16))</f>
        <v/>
      </c>
      <c r="H347" s="12">
        <f>IFERROR(IF(IFERROR(INDEX(Рецепты!$H$6:$H$85,MATCH(Меню!$D$19,Рецепты!$H$6:$H$85,0)+16)=Меню!$D$19,FALSE),INDEX(Рецепты!$L$6:$L$85,MATCH(Меню!$D$19,Рецепты!$H$6:$H$85,0)+16),0),0)</f>
        <v>0</v>
      </c>
      <c r="I347" s="12" t="str">
        <f>IF($F347="","",Меню!$E$19)</f>
        <v/>
      </c>
      <c r="J347" s="12">
        <f t="shared" si="5"/>
        <v>0</v>
      </c>
      <c r="K347" s="12">
        <f>IFERROR($J347/100*INDEX(Продукты!$G$6:$G$66,MATCH($E347,Продукты!$A$6:$A$66,0)),0)</f>
        <v>0</v>
      </c>
      <c r="L347" s="12">
        <f>IFERROR($J347/100*INDEX(Продукты!$H$6:$H$66,MATCH($E347,Продукты!$A$6:$A$66,0)),0)</f>
        <v>0</v>
      </c>
      <c r="M347" s="12">
        <f>IFERROR($J347/100*INDEX(Продукты!$I$6:$I$66,MATCH($E347,Продукты!$A$6:$A$66,0)),0)</f>
        <v>0</v>
      </c>
      <c r="N347" s="12">
        <f>IFERROR($J347/100*INDEX(Продукты!$J$6:$J$66,MATCH($E347,Продукты!$A$6:$A$66,0)),0)</f>
        <v>0</v>
      </c>
      <c r="O347" s="3" t="str">
        <f>IFERROR(IF(IFERROR(INDEX(Рецепты!$H$6:$H$85,MATCH(Меню!$D$19,Рецепты!$H$6:$H$85,0)+16)=Меню!$D$19,FALSE),INDEX(Рецепты!$N$6:$N$85,MATCH(Меню!$D$19,Рецепты!$H$6:$H$85,0)+16),""),"")</f>
        <v/>
      </c>
    </row>
    <row r="348" spans="1:15">
      <c r="A348" s="3" t="str">
        <f>IF($E348="","",Меню!$A$19)</f>
        <v/>
      </c>
      <c r="B348" s="3" t="str">
        <f>IF($E348="","",Меню!$B$19)</f>
        <v/>
      </c>
      <c r="C348" s="3" t="str">
        <f>IF($E348="","",Меню!$C$19)</f>
        <v/>
      </c>
      <c r="D348" s="3" t="str">
        <f>IF($E348="","",Меню!$D$19)</f>
        <v/>
      </c>
      <c r="E348" s="3" t="str">
        <f>IFERROR(IF(IFERROR(INDEX(Рецепты!$H$6:$H$85,MATCH(Меню!$D$19,Рецепты!$H$6:$H$85,0)+17)=Меню!$D$19,FALSE),INDEX(Рецепты!$J$6:$J$85,MATCH(Меню!$D$19,Рецепты!$H$6:$H$85,0)+17),""),"")</f>
        <v/>
      </c>
      <c r="F348" s="3" t="str">
        <f>IF($E348="","",INDEX(Рецепты!$K$6:$K$85,MATCH(Меню!$D$19,Рецепты!$H$6:$H$85,0)+17))</f>
        <v/>
      </c>
      <c r="G348" s="3" t="str">
        <f>IF($E348="","",INDEX(Рецепты!$M$6:$M$85,MATCH(Меню!$D$19,Рецепты!$H$6:$H$85,0)+17))</f>
        <v/>
      </c>
      <c r="H348" s="12">
        <f>IFERROR(IF(IFERROR(INDEX(Рецепты!$H$6:$H$85,MATCH(Меню!$D$19,Рецепты!$H$6:$H$85,0)+17)=Меню!$D$19,FALSE),INDEX(Рецепты!$L$6:$L$85,MATCH(Меню!$D$19,Рецепты!$H$6:$H$85,0)+17),0),0)</f>
        <v>0</v>
      </c>
      <c r="I348" s="12" t="str">
        <f>IF($F348="","",Меню!$E$19)</f>
        <v/>
      </c>
      <c r="J348" s="12">
        <f t="shared" si="5"/>
        <v>0</v>
      </c>
      <c r="K348" s="12">
        <f>IFERROR($J348/100*INDEX(Продукты!$G$6:$G$66,MATCH($E348,Продукты!$A$6:$A$66,0)),0)</f>
        <v>0</v>
      </c>
      <c r="L348" s="12">
        <f>IFERROR($J348/100*INDEX(Продукты!$H$6:$H$66,MATCH($E348,Продукты!$A$6:$A$66,0)),0)</f>
        <v>0</v>
      </c>
      <c r="M348" s="12">
        <f>IFERROR($J348/100*INDEX(Продукты!$I$6:$I$66,MATCH($E348,Продукты!$A$6:$A$66,0)),0)</f>
        <v>0</v>
      </c>
      <c r="N348" s="12">
        <f>IFERROR($J348/100*INDEX(Продукты!$J$6:$J$66,MATCH($E348,Продукты!$A$6:$A$66,0)),0)</f>
        <v>0</v>
      </c>
      <c r="O348" s="3" t="str">
        <f>IFERROR(IF(IFERROR(INDEX(Рецепты!$H$6:$H$85,MATCH(Меню!$D$19,Рецепты!$H$6:$H$85,0)+17)=Меню!$D$19,FALSE),INDEX(Рецепты!$N$6:$N$85,MATCH(Меню!$D$19,Рецепты!$H$6:$H$85,0)+17),""),"")</f>
        <v/>
      </c>
    </row>
    <row r="349" spans="1:15">
      <c r="A349" s="3" t="str">
        <f>IF($E349="","",Меню!$A$19)</f>
        <v/>
      </c>
      <c r="B349" s="3" t="str">
        <f>IF($E349="","",Меню!$B$19)</f>
        <v/>
      </c>
      <c r="C349" s="3" t="str">
        <f>IF($E349="","",Меню!$C$19)</f>
        <v/>
      </c>
      <c r="D349" s="3" t="str">
        <f>IF($E349="","",Меню!$D$19)</f>
        <v/>
      </c>
      <c r="E349" s="3" t="str">
        <f>IFERROR(IF(IFERROR(INDEX(Рецепты!$H$6:$H$85,MATCH(Меню!$D$19,Рецепты!$H$6:$H$85,0)+18)=Меню!$D$19,FALSE),INDEX(Рецепты!$J$6:$J$85,MATCH(Меню!$D$19,Рецепты!$H$6:$H$85,0)+18),""),"")</f>
        <v/>
      </c>
      <c r="F349" s="3" t="str">
        <f>IF($E349="","",INDEX(Рецепты!$K$6:$K$85,MATCH(Меню!$D$19,Рецепты!$H$6:$H$85,0)+18))</f>
        <v/>
      </c>
      <c r="G349" s="3" t="str">
        <f>IF($E349="","",INDEX(Рецепты!$M$6:$M$85,MATCH(Меню!$D$19,Рецепты!$H$6:$H$85,0)+18))</f>
        <v/>
      </c>
      <c r="H349" s="12">
        <f>IFERROR(IF(IFERROR(INDEX(Рецепты!$H$6:$H$85,MATCH(Меню!$D$19,Рецепты!$H$6:$H$85,0)+18)=Меню!$D$19,FALSE),INDEX(Рецепты!$L$6:$L$85,MATCH(Меню!$D$19,Рецепты!$H$6:$H$85,0)+18),0),0)</f>
        <v>0</v>
      </c>
      <c r="I349" s="12" t="str">
        <f>IF($F349="","",Меню!$E$19)</f>
        <v/>
      </c>
      <c r="J349" s="12">
        <f t="shared" si="5"/>
        <v>0</v>
      </c>
      <c r="K349" s="12">
        <f>IFERROR($J349/100*INDEX(Продукты!$G$6:$G$66,MATCH($E349,Продукты!$A$6:$A$66,0)),0)</f>
        <v>0</v>
      </c>
      <c r="L349" s="12">
        <f>IFERROR($J349/100*INDEX(Продукты!$H$6:$H$66,MATCH($E349,Продукты!$A$6:$A$66,0)),0)</f>
        <v>0</v>
      </c>
      <c r="M349" s="12">
        <f>IFERROR($J349/100*INDEX(Продукты!$I$6:$I$66,MATCH($E349,Продукты!$A$6:$A$66,0)),0)</f>
        <v>0</v>
      </c>
      <c r="N349" s="12">
        <f>IFERROR($J349/100*INDEX(Продукты!$J$6:$J$66,MATCH($E349,Продукты!$A$6:$A$66,0)),0)</f>
        <v>0</v>
      </c>
      <c r="O349" s="3" t="str">
        <f>IFERROR(IF(IFERROR(INDEX(Рецепты!$H$6:$H$85,MATCH(Меню!$D$19,Рецепты!$H$6:$H$85,0)+18)=Меню!$D$19,FALSE),INDEX(Рецепты!$N$6:$N$85,MATCH(Меню!$D$19,Рецепты!$H$6:$H$85,0)+18),""),"")</f>
        <v/>
      </c>
    </row>
    <row r="350" spans="1:15">
      <c r="A350" s="3" t="str">
        <f>IF($E350="","",Меню!$A$19)</f>
        <v/>
      </c>
      <c r="B350" s="3" t="str">
        <f>IF($E350="","",Меню!$B$19)</f>
        <v/>
      </c>
      <c r="C350" s="3" t="str">
        <f>IF($E350="","",Меню!$C$19)</f>
        <v/>
      </c>
      <c r="D350" s="3" t="str">
        <f>IF($E350="","",Меню!$D$19)</f>
        <v/>
      </c>
      <c r="E350" s="3" t="str">
        <f>IFERROR(IF(IFERROR(INDEX(Рецепты!$H$6:$H$85,MATCH(Меню!$D$19,Рецепты!$H$6:$H$85,0)+19)=Меню!$D$19,FALSE),INDEX(Рецепты!$J$6:$J$85,MATCH(Меню!$D$19,Рецепты!$H$6:$H$85,0)+19),""),"")</f>
        <v/>
      </c>
      <c r="F350" s="3" t="str">
        <f>IF($E350="","",INDEX(Рецепты!$K$6:$K$85,MATCH(Меню!$D$19,Рецепты!$H$6:$H$85,0)+19))</f>
        <v/>
      </c>
      <c r="G350" s="3" t="str">
        <f>IF($E350="","",INDEX(Рецепты!$M$6:$M$85,MATCH(Меню!$D$19,Рецепты!$H$6:$H$85,0)+19))</f>
        <v/>
      </c>
      <c r="H350" s="12">
        <f>IFERROR(IF(IFERROR(INDEX(Рецепты!$H$6:$H$85,MATCH(Меню!$D$19,Рецепты!$H$6:$H$85,0)+19)=Меню!$D$19,FALSE),INDEX(Рецепты!$L$6:$L$85,MATCH(Меню!$D$19,Рецепты!$H$6:$H$85,0)+19),0),0)</f>
        <v>0</v>
      </c>
      <c r="I350" s="12" t="str">
        <f>IF($F350="","",Меню!$E$19)</f>
        <v/>
      </c>
      <c r="J350" s="12">
        <f t="shared" si="5"/>
        <v>0</v>
      </c>
      <c r="K350" s="12">
        <f>IFERROR($J350/100*INDEX(Продукты!$G$6:$G$66,MATCH($E350,Продукты!$A$6:$A$66,0)),0)</f>
        <v>0</v>
      </c>
      <c r="L350" s="12">
        <f>IFERROR($J350/100*INDEX(Продукты!$H$6:$H$66,MATCH($E350,Продукты!$A$6:$A$66,0)),0)</f>
        <v>0</v>
      </c>
      <c r="M350" s="12">
        <f>IFERROR($J350/100*INDEX(Продукты!$I$6:$I$66,MATCH($E350,Продукты!$A$6:$A$66,0)),0)</f>
        <v>0</v>
      </c>
      <c r="N350" s="12">
        <f>IFERROR($J350/100*INDEX(Продукты!$J$6:$J$66,MATCH($E350,Продукты!$A$6:$A$66,0)),0)</f>
        <v>0</v>
      </c>
      <c r="O350" s="3" t="str">
        <f>IFERROR(IF(IFERROR(INDEX(Рецепты!$H$6:$H$85,MATCH(Меню!$D$19,Рецепты!$H$6:$H$85,0)+19)=Меню!$D$19,FALSE),INDEX(Рецепты!$N$6:$N$85,MATCH(Меню!$D$19,Рецепты!$H$6:$H$85,0)+19),""),"")</f>
        <v/>
      </c>
    </row>
    <row r="351" spans="1:15">
      <c r="A351" s="3" t="str">
        <f>IF($E351="","",Меню!$A$19)</f>
        <v/>
      </c>
      <c r="B351" s="3" t="str">
        <f>IF($E351="","",Меню!$B$19)</f>
        <v/>
      </c>
      <c r="C351" s="3" t="str">
        <f>IF($E351="","",Меню!$C$19)</f>
        <v/>
      </c>
      <c r="D351" s="3" t="str">
        <f>IF($E351="","",Меню!$D$19)</f>
        <v/>
      </c>
      <c r="E351" s="3" t="str">
        <f>IFERROR(IF(IFERROR(INDEX(Рецепты!$H$6:$H$85,MATCH(Меню!$D$19,Рецепты!$H$6:$H$85,0)+20)=Меню!$D$19,FALSE),INDEX(Рецепты!$J$6:$J$85,MATCH(Меню!$D$19,Рецепты!$H$6:$H$85,0)+20),""),"")</f>
        <v/>
      </c>
      <c r="F351" s="3" t="str">
        <f>IF($E351="","",INDEX(Рецепты!$K$6:$K$85,MATCH(Меню!$D$19,Рецепты!$H$6:$H$85,0)+20))</f>
        <v/>
      </c>
      <c r="G351" s="3" t="str">
        <f>IF($E351="","",INDEX(Рецепты!$M$6:$M$85,MATCH(Меню!$D$19,Рецепты!$H$6:$H$85,0)+20))</f>
        <v/>
      </c>
      <c r="H351" s="12">
        <f>IFERROR(IF(IFERROR(INDEX(Рецепты!$H$6:$H$85,MATCH(Меню!$D$19,Рецепты!$H$6:$H$85,0)+20)=Меню!$D$19,FALSE),INDEX(Рецепты!$L$6:$L$85,MATCH(Меню!$D$19,Рецепты!$H$6:$H$85,0)+20),0),0)</f>
        <v>0</v>
      </c>
      <c r="I351" s="12" t="str">
        <f>IF($F351="","",Меню!$E$19)</f>
        <v/>
      </c>
      <c r="J351" s="12">
        <f t="shared" si="5"/>
        <v>0</v>
      </c>
      <c r="K351" s="12">
        <f>IFERROR($J351/100*INDEX(Продукты!$G$6:$G$66,MATCH($E351,Продукты!$A$6:$A$66,0)),0)</f>
        <v>0</v>
      </c>
      <c r="L351" s="12">
        <f>IFERROR($J351/100*INDEX(Продукты!$H$6:$H$66,MATCH($E351,Продукты!$A$6:$A$66,0)),0)</f>
        <v>0</v>
      </c>
      <c r="M351" s="12">
        <f>IFERROR($J351/100*INDEX(Продукты!$I$6:$I$66,MATCH($E351,Продукты!$A$6:$A$66,0)),0)</f>
        <v>0</v>
      </c>
      <c r="N351" s="12">
        <f>IFERROR($J351/100*INDEX(Продукты!$J$6:$J$66,MATCH($E351,Продукты!$A$6:$A$66,0)),0)</f>
        <v>0</v>
      </c>
      <c r="O351" s="3" t="str">
        <f>IFERROR(IF(IFERROR(INDEX(Рецепты!$H$6:$H$85,MATCH(Меню!$D$19,Рецепты!$H$6:$H$85,0)+20)=Меню!$D$19,FALSE),INDEX(Рецепты!$N$6:$N$85,MATCH(Меню!$D$19,Рецепты!$H$6:$H$85,0)+20),""),"")</f>
        <v/>
      </c>
    </row>
    <row r="352" spans="1:15">
      <c r="A352" s="3" t="str">
        <f>IF($E352="","",Меню!$A$19)</f>
        <v/>
      </c>
      <c r="B352" s="3" t="str">
        <f>IF($E352="","",Меню!$B$19)</f>
        <v/>
      </c>
      <c r="C352" s="3" t="str">
        <f>IF($E352="","",Меню!$C$19)</f>
        <v/>
      </c>
      <c r="D352" s="3" t="str">
        <f>IF($E352="","",Меню!$D$19)</f>
        <v/>
      </c>
      <c r="E352" s="3" t="str">
        <f>IFERROR(IF(IFERROR(INDEX(Рецепты!$H$6:$H$85,MATCH(Меню!$D$19,Рецепты!$H$6:$H$85,0)+21)=Меню!$D$19,FALSE),INDEX(Рецепты!$J$6:$J$85,MATCH(Меню!$D$19,Рецепты!$H$6:$H$85,0)+21),""),"")</f>
        <v/>
      </c>
      <c r="F352" s="3" t="str">
        <f>IF($E352="","",INDEX(Рецепты!$K$6:$K$85,MATCH(Меню!$D$19,Рецепты!$H$6:$H$85,0)+21))</f>
        <v/>
      </c>
      <c r="G352" s="3" t="str">
        <f>IF($E352="","",INDEX(Рецепты!$M$6:$M$85,MATCH(Меню!$D$19,Рецепты!$H$6:$H$85,0)+21))</f>
        <v/>
      </c>
      <c r="H352" s="12">
        <f>IFERROR(IF(IFERROR(INDEX(Рецепты!$H$6:$H$85,MATCH(Меню!$D$19,Рецепты!$H$6:$H$85,0)+21)=Меню!$D$19,FALSE),INDEX(Рецепты!$L$6:$L$85,MATCH(Меню!$D$19,Рецепты!$H$6:$H$85,0)+21),0),0)</f>
        <v>0</v>
      </c>
      <c r="I352" s="12" t="str">
        <f>IF($F352="","",Меню!$E$19)</f>
        <v/>
      </c>
      <c r="J352" s="12">
        <f t="shared" si="5"/>
        <v>0</v>
      </c>
      <c r="K352" s="12">
        <f>IFERROR($J352/100*INDEX(Продукты!$G$6:$G$66,MATCH($E352,Продукты!$A$6:$A$66,0)),0)</f>
        <v>0</v>
      </c>
      <c r="L352" s="12">
        <f>IFERROR($J352/100*INDEX(Продукты!$H$6:$H$66,MATCH($E352,Продукты!$A$6:$A$66,0)),0)</f>
        <v>0</v>
      </c>
      <c r="M352" s="12">
        <f>IFERROR($J352/100*INDEX(Продукты!$I$6:$I$66,MATCH($E352,Продукты!$A$6:$A$66,0)),0)</f>
        <v>0</v>
      </c>
      <c r="N352" s="12">
        <f>IFERROR($J352/100*INDEX(Продукты!$J$6:$J$66,MATCH($E352,Продукты!$A$6:$A$66,0)),0)</f>
        <v>0</v>
      </c>
      <c r="O352" s="3" t="str">
        <f>IFERROR(IF(IFERROR(INDEX(Рецепты!$H$6:$H$85,MATCH(Меню!$D$19,Рецепты!$H$6:$H$85,0)+21)=Меню!$D$19,FALSE),INDEX(Рецепты!$N$6:$N$85,MATCH(Меню!$D$19,Рецепты!$H$6:$H$85,0)+21),""),"")</f>
        <v/>
      </c>
    </row>
    <row r="353" spans="1:15">
      <c r="A353" s="3" t="str">
        <f>IF($E353="","",Меню!$A$19)</f>
        <v/>
      </c>
      <c r="B353" s="3" t="str">
        <f>IF($E353="","",Меню!$B$19)</f>
        <v/>
      </c>
      <c r="C353" s="3" t="str">
        <f>IF($E353="","",Меню!$C$19)</f>
        <v/>
      </c>
      <c r="D353" s="3" t="str">
        <f>IF($E353="","",Меню!$D$19)</f>
        <v/>
      </c>
      <c r="E353" s="3" t="str">
        <f>IFERROR(IF(IFERROR(INDEX(Рецепты!$H$6:$H$85,MATCH(Меню!$D$19,Рецепты!$H$6:$H$85,0)+22)=Меню!$D$19,FALSE),INDEX(Рецепты!$J$6:$J$85,MATCH(Меню!$D$19,Рецепты!$H$6:$H$85,0)+22),""),"")</f>
        <v/>
      </c>
      <c r="F353" s="3" t="str">
        <f>IF($E353="","",INDEX(Рецепты!$K$6:$K$85,MATCH(Меню!$D$19,Рецепты!$H$6:$H$85,0)+22))</f>
        <v/>
      </c>
      <c r="G353" s="3" t="str">
        <f>IF($E353="","",INDEX(Рецепты!$M$6:$M$85,MATCH(Меню!$D$19,Рецепты!$H$6:$H$85,0)+22))</f>
        <v/>
      </c>
      <c r="H353" s="12">
        <f>IFERROR(IF(IFERROR(INDEX(Рецепты!$H$6:$H$85,MATCH(Меню!$D$19,Рецепты!$H$6:$H$85,0)+22)=Меню!$D$19,FALSE),INDEX(Рецепты!$L$6:$L$85,MATCH(Меню!$D$19,Рецепты!$H$6:$H$85,0)+22),0),0)</f>
        <v>0</v>
      </c>
      <c r="I353" s="12" t="str">
        <f>IF($F353="","",Меню!$E$19)</f>
        <v/>
      </c>
      <c r="J353" s="12">
        <f t="shared" si="5"/>
        <v>0</v>
      </c>
      <c r="K353" s="12">
        <f>IFERROR($J353/100*INDEX(Продукты!$G$6:$G$66,MATCH($E353,Продукты!$A$6:$A$66,0)),0)</f>
        <v>0</v>
      </c>
      <c r="L353" s="12">
        <f>IFERROR($J353/100*INDEX(Продукты!$H$6:$H$66,MATCH($E353,Продукты!$A$6:$A$66,0)),0)</f>
        <v>0</v>
      </c>
      <c r="M353" s="12">
        <f>IFERROR($J353/100*INDEX(Продукты!$I$6:$I$66,MATCH($E353,Продукты!$A$6:$A$66,0)),0)</f>
        <v>0</v>
      </c>
      <c r="N353" s="12">
        <f>IFERROR($J353/100*INDEX(Продукты!$J$6:$J$66,MATCH($E353,Продукты!$A$6:$A$66,0)),0)</f>
        <v>0</v>
      </c>
      <c r="O353" s="3" t="str">
        <f>IFERROR(IF(IFERROR(INDEX(Рецепты!$H$6:$H$85,MATCH(Меню!$D$19,Рецепты!$H$6:$H$85,0)+22)=Меню!$D$19,FALSE),INDEX(Рецепты!$N$6:$N$85,MATCH(Меню!$D$19,Рецепты!$H$6:$H$85,0)+22),""),"")</f>
        <v/>
      </c>
    </row>
    <row r="354" spans="1:15">
      <c r="A354" s="3" t="str">
        <f>IF($E354="","",Меню!$A$19)</f>
        <v/>
      </c>
      <c r="B354" s="3" t="str">
        <f>IF($E354="","",Меню!$B$19)</f>
        <v/>
      </c>
      <c r="C354" s="3" t="str">
        <f>IF($E354="","",Меню!$C$19)</f>
        <v/>
      </c>
      <c r="D354" s="3" t="str">
        <f>IF($E354="","",Меню!$D$19)</f>
        <v/>
      </c>
      <c r="E354" s="3" t="str">
        <f>IFERROR(IF(IFERROR(INDEX(Рецепты!$H$6:$H$85,MATCH(Меню!$D$19,Рецепты!$H$6:$H$85,0)+23)=Меню!$D$19,FALSE),INDEX(Рецепты!$J$6:$J$85,MATCH(Меню!$D$19,Рецепты!$H$6:$H$85,0)+23),""),"")</f>
        <v/>
      </c>
      <c r="F354" s="3" t="str">
        <f>IF($E354="","",INDEX(Рецепты!$K$6:$K$85,MATCH(Меню!$D$19,Рецепты!$H$6:$H$85,0)+23))</f>
        <v/>
      </c>
      <c r="G354" s="3" t="str">
        <f>IF($E354="","",INDEX(Рецепты!$M$6:$M$85,MATCH(Меню!$D$19,Рецепты!$H$6:$H$85,0)+23))</f>
        <v/>
      </c>
      <c r="H354" s="12">
        <f>IFERROR(IF(IFERROR(INDEX(Рецепты!$H$6:$H$85,MATCH(Меню!$D$19,Рецепты!$H$6:$H$85,0)+23)=Меню!$D$19,FALSE),INDEX(Рецепты!$L$6:$L$85,MATCH(Меню!$D$19,Рецепты!$H$6:$H$85,0)+23),0),0)</f>
        <v>0</v>
      </c>
      <c r="I354" s="12" t="str">
        <f>IF($F354="","",Меню!$E$19)</f>
        <v/>
      </c>
      <c r="J354" s="12">
        <f t="shared" si="5"/>
        <v>0</v>
      </c>
      <c r="K354" s="12">
        <f>IFERROR($J354/100*INDEX(Продукты!$G$6:$G$66,MATCH($E354,Продукты!$A$6:$A$66,0)),0)</f>
        <v>0</v>
      </c>
      <c r="L354" s="12">
        <f>IFERROR($J354/100*INDEX(Продукты!$H$6:$H$66,MATCH($E354,Продукты!$A$6:$A$66,0)),0)</f>
        <v>0</v>
      </c>
      <c r="M354" s="12">
        <f>IFERROR($J354/100*INDEX(Продукты!$I$6:$I$66,MATCH($E354,Продукты!$A$6:$A$66,0)),0)</f>
        <v>0</v>
      </c>
      <c r="N354" s="12">
        <f>IFERROR($J354/100*INDEX(Продукты!$J$6:$J$66,MATCH($E354,Продукты!$A$6:$A$66,0)),0)</f>
        <v>0</v>
      </c>
      <c r="O354" s="3" t="str">
        <f>IFERROR(IF(IFERROR(INDEX(Рецепты!$H$6:$H$85,MATCH(Меню!$D$19,Рецепты!$H$6:$H$85,0)+23)=Меню!$D$19,FALSE),INDEX(Рецепты!$N$6:$N$85,MATCH(Меню!$D$19,Рецепты!$H$6:$H$85,0)+23),""),"")</f>
        <v/>
      </c>
    </row>
    <row r="355" spans="1:15">
      <c r="A355" s="3" t="str">
        <f>IF($E355="","",Меню!$A$19)</f>
        <v/>
      </c>
      <c r="B355" s="3" t="str">
        <f>IF($E355="","",Меню!$B$19)</f>
        <v/>
      </c>
      <c r="C355" s="3" t="str">
        <f>IF($E355="","",Меню!$C$19)</f>
        <v/>
      </c>
      <c r="D355" s="3" t="str">
        <f>IF($E355="","",Меню!$D$19)</f>
        <v/>
      </c>
      <c r="E355" s="3" t="str">
        <f>IFERROR(IF(IFERROR(INDEX(Рецепты!$H$6:$H$85,MATCH(Меню!$D$19,Рецепты!$H$6:$H$85,0)+24)=Меню!$D$19,FALSE),INDEX(Рецепты!$J$6:$J$85,MATCH(Меню!$D$19,Рецепты!$H$6:$H$85,0)+24),""),"")</f>
        <v/>
      </c>
      <c r="F355" s="3" t="str">
        <f>IF($E355="","",INDEX(Рецепты!$K$6:$K$85,MATCH(Меню!$D$19,Рецепты!$H$6:$H$85,0)+24))</f>
        <v/>
      </c>
      <c r="G355" s="3" t="str">
        <f>IF($E355="","",INDEX(Рецепты!$M$6:$M$85,MATCH(Меню!$D$19,Рецепты!$H$6:$H$85,0)+24))</f>
        <v/>
      </c>
      <c r="H355" s="12">
        <f>IFERROR(IF(IFERROR(INDEX(Рецепты!$H$6:$H$85,MATCH(Меню!$D$19,Рецепты!$H$6:$H$85,0)+24)=Меню!$D$19,FALSE),INDEX(Рецепты!$L$6:$L$85,MATCH(Меню!$D$19,Рецепты!$H$6:$H$85,0)+24),0),0)</f>
        <v>0</v>
      </c>
      <c r="I355" s="12" t="str">
        <f>IF($F355="","",Меню!$E$19)</f>
        <v/>
      </c>
      <c r="J355" s="12">
        <f t="shared" si="5"/>
        <v>0</v>
      </c>
      <c r="K355" s="12">
        <f>IFERROR($J355/100*INDEX(Продукты!$G$6:$G$66,MATCH($E355,Продукты!$A$6:$A$66,0)),0)</f>
        <v>0</v>
      </c>
      <c r="L355" s="12">
        <f>IFERROR($J355/100*INDEX(Продукты!$H$6:$H$66,MATCH($E355,Продукты!$A$6:$A$66,0)),0)</f>
        <v>0</v>
      </c>
      <c r="M355" s="12">
        <f>IFERROR($J355/100*INDEX(Продукты!$I$6:$I$66,MATCH($E355,Продукты!$A$6:$A$66,0)),0)</f>
        <v>0</v>
      </c>
      <c r="N355" s="12">
        <f>IFERROR($J355/100*INDEX(Продукты!$J$6:$J$66,MATCH($E355,Продукты!$A$6:$A$66,0)),0)</f>
        <v>0</v>
      </c>
      <c r="O355" s="3" t="str">
        <f>IFERROR(IF(IFERROR(INDEX(Рецепты!$H$6:$H$85,MATCH(Меню!$D$19,Рецепты!$H$6:$H$85,0)+24)=Меню!$D$19,FALSE),INDEX(Рецепты!$N$6:$N$85,MATCH(Меню!$D$19,Рецепты!$H$6:$H$85,0)+24),""),"")</f>
        <v/>
      </c>
    </row>
    <row r="356" spans="1:15">
      <c r="A356" s="3" t="str">
        <f>IF($E356="","",Меню!$A$20)</f>
        <v/>
      </c>
      <c r="B356" s="3" t="str">
        <f>IF($E356="","",Меню!$B$20)</f>
        <v/>
      </c>
      <c r="C356" s="3" t="str">
        <f>IF($E356="","",Меню!$C$20)</f>
        <v/>
      </c>
      <c r="D356" s="3" t="str">
        <f>IF($E356="","",Меню!$D$20)</f>
        <v/>
      </c>
      <c r="E356" s="3" t="str">
        <f>IFERROR(IF(IFERROR(INDEX(Рецепты!$H$6:$H$85,MATCH(Меню!$D$20,Рецепты!$H$6:$H$85,0)+0)=Меню!$D$20,FALSE),INDEX(Рецепты!$J$6:$J$85,MATCH(Меню!$D$20,Рецепты!$H$6:$H$85,0)+0),""),"")</f>
        <v/>
      </c>
      <c r="F356" s="3" t="str">
        <f>IF($E356="","",INDEX(Рецепты!$K$6:$K$85,MATCH(Меню!$D$20,Рецепты!$H$6:$H$85,0)+0))</f>
        <v/>
      </c>
      <c r="G356" s="3" t="str">
        <f>IF($E356="","",INDEX(Рецепты!$M$6:$M$85,MATCH(Меню!$D$20,Рецепты!$H$6:$H$85,0)+0))</f>
        <v/>
      </c>
      <c r="H356" s="12">
        <f>IFERROR(IF(IFERROR(INDEX(Рецепты!$H$6:$H$85,MATCH(Меню!$D$20,Рецепты!$H$6:$H$85,0)+0)=Меню!$D$20,FALSE),INDEX(Рецепты!$L$6:$L$85,MATCH(Меню!$D$20,Рецепты!$H$6:$H$85,0)+0),0),0)</f>
        <v>0</v>
      </c>
      <c r="I356" s="12" t="str">
        <f>IF($F356="","",Меню!$E$20)</f>
        <v/>
      </c>
      <c r="J356" s="12">
        <f t="shared" si="5"/>
        <v>0</v>
      </c>
      <c r="K356" s="12">
        <f>IFERROR($J356/100*INDEX(Продукты!$G$6:$G$66,MATCH($E356,Продукты!$A$6:$A$66,0)),0)</f>
        <v>0</v>
      </c>
      <c r="L356" s="12">
        <f>IFERROR($J356/100*INDEX(Продукты!$H$6:$H$66,MATCH($E356,Продукты!$A$6:$A$66,0)),0)</f>
        <v>0</v>
      </c>
      <c r="M356" s="12">
        <f>IFERROR($J356/100*INDEX(Продукты!$I$6:$I$66,MATCH($E356,Продукты!$A$6:$A$66,0)),0)</f>
        <v>0</v>
      </c>
      <c r="N356" s="12">
        <f>IFERROR($J356/100*INDEX(Продукты!$J$6:$J$66,MATCH($E356,Продукты!$A$6:$A$66,0)),0)</f>
        <v>0</v>
      </c>
      <c r="O356" s="3" t="str">
        <f>IFERROR(IF(IFERROR(INDEX(Рецепты!$H$6:$H$85,MATCH(Меню!$D$20,Рецепты!$H$6:$H$85,0)+0)=Меню!$D$20,FALSE),INDEX(Рецепты!$N$6:$N$85,MATCH(Меню!$D$20,Рецепты!$H$6:$H$85,0)+0),""),"")</f>
        <v/>
      </c>
    </row>
    <row r="357" spans="1:15">
      <c r="A357" s="3" t="str">
        <f>IF($E357="","",Меню!$A$20)</f>
        <v/>
      </c>
      <c r="B357" s="3" t="str">
        <f>IF($E357="","",Меню!$B$20)</f>
        <v/>
      </c>
      <c r="C357" s="3" t="str">
        <f>IF($E357="","",Меню!$C$20)</f>
        <v/>
      </c>
      <c r="D357" s="3" t="str">
        <f>IF($E357="","",Меню!$D$20)</f>
        <v/>
      </c>
      <c r="E357" s="3" t="str">
        <f>IFERROR(IF(IFERROR(INDEX(Рецепты!$H$6:$H$85,MATCH(Меню!$D$20,Рецепты!$H$6:$H$85,0)+1)=Меню!$D$20,FALSE),INDEX(Рецепты!$J$6:$J$85,MATCH(Меню!$D$20,Рецепты!$H$6:$H$85,0)+1),""),"")</f>
        <v/>
      </c>
      <c r="F357" s="3" t="str">
        <f>IF($E357="","",INDEX(Рецепты!$K$6:$K$85,MATCH(Меню!$D$20,Рецепты!$H$6:$H$85,0)+1))</f>
        <v/>
      </c>
      <c r="G357" s="3" t="str">
        <f>IF($E357="","",INDEX(Рецепты!$M$6:$M$85,MATCH(Меню!$D$20,Рецепты!$H$6:$H$85,0)+1))</f>
        <v/>
      </c>
      <c r="H357" s="12">
        <f>IFERROR(IF(IFERROR(INDEX(Рецепты!$H$6:$H$85,MATCH(Меню!$D$20,Рецепты!$H$6:$H$85,0)+1)=Меню!$D$20,FALSE),INDEX(Рецепты!$L$6:$L$85,MATCH(Меню!$D$20,Рецепты!$H$6:$H$85,0)+1),0),0)</f>
        <v>0</v>
      </c>
      <c r="I357" s="12" t="str">
        <f>IF($F357="","",Меню!$E$20)</f>
        <v/>
      </c>
      <c r="J357" s="12">
        <f t="shared" si="5"/>
        <v>0</v>
      </c>
      <c r="K357" s="12">
        <f>IFERROR($J357/100*INDEX(Продукты!$G$6:$G$66,MATCH($E357,Продукты!$A$6:$A$66,0)),0)</f>
        <v>0</v>
      </c>
      <c r="L357" s="12">
        <f>IFERROR($J357/100*INDEX(Продукты!$H$6:$H$66,MATCH($E357,Продукты!$A$6:$A$66,0)),0)</f>
        <v>0</v>
      </c>
      <c r="M357" s="12">
        <f>IFERROR($J357/100*INDEX(Продукты!$I$6:$I$66,MATCH($E357,Продукты!$A$6:$A$66,0)),0)</f>
        <v>0</v>
      </c>
      <c r="N357" s="12">
        <f>IFERROR($J357/100*INDEX(Продукты!$J$6:$J$66,MATCH($E357,Продукты!$A$6:$A$66,0)),0)</f>
        <v>0</v>
      </c>
      <c r="O357" s="3" t="str">
        <f>IFERROR(IF(IFERROR(INDEX(Рецепты!$H$6:$H$85,MATCH(Меню!$D$20,Рецепты!$H$6:$H$85,0)+1)=Меню!$D$20,FALSE),INDEX(Рецепты!$N$6:$N$85,MATCH(Меню!$D$20,Рецепты!$H$6:$H$85,0)+1),""),"")</f>
        <v/>
      </c>
    </row>
    <row r="358" spans="1:15">
      <c r="A358" s="3" t="str">
        <f>IF($E358="","",Меню!$A$20)</f>
        <v/>
      </c>
      <c r="B358" s="3" t="str">
        <f>IF($E358="","",Меню!$B$20)</f>
        <v/>
      </c>
      <c r="C358" s="3" t="str">
        <f>IF($E358="","",Меню!$C$20)</f>
        <v/>
      </c>
      <c r="D358" s="3" t="str">
        <f>IF($E358="","",Меню!$D$20)</f>
        <v/>
      </c>
      <c r="E358" s="3" t="str">
        <f>IFERROR(IF(IFERROR(INDEX(Рецепты!$H$6:$H$85,MATCH(Меню!$D$20,Рецепты!$H$6:$H$85,0)+2)=Меню!$D$20,FALSE),INDEX(Рецепты!$J$6:$J$85,MATCH(Меню!$D$20,Рецепты!$H$6:$H$85,0)+2),""),"")</f>
        <v/>
      </c>
      <c r="F358" s="3" t="str">
        <f>IF($E358="","",INDEX(Рецепты!$K$6:$K$85,MATCH(Меню!$D$20,Рецепты!$H$6:$H$85,0)+2))</f>
        <v/>
      </c>
      <c r="G358" s="3" t="str">
        <f>IF($E358="","",INDEX(Рецепты!$M$6:$M$85,MATCH(Меню!$D$20,Рецепты!$H$6:$H$85,0)+2))</f>
        <v/>
      </c>
      <c r="H358" s="12">
        <f>IFERROR(IF(IFERROR(INDEX(Рецепты!$H$6:$H$85,MATCH(Меню!$D$20,Рецепты!$H$6:$H$85,0)+2)=Меню!$D$20,FALSE),INDEX(Рецепты!$L$6:$L$85,MATCH(Меню!$D$20,Рецепты!$H$6:$H$85,0)+2),0),0)</f>
        <v>0</v>
      </c>
      <c r="I358" s="12" t="str">
        <f>IF($F358="","",Меню!$E$20)</f>
        <v/>
      </c>
      <c r="J358" s="12">
        <f t="shared" si="5"/>
        <v>0</v>
      </c>
      <c r="K358" s="12">
        <f>IFERROR($J358/100*INDEX(Продукты!$G$6:$G$66,MATCH($E358,Продукты!$A$6:$A$66,0)),0)</f>
        <v>0</v>
      </c>
      <c r="L358" s="12">
        <f>IFERROR($J358/100*INDEX(Продукты!$H$6:$H$66,MATCH($E358,Продукты!$A$6:$A$66,0)),0)</f>
        <v>0</v>
      </c>
      <c r="M358" s="12">
        <f>IFERROR($J358/100*INDEX(Продукты!$I$6:$I$66,MATCH($E358,Продукты!$A$6:$A$66,0)),0)</f>
        <v>0</v>
      </c>
      <c r="N358" s="12">
        <f>IFERROR($J358/100*INDEX(Продукты!$J$6:$J$66,MATCH($E358,Продукты!$A$6:$A$66,0)),0)</f>
        <v>0</v>
      </c>
      <c r="O358" s="3" t="str">
        <f>IFERROR(IF(IFERROR(INDEX(Рецепты!$H$6:$H$85,MATCH(Меню!$D$20,Рецепты!$H$6:$H$85,0)+2)=Меню!$D$20,FALSE),INDEX(Рецепты!$N$6:$N$85,MATCH(Меню!$D$20,Рецепты!$H$6:$H$85,0)+2),""),"")</f>
        <v/>
      </c>
    </row>
    <row r="359" spans="1:15">
      <c r="A359" s="3" t="str">
        <f>IF($E359="","",Меню!$A$20)</f>
        <v/>
      </c>
      <c r="B359" s="3" t="str">
        <f>IF($E359="","",Меню!$B$20)</f>
        <v/>
      </c>
      <c r="C359" s="3" t="str">
        <f>IF($E359="","",Меню!$C$20)</f>
        <v/>
      </c>
      <c r="D359" s="3" t="str">
        <f>IF($E359="","",Меню!$D$20)</f>
        <v/>
      </c>
      <c r="E359" s="3" t="str">
        <f>IFERROR(IF(IFERROR(INDEX(Рецепты!$H$6:$H$85,MATCH(Меню!$D$20,Рецепты!$H$6:$H$85,0)+3)=Меню!$D$20,FALSE),INDEX(Рецепты!$J$6:$J$85,MATCH(Меню!$D$20,Рецепты!$H$6:$H$85,0)+3),""),"")</f>
        <v/>
      </c>
      <c r="F359" s="3" t="str">
        <f>IF($E359="","",INDEX(Рецепты!$K$6:$K$85,MATCH(Меню!$D$20,Рецепты!$H$6:$H$85,0)+3))</f>
        <v/>
      </c>
      <c r="G359" s="3" t="str">
        <f>IF($E359="","",INDEX(Рецепты!$M$6:$M$85,MATCH(Меню!$D$20,Рецепты!$H$6:$H$85,0)+3))</f>
        <v/>
      </c>
      <c r="H359" s="12">
        <f>IFERROR(IF(IFERROR(INDEX(Рецепты!$H$6:$H$85,MATCH(Меню!$D$20,Рецепты!$H$6:$H$85,0)+3)=Меню!$D$20,FALSE),INDEX(Рецепты!$L$6:$L$85,MATCH(Меню!$D$20,Рецепты!$H$6:$H$85,0)+3),0),0)</f>
        <v>0</v>
      </c>
      <c r="I359" s="12" t="str">
        <f>IF($F359="","",Меню!$E$20)</f>
        <v/>
      </c>
      <c r="J359" s="12">
        <f t="shared" si="5"/>
        <v>0</v>
      </c>
      <c r="K359" s="12">
        <f>IFERROR($J359/100*INDEX(Продукты!$G$6:$G$66,MATCH($E359,Продукты!$A$6:$A$66,0)),0)</f>
        <v>0</v>
      </c>
      <c r="L359" s="12">
        <f>IFERROR($J359/100*INDEX(Продукты!$H$6:$H$66,MATCH($E359,Продукты!$A$6:$A$66,0)),0)</f>
        <v>0</v>
      </c>
      <c r="M359" s="12">
        <f>IFERROR($J359/100*INDEX(Продукты!$I$6:$I$66,MATCH($E359,Продукты!$A$6:$A$66,0)),0)</f>
        <v>0</v>
      </c>
      <c r="N359" s="12">
        <f>IFERROR($J359/100*INDEX(Продукты!$J$6:$J$66,MATCH($E359,Продукты!$A$6:$A$66,0)),0)</f>
        <v>0</v>
      </c>
      <c r="O359" s="3" t="str">
        <f>IFERROR(IF(IFERROR(INDEX(Рецепты!$H$6:$H$85,MATCH(Меню!$D$20,Рецепты!$H$6:$H$85,0)+3)=Меню!$D$20,FALSE),INDEX(Рецепты!$N$6:$N$85,MATCH(Меню!$D$20,Рецепты!$H$6:$H$85,0)+3),""),"")</f>
        <v/>
      </c>
    </row>
    <row r="360" spans="1:15">
      <c r="A360" s="3" t="str">
        <f>IF($E360="","",Меню!$A$20)</f>
        <v/>
      </c>
      <c r="B360" s="3" t="str">
        <f>IF($E360="","",Меню!$B$20)</f>
        <v/>
      </c>
      <c r="C360" s="3" t="str">
        <f>IF($E360="","",Меню!$C$20)</f>
        <v/>
      </c>
      <c r="D360" s="3" t="str">
        <f>IF($E360="","",Меню!$D$20)</f>
        <v/>
      </c>
      <c r="E360" s="3" t="str">
        <f>IFERROR(IF(IFERROR(INDEX(Рецепты!$H$6:$H$85,MATCH(Меню!$D$20,Рецепты!$H$6:$H$85,0)+4)=Меню!$D$20,FALSE),INDEX(Рецепты!$J$6:$J$85,MATCH(Меню!$D$20,Рецепты!$H$6:$H$85,0)+4),""),"")</f>
        <v/>
      </c>
      <c r="F360" s="3" t="str">
        <f>IF($E360="","",INDEX(Рецепты!$K$6:$K$85,MATCH(Меню!$D$20,Рецепты!$H$6:$H$85,0)+4))</f>
        <v/>
      </c>
      <c r="G360" s="3" t="str">
        <f>IF($E360="","",INDEX(Рецепты!$M$6:$M$85,MATCH(Меню!$D$20,Рецепты!$H$6:$H$85,0)+4))</f>
        <v/>
      </c>
      <c r="H360" s="12">
        <f>IFERROR(IF(IFERROR(INDEX(Рецепты!$H$6:$H$85,MATCH(Меню!$D$20,Рецепты!$H$6:$H$85,0)+4)=Меню!$D$20,FALSE),INDEX(Рецепты!$L$6:$L$85,MATCH(Меню!$D$20,Рецепты!$H$6:$H$85,0)+4),0),0)</f>
        <v>0</v>
      </c>
      <c r="I360" s="12" t="str">
        <f>IF($F360="","",Меню!$E$20)</f>
        <v/>
      </c>
      <c r="J360" s="12">
        <f t="shared" si="5"/>
        <v>0</v>
      </c>
      <c r="K360" s="12">
        <f>IFERROR($J360/100*INDEX(Продукты!$G$6:$G$66,MATCH($E360,Продукты!$A$6:$A$66,0)),0)</f>
        <v>0</v>
      </c>
      <c r="L360" s="12">
        <f>IFERROR($J360/100*INDEX(Продукты!$H$6:$H$66,MATCH($E360,Продукты!$A$6:$A$66,0)),0)</f>
        <v>0</v>
      </c>
      <c r="M360" s="12">
        <f>IFERROR($J360/100*INDEX(Продукты!$I$6:$I$66,MATCH($E360,Продукты!$A$6:$A$66,0)),0)</f>
        <v>0</v>
      </c>
      <c r="N360" s="12">
        <f>IFERROR($J360/100*INDEX(Продукты!$J$6:$J$66,MATCH($E360,Продукты!$A$6:$A$66,0)),0)</f>
        <v>0</v>
      </c>
      <c r="O360" s="3" t="str">
        <f>IFERROR(IF(IFERROR(INDEX(Рецепты!$H$6:$H$85,MATCH(Меню!$D$20,Рецепты!$H$6:$H$85,0)+4)=Меню!$D$20,FALSE),INDEX(Рецепты!$N$6:$N$85,MATCH(Меню!$D$20,Рецепты!$H$6:$H$85,0)+4),""),"")</f>
        <v/>
      </c>
    </row>
    <row r="361" spans="1:15">
      <c r="A361" s="3" t="str">
        <f>IF($E361="","",Меню!$A$20)</f>
        <v/>
      </c>
      <c r="B361" s="3" t="str">
        <f>IF($E361="","",Меню!$B$20)</f>
        <v/>
      </c>
      <c r="C361" s="3" t="str">
        <f>IF($E361="","",Меню!$C$20)</f>
        <v/>
      </c>
      <c r="D361" s="3" t="str">
        <f>IF($E361="","",Меню!$D$20)</f>
        <v/>
      </c>
      <c r="E361" s="3" t="str">
        <f>IFERROR(IF(IFERROR(INDEX(Рецепты!$H$6:$H$85,MATCH(Меню!$D$20,Рецепты!$H$6:$H$85,0)+5)=Меню!$D$20,FALSE),INDEX(Рецепты!$J$6:$J$85,MATCH(Меню!$D$20,Рецепты!$H$6:$H$85,0)+5),""),"")</f>
        <v/>
      </c>
      <c r="F361" s="3" t="str">
        <f>IF($E361="","",INDEX(Рецепты!$K$6:$K$85,MATCH(Меню!$D$20,Рецепты!$H$6:$H$85,0)+5))</f>
        <v/>
      </c>
      <c r="G361" s="3" t="str">
        <f>IF($E361="","",INDEX(Рецепты!$M$6:$M$85,MATCH(Меню!$D$20,Рецепты!$H$6:$H$85,0)+5))</f>
        <v/>
      </c>
      <c r="H361" s="12">
        <f>IFERROR(IF(IFERROR(INDEX(Рецепты!$H$6:$H$85,MATCH(Меню!$D$20,Рецепты!$H$6:$H$85,0)+5)=Меню!$D$20,FALSE),INDEX(Рецепты!$L$6:$L$85,MATCH(Меню!$D$20,Рецепты!$H$6:$H$85,0)+5),0),0)</f>
        <v>0</v>
      </c>
      <c r="I361" s="12" t="str">
        <f>IF($F361="","",Меню!$E$20)</f>
        <v/>
      </c>
      <c r="J361" s="12">
        <f t="shared" si="5"/>
        <v>0</v>
      </c>
      <c r="K361" s="12">
        <f>IFERROR($J361/100*INDEX(Продукты!$G$6:$G$66,MATCH($E361,Продукты!$A$6:$A$66,0)),0)</f>
        <v>0</v>
      </c>
      <c r="L361" s="12">
        <f>IFERROR($J361/100*INDEX(Продукты!$H$6:$H$66,MATCH($E361,Продукты!$A$6:$A$66,0)),0)</f>
        <v>0</v>
      </c>
      <c r="M361" s="12">
        <f>IFERROR($J361/100*INDEX(Продукты!$I$6:$I$66,MATCH($E361,Продукты!$A$6:$A$66,0)),0)</f>
        <v>0</v>
      </c>
      <c r="N361" s="12">
        <f>IFERROR($J361/100*INDEX(Продукты!$J$6:$J$66,MATCH($E361,Продукты!$A$6:$A$66,0)),0)</f>
        <v>0</v>
      </c>
      <c r="O361" s="3" t="str">
        <f>IFERROR(IF(IFERROR(INDEX(Рецепты!$H$6:$H$85,MATCH(Меню!$D$20,Рецепты!$H$6:$H$85,0)+5)=Меню!$D$20,FALSE),INDEX(Рецепты!$N$6:$N$85,MATCH(Меню!$D$20,Рецепты!$H$6:$H$85,0)+5),""),"")</f>
        <v/>
      </c>
    </row>
    <row r="362" spans="1:15">
      <c r="A362" s="3" t="str">
        <f>IF($E362="","",Меню!$A$20)</f>
        <v/>
      </c>
      <c r="B362" s="3" t="str">
        <f>IF($E362="","",Меню!$B$20)</f>
        <v/>
      </c>
      <c r="C362" s="3" t="str">
        <f>IF($E362="","",Меню!$C$20)</f>
        <v/>
      </c>
      <c r="D362" s="3" t="str">
        <f>IF($E362="","",Меню!$D$20)</f>
        <v/>
      </c>
      <c r="E362" s="3" t="str">
        <f>IFERROR(IF(IFERROR(INDEX(Рецепты!$H$6:$H$85,MATCH(Меню!$D$20,Рецепты!$H$6:$H$85,0)+6)=Меню!$D$20,FALSE),INDEX(Рецепты!$J$6:$J$85,MATCH(Меню!$D$20,Рецепты!$H$6:$H$85,0)+6),""),"")</f>
        <v/>
      </c>
      <c r="F362" s="3" t="str">
        <f>IF($E362="","",INDEX(Рецепты!$K$6:$K$85,MATCH(Меню!$D$20,Рецепты!$H$6:$H$85,0)+6))</f>
        <v/>
      </c>
      <c r="G362" s="3" t="str">
        <f>IF($E362="","",INDEX(Рецепты!$M$6:$M$85,MATCH(Меню!$D$20,Рецепты!$H$6:$H$85,0)+6))</f>
        <v/>
      </c>
      <c r="H362" s="12">
        <f>IFERROR(IF(IFERROR(INDEX(Рецепты!$H$6:$H$85,MATCH(Меню!$D$20,Рецепты!$H$6:$H$85,0)+6)=Меню!$D$20,FALSE),INDEX(Рецепты!$L$6:$L$85,MATCH(Меню!$D$20,Рецепты!$H$6:$H$85,0)+6),0),0)</f>
        <v>0</v>
      </c>
      <c r="I362" s="12" t="str">
        <f>IF($F362="","",Меню!$E$20)</f>
        <v/>
      </c>
      <c r="J362" s="12">
        <f t="shared" si="5"/>
        <v>0</v>
      </c>
      <c r="K362" s="12">
        <f>IFERROR($J362/100*INDEX(Продукты!$G$6:$G$66,MATCH($E362,Продукты!$A$6:$A$66,0)),0)</f>
        <v>0</v>
      </c>
      <c r="L362" s="12">
        <f>IFERROR($J362/100*INDEX(Продукты!$H$6:$H$66,MATCH($E362,Продукты!$A$6:$A$66,0)),0)</f>
        <v>0</v>
      </c>
      <c r="M362" s="12">
        <f>IFERROR($J362/100*INDEX(Продукты!$I$6:$I$66,MATCH($E362,Продукты!$A$6:$A$66,0)),0)</f>
        <v>0</v>
      </c>
      <c r="N362" s="12">
        <f>IFERROR($J362/100*INDEX(Продукты!$J$6:$J$66,MATCH($E362,Продукты!$A$6:$A$66,0)),0)</f>
        <v>0</v>
      </c>
      <c r="O362" s="3" t="str">
        <f>IFERROR(IF(IFERROR(INDEX(Рецепты!$H$6:$H$85,MATCH(Меню!$D$20,Рецепты!$H$6:$H$85,0)+6)=Меню!$D$20,FALSE),INDEX(Рецепты!$N$6:$N$85,MATCH(Меню!$D$20,Рецепты!$H$6:$H$85,0)+6),""),"")</f>
        <v/>
      </c>
    </row>
    <row r="363" spans="1:15">
      <c r="A363" s="3" t="str">
        <f>IF($E363="","",Меню!$A$20)</f>
        <v/>
      </c>
      <c r="B363" s="3" t="str">
        <f>IF($E363="","",Меню!$B$20)</f>
        <v/>
      </c>
      <c r="C363" s="3" t="str">
        <f>IF($E363="","",Меню!$C$20)</f>
        <v/>
      </c>
      <c r="D363" s="3" t="str">
        <f>IF($E363="","",Меню!$D$20)</f>
        <v/>
      </c>
      <c r="E363" s="3" t="str">
        <f>IFERROR(IF(IFERROR(INDEX(Рецепты!$H$6:$H$85,MATCH(Меню!$D$20,Рецепты!$H$6:$H$85,0)+7)=Меню!$D$20,FALSE),INDEX(Рецепты!$J$6:$J$85,MATCH(Меню!$D$20,Рецепты!$H$6:$H$85,0)+7),""),"")</f>
        <v/>
      </c>
      <c r="F363" s="3" t="str">
        <f>IF($E363="","",INDEX(Рецепты!$K$6:$K$85,MATCH(Меню!$D$20,Рецепты!$H$6:$H$85,0)+7))</f>
        <v/>
      </c>
      <c r="G363" s="3" t="str">
        <f>IF($E363="","",INDEX(Рецепты!$M$6:$M$85,MATCH(Меню!$D$20,Рецепты!$H$6:$H$85,0)+7))</f>
        <v/>
      </c>
      <c r="H363" s="12">
        <f>IFERROR(IF(IFERROR(INDEX(Рецепты!$H$6:$H$85,MATCH(Меню!$D$20,Рецепты!$H$6:$H$85,0)+7)=Меню!$D$20,FALSE),INDEX(Рецепты!$L$6:$L$85,MATCH(Меню!$D$20,Рецепты!$H$6:$H$85,0)+7),0),0)</f>
        <v>0</v>
      </c>
      <c r="I363" s="12" t="str">
        <f>IF($F363="","",Меню!$E$20)</f>
        <v/>
      </c>
      <c r="J363" s="12">
        <f t="shared" si="5"/>
        <v>0</v>
      </c>
      <c r="K363" s="12">
        <f>IFERROR($J363/100*INDEX(Продукты!$G$6:$G$66,MATCH($E363,Продукты!$A$6:$A$66,0)),0)</f>
        <v>0</v>
      </c>
      <c r="L363" s="12">
        <f>IFERROR($J363/100*INDEX(Продукты!$H$6:$H$66,MATCH($E363,Продукты!$A$6:$A$66,0)),0)</f>
        <v>0</v>
      </c>
      <c r="M363" s="12">
        <f>IFERROR($J363/100*INDEX(Продукты!$I$6:$I$66,MATCH($E363,Продукты!$A$6:$A$66,0)),0)</f>
        <v>0</v>
      </c>
      <c r="N363" s="12">
        <f>IFERROR($J363/100*INDEX(Продукты!$J$6:$J$66,MATCH($E363,Продукты!$A$6:$A$66,0)),0)</f>
        <v>0</v>
      </c>
      <c r="O363" s="3" t="str">
        <f>IFERROR(IF(IFERROR(INDEX(Рецепты!$H$6:$H$85,MATCH(Меню!$D$20,Рецепты!$H$6:$H$85,0)+7)=Меню!$D$20,FALSE),INDEX(Рецепты!$N$6:$N$85,MATCH(Меню!$D$20,Рецепты!$H$6:$H$85,0)+7),""),"")</f>
        <v/>
      </c>
    </row>
    <row r="364" spans="1:15">
      <c r="A364" s="3" t="str">
        <f>IF($E364="","",Меню!$A$20)</f>
        <v/>
      </c>
      <c r="B364" s="3" t="str">
        <f>IF($E364="","",Меню!$B$20)</f>
        <v/>
      </c>
      <c r="C364" s="3" t="str">
        <f>IF($E364="","",Меню!$C$20)</f>
        <v/>
      </c>
      <c r="D364" s="3" t="str">
        <f>IF($E364="","",Меню!$D$20)</f>
        <v/>
      </c>
      <c r="E364" s="3" t="str">
        <f>IFERROR(IF(IFERROR(INDEX(Рецепты!$H$6:$H$85,MATCH(Меню!$D$20,Рецепты!$H$6:$H$85,0)+8)=Меню!$D$20,FALSE),INDEX(Рецепты!$J$6:$J$85,MATCH(Меню!$D$20,Рецепты!$H$6:$H$85,0)+8),""),"")</f>
        <v/>
      </c>
      <c r="F364" s="3" t="str">
        <f>IF($E364="","",INDEX(Рецепты!$K$6:$K$85,MATCH(Меню!$D$20,Рецепты!$H$6:$H$85,0)+8))</f>
        <v/>
      </c>
      <c r="G364" s="3" t="str">
        <f>IF($E364="","",INDEX(Рецепты!$M$6:$M$85,MATCH(Меню!$D$20,Рецепты!$H$6:$H$85,0)+8))</f>
        <v/>
      </c>
      <c r="H364" s="12">
        <f>IFERROR(IF(IFERROR(INDEX(Рецепты!$H$6:$H$85,MATCH(Меню!$D$20,Рецепты!$H$6:$H$85,0)+8)=Меню!$D$20,FALSE),INDEX(Рецепты!$L$6:$L$85,MATCH(Меню!$D$20,Рецепты!$H$6:$H$85,0)+8),0),0)</f>
        <v>0</v>
      </c>
      <c r="I364" s="12" t="str">
        <f>IF($F364="","",Меню!$E$20)</f>
        <v/>
      </c>
      <c r="J364" s="12">
        <f t="shared" si="5"/>
        <v>0</v>
      </c>
      <c r="K364" s="12">
        <f>IFERROR($J364/100*INDEX(Продукты!$G$6:$G$66,MATCH($E364,Продукты!$A$6:$A$66,0)),0)</f>
        <v>0</v>
      </c>
      <c r="L364" s="12">
        <f>IFERROR($J364/100*INDEX(Продукты!$H$6:$H$66,MATCH($E364,Продукты!$A$6:$A$66,0)),0)</f>
        <v>0</v>
      </c>
      <c r="M364" s="12">
        <f>IFERROR($J364/100*INDEX(Продукты!$I$6:$I$66,MATCH($E364,Продукты!$A$6:$A$66,0)),0)</f>
        <v>0</v>
      </c>
      <c r="N364" s="12">
        <f>IFERROR($J364/100*INDEX(Продукты!$J$6:$J$66,MATCH($E364,Продукты!$A$6:$A$66,0)),0)</f>
        <v>0</v>
      </c>
      <c r="O364" s="3" t="str">
        <f>IFERROR(IF(IFERROR(INDEX(Рецепты!$H$6:$H$85,MATCH(Меню!$D$20,Рецепты!$H$6:$H$85,0)+8)=Меню!$D$20,FALSE),INDEX(Рецепты!$N$6:$N$85,MATCH(Меню!$D$20,Рецепты!$H$6:$H$85,0)+8),""),"")</f>
        <v/>
      </c>
    </row>
    <row r="365" spans="1:15">
      <c r="A365" s="3" t="str">
        <f>IF($E365="","",Меню!$A$20)</f>
        <v/>
      </c>
      <c r="B365" s="3" t="str">
        <f>IF($E365="","",Меню!$B$20)</f>
        <v/>
      </c>
      <c r="C365" s="3" t="str">
        <f>IF($E365="","",Меню!$C$20)</f>
        <v/>
      </c>
      <c r="D365" s="3" t="str">
        <f>IF($E365="","",Меню!$D$20)</f>
        <v/>
      </c>
      <c r="E365" s="3" t="str">
        <f>IFERROR(IF(IFERROR(INDEX(Рецепты!$H$6:$H$85,MATCH(Меню!$D$20,Рецепты!$H$6:$H$85,0)+9)=Меню!$D$20,FALSE),INDEX(Рецепты!$J$6:$J$85,MATCH(Меню!$D$20,Рецепты!$H$6:$H$85,0)+9),""),"")</f>
        <v/>
      </c>
      <c r="F365" s="3" t="str">
        <f>IF($E365="","",INDEX(Рецепты!$K$6:$K$85,MATCH(Меню!$D$20,Рецепты!$H$6:$H$85,0)+9))</f>
        <v/>
      </c>
      <c r="G365" s="3" t="str">
        <f>IF($E365="","",INDEX(Рецепты!$M$6:$M$85,MATCH(Меню!$D$20,Рецепты!$H$6:$H$85,0)+9))</f>
        <v/>
      </c>
      <c r="H365" s="12">
        <f>IFERROR(IF(IFERROR(INDEX(Рецепты!$H$6:$H$85,MATCH(Меню!$D$20,Рецепты!$H$6:$H$85,0)+9)=Меню!$D$20,FALSE),INDEX(Рецепты!$L$6:$L$85,MATCH(Меню!$D$20,Рецепты!$H$6:$H$85,0)+9),0),0)</f>
        <v>0</v>
      </c>
      <c r="I365" s="12" t="str">
        <f>IF($F365="","",Меню!$E$20)</f>
        <v/>
      </c>
      <c r="J365" s="12">
        <f t="shared" si="5"/>
        <v>0</v>
      </c>
      <c r="K365" s="12">
        <f>IFERROR($J365/100*INDEX(Продукты!$G$6:$G$66,MATCH($E365,Продукты!$A$6:$A$66,0)),0)</f>
        <v>0</v>
      </c>
      <c r="L365" s="12">
        <f>IFERROR($J365/100*INDEX(Продукты!$H$6:$H$66,MATCH($E365,Продукты!$A$6:$A$66,0)),0)</f>
        <v>0</v>
      </c>
      <c r="M365" s="12">
        <f>IFERROR($J365/100*INDEX(Продукты!$I$6:$I$66,MATCH($E365,Продукты!$A$6:$A$66,0)),0)</f>
        <v>0</v>
      </c>
      <c r="N365" s="12">
        <f>IFERROR($J365/100*INDEX(Продукты!$J$6:$J$66,MATCH($E365,Продукты!$A$6:$A$66,0)),0)</f>
        <v>0</v>
      </c>
      <c r="O365" s="3" t="str">
        <f>IFERROR(IF(IFERROR(INDEX(Рецепты!$H$6:$H$85,MATCH(Меню!$D$20,Рецепты!$H$6:$H$85,0)+9)=Меню!$D$20,FALSE),INDEX(Рецепты!$N$6:$N$85,MATCH(Меню!$D$20,Рецепты!$H$6:$H$85,0)+9),""),"")</f>
        <v/>
      </c>
    </row>
    <row r="366" spans="1:15">
      <c r="A366" s="3" t="str">
        <f>IF($E366="","",Меню!$A$20)</f>
        <v/>
      </c>
      <c r="B366" s="3" t="str">
        <f>IF($E366="","",Меню!$B$20)</f>
        <v/>
      </c>
      <c r="C366" s="3" t="str">
        <f>IF($E366="","",Меню!$C$20)</f>
        <v/>
      </c>
      <c r="D366" s="3" t="str">
        <f>IF($E366="","",Меню!$D$20)</f>
        <v/>
      </c>
      <c r="E366" s="3" t="str">
        <f>IFERROR(IF(IFERROR(INDEX(Рецепты!$H$6:$H$85,MATCH(Меню!$D$20,Рецепты!$H$6:$H$85,0)+10)=Меню!$D$20,FALSE),INDEX(Рецепты!$J$6:$J$85,MATCH(Меню!$D$20,Рецепты!$H$6:$H$85,0)+10),""),"")</f>
        <v/>
      </c>
      <c r="F366" s="3" t="str">
        <f>IF($E366="","",INDEX(Рецепты!$K$6:$K$85,MATCH(Меню!$D$20,Рецепты!$H$6:$H$85,0)+10))</f>
        <v/>
      </c>
      <c r="G366" s="3" t="str">
        <f>IF($E366="","",INDEX(Рецепты!$M$6:$M$85,MATCH(Меню!$D$20,Рецепты!$H$6:$H$85,0)+10))</f>
        <v/>
      </c>
      <c r="H366" s="12">
        <f>IFERROR(IF(IFERROR(INDEX(Рецепты!$H$6:$H$85,MATCH(Меню!$D$20,Рецепты!$H$6:$H$85,0)+10)=Меню!$D$20,FALSE),INDEX(Рецепты!$L$6:$L$85,MATCH(Меню!$D$20,Рецепты!$H$6:$H$85,0)+10),0),0)</f>
        <v>0</v>
      </c>
      <c r="I366" s="12" t="str">
        <f>IF($F366="","",Меню!$E$20)</f>
        <v/>
      </c>
      <c r="J366" s="12">
        <f t="shared" si="5"/>
        <v>0</v>
      </c>
      <c r="K366" s="12">
        <f>IFERROR($J366/100*INDEX(Продукты!$G$6:$G$66,MATCH($E366,Продукты!$A$6:$A$66,0)),0)</f>
        <v>0</v>
      </c>
      <c r="L366" s="12">
        <f>IFERROR($J366/100*INDEX(Продукты!$H$6:$H$66,MATCH($E366,Продукты!$A$6:$A$66,0)),0)</f>
        <v>0</v>
      </c>
      <c r="M366" s="12">
        <f>IFERROR($J366/100*INDEX(Продукты!$I$6:$I$66,MATCH($E366,Продукты!$A$6:$A$66,0)),0)</f>
        <v>0</v>
      </c>
      <c r="N366" s="12">
        <f>IFERROR($J366/100*INDEX(Продукты!$J$6:$J$66,MATCH($E366,Продукты!$A$6:$A$66,0)),0)</f>
        <v>0</v>
      </c>
      <c r="O366" s="3" t="str">
        <f>IFERROR(IF(IFERROR(INDEX(Рецепты!$H$6:$H$85,MATCH(Меню!$D$20,Рецепты!$H$6:$H$85,0)+10)=Меню!$D$20,FALSE),INDEX(Рецепты!$N$6:$N$85,MATCH(Меню!$D$20,Рецепты!$H$6:$H$85,0)+10),""),"")</f>
        <v/>
      </c>
    </row>
    <row r="367" spans="1:15">
      <c r="A367" s="3" t="str">
        <f>IF($E367="","",Меню!$A$20)</f>
        <v/>
      </c>
      <c r="B367" s="3" t="str">
        <f>IF($E367="","",Меню!$B$20)</f>
        <v/>
      </c>
      <c r="C367" s="3" t="str">
        <f>IF($E367="","",Меню!$C$20)</f>
        <v/>
      </c>
      <c r="D367" s="3" t="str">
        <f>IF($E367="","",Меню!$D$20)</f>
        <v/>
      </c>
      <c r="E367" s="3" t="str">
        <f>IFERROR(IF(IFERROR(INDEX(Рецепты!$H$6:$H$85,MATCH(Меню!$D$20,Рецепты!$H$6:$H$85,0)+11)=Меню!$D$20,FALSE),INDEX(Рецепты!$J$6:$J$85,MATCH(Меню!$D$20,Рецепты!$H$6:$H$85,0)+11),""),"")</f>
        <v/>
      </c>
      <c r="F367" s="3" t="str">
        <f>IF($E367="","",INDEX(Рецепты!$K$6:$K$85,MATCH(Меню!$D$20,Рецепты!$H$6:$H$85,0)+11))</f>
        <v/>
      </c>
      <c r="G367" s="3" t="str">
        <f>IF($E367="","",INDEX(Рецепты!$M$6:$M$85,MATCH(Меню!$D$20,Рецепты!$H$6:$H$85,0)+11))</f>
        <v/>
      </c>
      <c r="H367" s="12">
        <f>IFERROR(IF(IFERROR(INDEX(Рецепты!$H$6:$H$85,MATCH(Меню!$D$20,Рецепты!$H$6:$H$85,0)+11)=Меню!$D$20,FALSE),INDEX(Рецепты!$L$6:$L$85,MATCH(Меню!$D$20,Рецепты!$H$6:$H$85,0)+11),0),0)</f>
        <v>0</v>
      </c>
      <c r="I367" s="12" t="str">
        <f>IF($F367="","",Меню!$E$20)</f>
        <v/>
      </c>
      <c r="J367" s="12">
        <f t="shared" si="5"/>
        <v>0</v>
      </c>
      <c r="K367" s="12">
        <f>IFERROR($J367/100*INDEX(Продукты!$G$6:$G$66,MATCH($E367,Продукты!$A$6:$A$66,0)),0)</f>
        <v>0</v>
      </c>
      <c r="L367" s="12">
        <f>IFERROR($J367/100*INDEX(Продукты!$H$6:$H$66,MATCH($E367,Продукты!$A$6:$A$66,0)),0)</f>
        <v>0</v>
      </c>
      <c r="M367" s="12">
        <f>IFERROR($J367/100*INDEX(Продукты!$I$6:$I$66,MATCH($E367,Продукты!$A$6:$A$66,0)),0)</f>
        <v>0</v>
      </c>
      <c r="N367" s="12">
        <f>IFERROR($J367/100*INDEX(Продукты!$J$6:$J$66,MATCH($E367,Продукты!$A$6:$A$66,0)),0)</f>
        <v>0</v>
      </c>
      <c r="O367" s="3" t="str">
        <f>IFERROR(IF(IFERROR(INDEX(Рецепты!$H$6:$H$85,MATCH(Меню!$D$20,Рецепты!$H$6:$H$85,0)+11)=Меню!$D$20,FALSE),INDEX(Рецепты!$N$6:$N$85,MATCH(Меню!$D$20,Рецепты!$H$6:$H$85,0)+11),""),"")</f>
        <v/>
      </c>
    </row>
    <row r="368" spans="1:15">
      <c r="A368" s="3" t="str">
        <f>IF($E368="","",Меню!$A$20)</f>
        <v/>
      </c>
      <c r="B368" s="3" t="str">
        <f>IF($E368="","",Меню!$B$20)</f>
        <v/>
      </c>
      <c r="C368" s="3" t="str">
        <f>IF($E368="","",Меню!$C$20)</f>
        <v/>
      </c>
      <c r="D368" s="3" t="str">
        <f>IF($E368="","",Меню!$D$20)</f>
        <v/>
      </c>
      <c r="E368" s="3" t="str">
        <f>IFERROR(IF(IFERROR(INDEX(Рецепты!$H$6:$H$85,MATCH(Меню!$D$20,Рецепты!$H$6:$H$85,0)+12)=Меню!$D$20,FALSE),INDEX(Рецепты!$J$6:$J$85,MATCH(Меню!$D$20,Рецепты!$H$6:$H$85,0)+12),""),"")</f>
        <v/>
      </c>
      <c r="F368" s="3" t="str">
        <f>IF($E368="","",INDEX(Рецепты!$K$6:$K$85,MATCH(Меню!$D$20,Рецепты!$H$6:$H$85,0)+12))</f>
        <v/>
      </c>
      <c r="G368" s="3" t="str">
        <f>IF($E368="","",INDEX(Рецепты!$M$6:$M$85,MATCH(Меню!$D$20,Рецепты!$H$6:$H$85,0)+12))</f>
        <v/>
      </c>
      <c r="H368" s="12">
        <f>IFERROR(IF(IFERROR(INDEX(Рецепты!$H$6:$H$85,MATCH(Меню!$D$20,Рецепты!$H$6:$H$85,0)+12)=Меню!$D$20,FALSE),INDEX(Рецепты!$L$6:$L$85,MATCH(Меню!$D$20,Рецепты!$H$6:$H$85,0)+12),0),0)</f>
        <v>0</v>
      </c>
      <c r="I368" s="12" t="str">
        <f>IF($F368="","",Меню!$E$20)</f>
        <v/>
      </c>
      <c r="J368" s="12">
        <f t="shared" si="5"/>
        <v>0</v>
      </c>
      <c r="K368" s="12">
        <f>IFERROR($J368/100*INDEX(Продукты!$G$6:$G$66,MATCH($E368,Продукты!$A$6:$A$66,0)),0)</f>
        <v>0</v>
      </c>
      <c r="L368" s="12">
        <f>IFERROR($J368/100*INDEX(Продукты!$H$6:$H$66,MATCH($E368,Продукты!$A$6:$A$66,0)),0)</f>
        <v>0</v>
      </c>
      <c r="M368" s="12">
        <f>IFERROR($J368/100*INDEX(Продукты!$I$6:$I$66,MATCH($E368,Продукты!$A$6:$A$66,0)),0)</f>
        <v>0</v>
      </c>
      <c r="N368" s="12">
        <f>IFERROR($J368/100*INDEX(Продукты!$J$6:$J$66,MATCH($E368,Продукты!$A$6:$A$66,0)),0)</f>
        <v>0</v>
      </c>
      <c r="O368" s="3" t="str">
        <f>IFERROR(IF(IFERROR(INDEX(Рецепты!$H$6:$H$85,MATCH(Меню!$D$20,Рецепты!$H$6:$H$85,0)+12)=Меню!$D$20,FALSE),INDEX(Рецепты!$N$6:$N$85,MATCH(Меню!$D$20,Рецепты!$H$6:$H$85,0)+12),""),"")</f>
        <v/>
      </c>
    </row>
    <row r="369" spans="1:15">
      <c r="A369" s="3" t="str">
        <f>IF($E369="","",Меню!$A$20)</f>
        <v/>
      </c>
      <c r="B369" s="3" t="str">
        <f>IF($E369="","",Меню!$B$20)</f>
        <v/>
      </c>
      <c r="C369" s="3" t="str">
        <f>IF($E369="","",Меню!$C$20)</f>
        <v/>
      </c>
      <c r="D369" s="3" t="str">
        <f>IF($E369="","",Меню!$D$20)</f>
        <v/>
      </c>
      <c r="E369" s="3" t="str">
        <f>IFERROR(IF(IFERROR(INDEX(Рецепты!$H$6:$H$85,MATCH(Меню!$D$20,Рецепты!$H$6:$H$85,0)+13)=Меню!$D$20,FALSE),INDEX(Рецепты!$J$6:$J$85,MATCH(Меню!$D$20,Рецепты!$H$6:$H$85,0)+13),""),"")</f>
        <v/>
      </c>
      <c r="F369" s="3" t="str">
        <f>IF($E369="","",INDEX(Рецепты!$K$6:$K$85,MATCH(Меню!$D$20,Рецепты!$H$6:$H$85,0)+13))</f>
        <v/>
      </c>
      <c r="G369" s="3" t="str">
        <f>IF($E369="","",INDEX(Рецепты!$M$6:$M$85,MATCH(Меню!$D$20,Рецепты!$H$6:$H$85,0)+13))</f>
        <v/>
      </c>
      <c r="H369" s="12">
        <f>IFERROR(IF(IFERROR(INDEX(Рецепты!$H$6:$H$85,MATCH(Меню!$D$20,Рецепты!$H$6:$H$85,0)+13)=Меню!$D$20,FALSE),INDEX(Рецепты!$L$6:$L$85,MATCH(Меню!$D$20,Рецепты!$H$6:$H$85,0)+13),0),0)</f>
        <v>0</v>
      </c>
      <c r="I369" s="12" t="str">
        <f>IF($F369="","",Меню!$E$20)</f>
        <v/>
      </c>
      <c r="J369" s="12">
        <f t="shared" si="5"/>
        <v>0</v>
      </c>
      <c r="K369" s="12">
        <f>IFERROR($J369/100*INDEX(Продукты!$G$6:$G$66,MATCH($E369,Продукты!$A$6:$A$66,0)),0)</f>
        <v>0</v>
      </c>
      <c r="L369" s="12">
        <f>IFERROR($J369/100*INDEX(Продукты!$H$6:$H$66,MATCH($E369,Продукты!$A$6:$A$66,0)),0)</f>
        <v>0</v>
      </c>
      <c r="M369" s="12">
        <f>IFERROR($J369/100*INDEX(Продукты!$I$6:$I$66,MATCH($E369,Продукты!$A$6:$A$66,0)),0)</f>
        <v>0</v>
      </c>
      <c r="N369" s="12">
        <f>IFERROR($J369/100*INDEX(Продукты!$J$6:$J$66,MATCH($E369,Продукты!$A$6:$A$66,0)),0)</f>
        <v>0</v>
      </c>
      <c r="O369" s="3" t="str">
        <f>IFERROR(IF(IFERROR(INDEX(Рецепты!$H$6:$H$85,MATCH(Меню!$D$20,Рецепты!$H$6:$H$85,0)+13)=Меню!$D$20,FALSE),INDEX(Рецепты!$N$6:$N$85,MATCH(Меню!$D$20,Рецепты!$H$6:$H$85,0)+13),""),"")</f>
        <v/>
      </c>
    </row>
    <row r="370" spans="1:15">
      <c r="A370" s="3" t="str">
        <f>IF($E370="","",Меню!$A$20)</f>
        <v/>
      </c>
      <c r="B370" s="3" t="str">
        <f>IF($E370="","",Меню!$B$20)</f>
        <v/>
      </c>
      <c r="C370" s="3" t="str">
        <f>IF($E370="","",Меню!$C$20)</f>
        <v/>
      </c>
      <c r="D370" s="3" t="str">
        <f>IF($E370="","",Меню!$D$20)</f>
        <v/>
      </c>
      <c r="E370" s="3" t="str">
        <f>IFERROR(IF(IFERROR(INDEX(Рецепты!$H$6:$H$85,MATCH(Меню!$D$20,Рецепты!$H$6:$H$85,0)+14)=Меню!$D$20,FALSE),INDEX(Рецепты!$J$6:$J$85,MATCH(Меню!$D$20,Рецепты!$H$6:$H$85,0)+14),""),"")</f>
        <v/>
      </c>
      <c r="F370" s="3" t="str">
        <f>IF($E370="","",INDEX(Рецепты!$K$6:$K$85,MATCH(Меню!$D$20,Рецепты!$H$6:$H$85,0)+14))</f>
        <v/>
      </c>
      <c r="G370" s="3" t="str">
        <f>IF($E370="","",INDEX(Рецепты!$M$6:$M$85,MATCH(Меню!$D$20,Рецепты!$H$6:$H$85,0)+14))</f>
        <v/>
      </c>
      <c r="H370" s="12">
        <f>IFERROR(IF(IFERROR(INDEX(Рецепты!$H$6:$H$85,MATCH(Меню!$D$20,Рецепты!$H$6:$H$85,0)+14)=Меню!$D$20,FALSE),INDEX(Рецепты!$L$6:$L$85,MATCH(Меню!$D$20,Рецепты!$H$6:$H$85,0)+14),0),0)</f>
        <v>0</v>
      </c>
      <c r="I370" s="12" t="str">
        <f>IF($F370="","",Меню!$E$20)</f>
        <v/>
      </c>
      <c r="J370" s="12">
        <f t="shared" si="5"/>
        <v>0</v>
      </c>
      <c r="K370" s="12">
        <f>IFERROR($J370/100*INDEX(Продукты!$G$6:$G$66,MATCH($E370,Продукты!$A$6:$A$66,0)),0)</f>
        <v>0</v>
      </c>
      <c r="L370" s="12">
        <f>IFERROR($J370/100*INDEX(Продукты!$H$6:$H$66,MATCH($E370,Продукты!$A$6:$A$66,0)),0)</f>
        <v>0</v>
      </c>
      <c r="M370" s="12">
        <f>IFERROR($J370/100*INDEX(Продукты!$I$6:$I$66,MATCH($E370,Продукты!$A$6:$A$66,0)),0)</f>
        <v>0</v>
      </c>
      <c r="N370" s="12">
        <f>IFERROR($J370/100*INDEX(Продукты!$J$6:$J$66,MATCH($E370,Продукты!$A$6:$A$66,0)),0)</f>
        <v>0</v>
      </c>
      <c r="O370" s="3" t="str">
        <f>IFERROR(IF(IFERROR(INDEX(Рецепты!$H$6:$H$85,MATCH(Меню!$D$20,Рецепты!$H$6:$H$85,0)+14)=Меню!$D$20,FALSE),INDEX(Рецепты!$N$6:$N$85,MATCH(Меню!$D$20,Рецепты!$H$6:$H$85,0)+14),""),"")</f>
        <v/>
      </c>
    </row>
    <row r="371" spans="1:15">
      <c r="A371" s="3" t="str">
        <f>IF($E371="","",Меню!$A$20)</f>
        <v/>
      </c>
      <c r="B371" s="3" t="str">
        <f>IF($E371="","",Меню!$B$20)</f>
        <v/>
      </c>
      <c r="C371" s="3" t="str">
        <f>IF($E371="","",Меню!$C$20)</f>
        <v/>
      </c>
      <c r="D371" s="3" t="str">
        <f>IF($E371="","",Меню!$D$20)</f>
        <v/>
      </c>
      <c r="E371" s="3" t="str">
        <f>IFERROR(IF(IFERROR(INDEX(Рецепты!$H$6:$H$85,MATCH(Меню!$D$20,Рецепты!$H$6:$H$85,0)+15)=Меню!$D$20,FALSE),INDEX(Рецепты!$J$6:$J$85,MATCH(Меню!$D$20,Рецепты!$H$6:$H$85,0)+15),""),"")</f>
        <v/>
      </c>
      <c r="F371" s="3" t="str">
        <f>IF($E371="","",INDEX(Рецепты!$K$6:$K$85,MATCH(Меню!$D$20,Рецепты!$H$6:$H$85,0)+15))</f>
        <v/>
      </c>
      <c r="G371" s="3" t="str">
        <f>IF($E371="","",INDEX(Рецепты!$M$6:$M$85,MATCH(Меню!$D$20,Рецепты!$H$6:$H$85,0)+15))</f>
        <v/>
      </c>
      <c r="H371" s="12">
        <f>IFERROR(IF(IFERROR(INDEX(Рецепты!$H$6:$H$85,MATCH(Меню!$D$20,Рецепты!$H$6:$H$85,0)+15)=Меню!$D$20,FALSE),INDEX(Рецепты!$L$6:$L$85,MATCH(Меню!$D$20,Рецепты!$H$6:$H$85,0)+15),0),0)</f>
        <v>0</v>
      </c>
      <c r="I371" s="12" t="str">
        <f>IF($F371="","",Меню!$E$20)</f>
        <v/>
      </c>
      <c r="J371" s="12">
        <f t="shared" si="5"/>
        <v>0</v>
      </c>
      <c r="K371" s="12">
        <f>IFERROR($J371/100*INDEX(Продукты!$G$6:$G$66,MATCH($E371,Продукты!$A$6:$A$66,0)),0)</f>
        <v>0</v>
      </c>
      <c r="L371" s="12">
        <f>IFERROR($J371/100*INDEX(Продукты!$H$6:$H$66,MATCH($E371,Продукты!$A$6:$A$66,0)),0)</f>
        <v>0</v>
      </c>
      <c r="M371" s="12">
        <f>IFERROR($J371/100*INDEX(Продукты!$I$6:$I$66,MATCH($E371,Продукты!$A$6:$A$66,0)),0)</f>
        <v>0</v>
      </c>
      <c r="N371" s="12">
        <f>IFERROR($J371/100*INDEX(Продукты!$J$6:$J$66,MATCH($E371,Продукты!$A$6:$A$66,0)),0)</f>
        <v>0</v>
      </c>
      <c r="O371" s="3" t="str">
        <f>IFERROR(IF(IFERROR(INDEX(Рецепты!$H$6:$H$85,MATCH(Меню!$D$20,Рецепты!$H$6:$H$85,0)+15)=Меню!$D$20,FALSE),INDEX(Рецепты!$N$6:$N$85,MATCH(Меню!$D$20,Рецепты!$H$6:$H$85,0)+15),""),"")</f>
        <v/>
      </c>
    </row>
    <row r="372" spans="1:15">
      <c r="A372" s="3" t="str">
        <f>IF($E372="","",Меню!$A$20)</f>
        <v/>
      </c>
      <c r="B372" s="3" t="str">
        <f>IF($E372="","",Меню!$B$20)</f>
        <v/>
      </c>
      <c r="C372" s="3" t="str">
        <f>IF($E372="","",Меню!$C$20)</f>
        <v/>
      </c>
      <c r="D372" s="3" t="str">
        <f>IF($E372="","",Меню!$D$20)</f>
        <v/>
      </c>
      <c r="E372" s="3" t="str">
        <f>IFERROR(IF(IFERROR(INDEX(Рецепты!$H$6:$H$85,MATCH(Меню!$D$20,Рецепты!$H$6:$H$85,0)+16)=Меню!$D$20,FALSE),INDEX(Рецепты!$J$6:$J$85,MATCH(Меню!$D$20,Рецепты!$H$6:$H$85,0)+16),""),"")</f>
        <v/>
      </c>
      <c r="F372" s="3" t="str">
        <f>IF($E372="","",INDEX(Рецепты!$K$6:$K$85,MATCH(Меню!$D$20,Рецепты!$H$6:$H$85,0)+16))</f>
        <v/>
      </c>
      <c r="G372" s="3" t="str">
        <f>IF($E372="","",INDEX(Рецепты!$M$6:$M$85,MATCH(Меню!$D$20,Рецепты!$H$6:$H$85,0)+16))</f>
        <v/>
      </c>
      <c r="H372" s="12">
        <f>IFERROR(IF(IFERROR(INDEX(Рецепты!$H$6:$H$85,MATCH(Меню!$D$20,Рецепты!$H$6:$H$85,0)+16)=Меню!$D$20,FALSE),INDEX(Рецепты!$L$6:$L$85,MATCH(Меню!$D$20,Рецепты!$H$6:$H$85,0)+16),0),0)</f>
        <v>0</v>
      </c>
      <c r="I372" s="12" t="str">
        <f>IF($F372="","",Меню!$E$20)</f>
        <v/>
      </c>
      <c r="J372" s="12">
        <f t="shared" si="5"/>
        <v>0</v>
      </c>
      <c r="K372" s="12">
        <f>IFERROR($J372/100*INDEX(Продукты!$G$6:$G$66,MATCH($E372,Продукты!$A$6:$A$66,0)),0)</f>
        <v>0</v>
      </c>
      <c r="L372" s="12">
        <f>IFERROR($J372/100*INDEX(Продукты!$H$6:$H$66,MATCH($E372,Продукты!$A$6:$A$66,0)),0)</f>
        <v>0</v>
      </c>
      <c r="M372" s="12">
        <f>IFERROR($J372/100*INDEX(Продукты!$I$6:$I$66,MATCH($E372,Продукты!$A$6:$A$66,0)),0)</f>
        <v>0</v>
      </c>
      <c r="N372" s="12">
        <f>IFERROR($J372/100*INDEX(Продукты!$J$6:$J$66,MATCH($E372,Продукты!$A$6:$A$66,0)),0)</f>
        <v>0</v>
      </c>
      <c r="O372" s="3" t="str">
        <f>IFERROR(IF(IFERROR(INDEX(Рецепты!$H$6:$H$85,MATCH(Меню!$D$20,Рецепты!$H$6:$H$85,0)+16)=Меню!$D$20,FALSE),INDEX(Рецепты!$N$6:$N$85,MATCH(Меню!$D$20,Рецепты!$H$6:$H$85,0)+16),""),"")</f>
        <v/>
      </c>
    </row>
    <row r="373" spans="1:15">
      <c r="A373" s="3" t="str">
        <f>IF($E373="","",Меню!$A$20)</f>
        <v/>
      </c>
      <c r="B373" s="3" t="str">
        <f>IF($E373="","",Меню!$B$20)</f>
        <v/>
      </c>
      <c r="C373" s="3" t="str">
        <f>IF($E373="","",Меню!$C$20)</f>
        <v/>
      </c>
      <c r="D373" s="3" t="str">
        <f>IF($E373="","",Меню!$D$20)</f>
        <v/>
      </c>
      <c r="E373" s="3" t="str">
        <f>IFERROR(IF(IFERROR(INDEX(Рецепты!$H$6:$H$85,MATCH(Меню!$D$20,Рецепты!$H$6:$H$85,0)+17)=Меню!$D$20,FALSE),INDEX(Рецепты!$J$6:$J$85,MATCH(Меню!$D$20,Рецепты!$H$6:$H$85,0)+17),""),"")</f>
        <v/>
      </c>
      <c r="F373" s="3" t="str">
        <f>IF($E373="","",INDEX(Рецепты!$K$6:$K$85,MATCH(Меню!$D$20,Рецепты!$H$6:$H$85,0)+17))</f>
        <v/>
      </c>
      <c r="G373" s="3" t="str">
        <f>IF($E373="","",INDEX(Рецепты!$M$6:$M$85,MATCH(Меню!$D$20,Рецепты!$H$6:$H$85,0)+17))</f>
        <v/>
      </c>
      <c r="H373" s="12">
        <f>IFERROR(IF(IFERROR(INDEX(Рецепты!$H$6:$H$85,MATCH(Меню!$D$20,Рецепты!$H$6:$H$85,0)+17)=Меню!$D$20,FALSE),INDEX(Рецепты!$L$6:$L$85,MATCH(Меню!$D$20,Рецепты!$H$6:$H$85,0)+17),0),0)</f>
        <v>0</v>
      </c>
      <c r="I373" s="12" t="str">
        <f>IF($F373="","",Меню!$E$20)</f>
        <v/>
      </c>
      <c r="J373" s="12">
        <f t="shared" si="5"/>
        <v>0</v>
      </c>
      <c r="K373" s="12">
        <f>IFERROR($J373/100*INDEX(Продукты!$G$6:$G$66,MATCH($E373,Продукты!$A$6:$A$66,0)),0)</f>
        <v>0</v>
      </c>
      <c r="L373" s="12">
        <f>IFERROR($J373/100*INDEX(Продукты!$H$6:$H$66,MATCH($E373,Продукты!$A$6:$A$66,0)),0)</f>
        <v>0</v>
      </c>
      <c r="M373" s="12">
        <f>IFERROR($J373/100*INDEX(Продукты!$I$6:$I$66,MATCH($E373,Продукты!$A$6:$A$66,0)),0)</f>
        <v>0</v>
      </c>
      <c r="N373" s="12">
        <f>IFERROR($J373/100*INDEX(Продукты!$J$6:$J$66,MATCH($E373,Продукты!$A$6:$A$66,0)),0)</f>
        <v>0</v>
      </c>
      <c r="O373" s="3" t="str">
        <f>IFERROR(IF(IFERROR(INDEX(Рецепты!$H$6:$H$85,MATCH(Меню!$D$20,Рецепты!$H$6:$H$85,0)+17)=Меню!$D$20,FALSE),INDEX(Рецепты!$N$6:$N$85,MATCH(Меню!$D$20,Рецепты!$H$6:$H$85,0)+17),""),"")</f>
        <v/>
      </c>
    </row>
    <row r="374" spans="1:15">
      <c r="A374" s="3" t="str">
        <f>IF($E374="","",Меню!$A$20)</f>
        <v/>
      </c>
      <c r="B374" s="3" t="str">
        <f>IF($E374="","",Меню!$B$20)</f>
        <v/>
      </c>
      <c r="C374" s="3" t="str">
        <f>IF($E374="","",Меню!$C$20)</f>
        <v/>
      </c>
      <c r="D374" s="3" t="str">
        <f>IF($E374="","",Меню!$D$20)</f>
        <v/>
      </c>
      <c r="E374" s="3" t="str">
        <f>IFERROR(IF(IFERROR(INDEX(Рецепты!$H$6:$H$85,MATCH(Меню!$D$20,Рецепты!$H$6:$H$85,0)+18)=Меню!$D$20,FALSE),INDEX(Рецепты!$J$6:$J$85,MATCH(Меню!$D$20,Рецепты!$H$6:$H$85,0)+18),""),"")</f>
        <v/>
      </c>
      <c r="F374" s="3" t="str">
        <f>IF($E374="","",INDEX(Рецепты!$K$6:$K$85,MATCH(Меню!$D$20,Рецепты!$H$6:$H$85,0)+18))</f>
        <v/>
      </c>
      <c r="G374" s="3" t="str">
        <f>IF($E374="","",INDEX(Рецепты!$M$6:$M$85,MATCH(Меню!$D$20,Рецепты!$H$6:$H$85,0)+18))</f>
        <v/>
      </c>
      <c r="H374" s="12">
        <f>IFERROR(IF(IFERROR(INDEX(Рецепты!$H$6:$H$85,MATCH(Меню!$D$20,Рецепты!$H$6:$H$85,0)+18)=Меню!$D$20,FALSE),INDEX(Рецепты!$L$6:$L$85,MATCH(Меню!$D$20,Рецепты!$H$6:$H$85,0)+18),0),0)</f>
        <v>0</v>
      </c>
      <c r="I374" s="12" t="str">
        <f>IF($F374="","",Меню!$E$20)</f>
        <v/>
      </c>
      <c r="J374" s="12">
        <f t="shared" si="5"/>
        <v>0</v>
      </c>
      <c r="K374" s="12">
        <f>IFERROR($J374/100*INDEX(Продукты!$G$6:$G$66,MATCH($E374,Продукты!$A$6:$A$66,0)),0)</f>
        <v>0</v>
      </c>
      <c r="L374" s="12">
        <f>IFERROR($J374/100*INDEX(Продукты!$H$6:$H$66,MATCH($E374,Продукты!$A$6:$A$66,0)),0)</f>
        <v>0</v>
      </c>
      <c r="M374" s="12">
        <f>IFERROR($J374/100*INDEX(Продукты!$I$6:$I$66,MATCH($E374,Продукты!$A$6:$A$66,0)),0)</f>
        <v>0</v>
      </c>
      <c r="N374" s="12">
        <f>IFERROR($J374/100*INDEX(Продукты!$J$6:$J$66,MATCH($E374,Продукты!$A$6:$A$66,0)),0)</f>
        <v>0</v>
      </c>
      <c r="O374" s="3" t="str">
        <f>IFERROR(IF(IFERROR(INDEX(Рецепты!$H$6:$H$85,MATCH(Меню!$D$20,Рецепты!$H$6:$H$85,0)+18)=Меню!$D$20,FALSE),INDEX(Рецепты!$N$6:$N$85,MATCH(Меню!$D$20,Рецепты!$H$6:$H$85,0)+18),""),"")</f>
        <v/>
      </c>
    </row>
    <row r="375" spans="1:15">
      <c r="A375" s="3" t="str">
        <f>IF($E375="","",Меню!$A$20)</f>
        <v/>
      </c>
      <c r="B375" s="3" t="str">
        <f>IF($E375="","",Меню!$B$20)</f>
        <v/>
      </c>
      <c r="C375" s="3" t="str">
        <f>IF($E375="","",Меню!$C$20)</f>
        <v/>
      </c>
      <c r="D375" s="3" t="str">
        <f>IF($E375="","",Меню!$D$20)</f>
        <v/>
      </c>
      <c r="E375" s="3" t="str">
        <f>IFERROR(IF(IFERROR(INDEX(Рецепты!$H$6:$H$85,MATCH(Меню!$D$20,Рецепты!$H$6:$H$85,0)+19)=Меню!$D$20,FALSE),INDEX(Рецепты!$J$6:$J$85,MATCH(Меню!$D$20,Рецепты!$H$6:$H$85,0)+19),""),"")</f>
        <v/>
      </c>
      <c r="F375" s="3" t="str">
        <f>IF($E375="","",INDEX(Рецепты!$K$6:$K$85,MATCH(Меню!$D$20,Рецепты!$H$6:$H$85,0)+19))</f>
        <v/>
      </c>
      <c r="G375" s="3" t="str">
        <f>IF($E375="","",INDEX(Рецепты!$M$6:$M$85,MATCH(Меню!$D$20,Рецепты!$H$6:$H$85,0)+19))</f>
        <v/>
      </c>
      <c r="H375" s="12">
        <f>IFERROR(IF(IFERROR(INDEX(Рецепты!$H$6:$H$85,MATCH(Меню!$D$20,Рецепты!$H$6:$H$85,0)+19)=Меню!$D$20,FALSE),INDEX(Рецепты!$L$6:$L$85,MATCH(Меню!$D$20,Рецепты!$H$6:$H$85,0)+19),0),0)</f>
        <v>0</v>
      </c>
      <c r="I375" s="12" t="str">
        <f>IF($F375="","",Меню!$E$20)</f>
        <v/>
      </c>
      <c r="J375" s="12">
        <f t="shared" si="5"/>
        <v>0</v>
      </c>
      <c r="K375" s="12">
        <f>IFERROR($J375/100*INDEX(Продукты!$G$6:$G$66,MATCH($E375,Продукты!$A$6:$A$66,0)),0)</f>
        <v>0</v>
      </c>
      <c r="L375" s="12">
        <f>IFERROR($J375/100*INDEX(Продукты!$H$6:$H$66,MATCH($E375,Продукты!$A$6:$A$66,0)),0)</f>
        <v>0</v>
      </c>
      <c r="M375" s="12">
        <f>IFERROR($J375/100*INDEX(Продукты!$I$6:$I$66,MATCH($E375,Продукты!$A$6:$A$66,0)),0)</f>
        <v>0</v>
      </c>
      <c r="N375" s="12">
        <f>IFERROR($J375/100*INDEX(Продукты!$J$6:$J$66,MATCH($E375,Продукты!$A$6:$A$66,0)),0)</f>
        <v>0</v>
      </c>
      <c r="O375" s="3" t="str">
        <f>IFERROR(IF(IFERROR(INDEX(Рецепты!$H$6:$H$85,MATCH(Меню!$D$20,Рецепты!$H$6:$H$85,0)+19)=Меню!$D$20,FALSE),INDEX(Рецепты!$N$6:$N$85,MATCH(Меню!$D$20,Рецепты!$H$6:$H$85,0)+19),""),"")</f>
        <v/>
      </c>
    </row>
    <row r="376" spans="1:15">
      <c r="A376" s="3" t="str">
        <f>IF($E376="","",Меню!$A$20)</f>
        <v/>
      </c>
      <c r="B376" s="3" t="str">
        <f>IF($E376="","",Меню!$B$20)</f>
        <v/>
      </c>
      <c r="C376" s="3" t="str">
        <f>IF($E376="","",Меню!$C$20)</f>
        <v/>
      </c>
      <c r="D376" s="3" t="str">
        <f>IF($E376="","",Меню!$D$20)</f>
        <v/>
      </c>
      <c r="E376" s="3" t="str">
        <f>IFERROR(IF(IFERROR(INDEX(Рецепты!$H$6:$H$85,MATCH(Меню!$D$20,Рецепты!$H$6:$H$85,0)+20)=Меню!$D$20,FALSE),INDEX(Рецепты!$J$6:$J$85,MATCH(Меню!$D$20,Рецепты!$H$6:$H$85,0)+20),""),"")</f>
        <v/>
      </c>
      <c r="F376" s="3" t="str">
        <f>IF($E376="","",INDEX(Рецепты!$K$6:$K$85,MATCH(Меню!$D$20,Рецепты!$H$6:$H$85,0)+20))</f>
        <v/>
      </c>
      <c r="G376" s="3" t="str">
        <f>IF($E376="","",INDEX(Рецепты!$M$6:$M$85,MATCH(Меню!$D$20,Рецепты!$H$6:$H$85,0)+20))</f>
        <v/>
      </c>
      <c r="H376" s="12">
        <f>IFERROR(IF(IFERROR(INDEX(Рецепты!$H$6:$H$85,MATCH(Меню!$D$20,Рецепты!$H$6:$H$85,0)+20)=Меню!$D$20,FALSE),INDEX(Рецепты!$L$6:$L$85,MATCH(Меню!$D$20,Рецепты!$H$6:$H$85,0)+20),0),0)</f>
        <v>0</v>
      </c>
      <c r="I376" s="12" t="str">
        <f>IF($F376="","",Меню!$E$20)</f>
        <v/>
      </c>
      <c r="J376" s="12">
        <f t="shared" si="5"/>
        <v>0</v>
      </c>
      <c r="K376" s="12">
        <f>IFERROR($J376/100*INDEX(Продукты!$G$6:$G$66,MATCH($E376,Продукты!$A$6:$A$66,0)),0)</f>
        <v>0</v>
      </c>
      <c r="L376" s="12">
        <f>IFERROR($J376/100*INDEX(Продукты!$H$6:$H$66,MATCH($E376,Продукты!$A$6:$A$66,0)),0)</f>
        <v>0</v>
      </c>
      <c r="M376" s="12">
        <f>IFERROR($J376/100*INDEX(Продукты!$I$6:$I$66,MATCH($E376,Продукты!$A$6:$A$66,0)),0)</f>
        <v>0</v>
      </c>
      <c r="N376" s="12">
        <f>IFERROR($J376/100*INDEX(Продукты!$J$6:$J$66,MATCH($E376,Продукты!$A$6:$A$66,0)),0)</f>
        <v>0</v>
      </c>
      <c r="O376" s="3" t="str">
        <f>IFERROR(IF(IFERROR(INDEX(Рецепты!$H$6:$H$85,MATCH(Меню!$D$20,Рецепты!$H$6:$H$85,0)+20)=Меню!$D$20,FALSE),INDEX(Рецепты!$N$6:$N$85,MATCH(Меню!$D$20,Рецепты!$H$6:$H$85,0)+20),""),"")</f>
        <v/>
      </c>
    </row>
    <row r="377" spans="1:15">
      <c r="A377" s="3" t="str">
        <f>IF($E377="","",Меню!$A$20)</f>
        <v/>
      </c>
      <c r="B377" s="3" t="str">
        <f>IF($E377="","",Меню!$B$20)</f>
        <v/>
      </c>
      <c r="C377" s="3" t="str">
        <f>IF($E377="","",Меню!$C$20)</f>
        <v/>
      </c>
      <c r="D377" s="3" t="str">
        <f>IF($E377="","",Меню!$D$20)</f>
        <v/>
      </c>
      <c r="E377" s="3" t="str">
        <f>IFERROR(IF(IFERROR(INDEX(Рецепты!$H$6:$H$85,MATCH(Меню!$D$20,Рецепты!$H$6:$H$85,0)+21)=Меню!$D$20,FALSE),INDEX(Рецепты!$J$6:$J$85,MATCH(Меню!$D$20,Рецепты!$H$6:$H$85,0)+21),""),"")</f>
        <v/>
      </c>
      <c r="F377" s="3" t="str">
        <f>IF($E377="","",INDEX(Рецепты!$K$6:$K$85,MATCH(Меню!$D$20,Рецепты!$H$6:$H$85,0)+21))</f>
        <v/>
      </c>
      <c r="G377" s="3" t="str">
        <f>IF($E377="","",INDEX(Рецепты!$M$6:$M$85,MATCH(Меню!$D$20,Рецепты!$H$6:$H$85,0)+21))</f>
        <v/>
      </c>
      <c r="H377" s="12">
        <f>IFERROR(IF(IFERROR(INDEX(Рецепты!$H$6:$H$85,MATCH(Меню!$D$20,Рецепты!$H$6:$H$85,0)+21)=Меню!$D$20,FALSE),INDEX(Рецепты!$L$6:$L$85,MATCH(Меню!$D$20,Рецепты!$H$6:$H$85,0)+21),0),0)</f>
        <v>0</v>
      </c>
      <c r="I377" s="12" t="str">
        <f>IF($F377="","",Меню!$E$20)</f>
        <v/>
      </c>
      <c r="J377" s="12">
        <f t="shared" si="5"/>
        <v>0</v>
      </c>
      <c r="K377" s="12">
        <f>IFERROR($J377/100*INDEX(Продукты!$G$6:$G$66,MATCH($E377,Продукты!$A$6:$A$66,0)),0)</f>
        <v>0</v>
      </c>
      <c r="L377" s="12">
        <f>IFERROR($J377/100*INDEX(Продукты!$H$6:$H$66,MATCH($E377,Продукты!$A$6:$A$66,0)),0)</f>
        <v>0</v>
      </c>
      <c r="M377" s="12">
        <f>IFERROR($J377/100*INDEX(Продукты!$I$6:$I$66,MATCH($E377,Продукты!$A$6:$A$66,0)),0)</f>
        <v>0</v>
      </c>
      <c r="N377" s="12">
        <f>IFERROR($J377/100*INDEX(Продукты!$J$6:$J$66,MATCH($E377,Продукты!$A$6:$A$66,0)),0)</f>
        <v>0</v>
      </c>
      <c r="O377" s="3" t="str">
        <f>IFERROR(IF(IFERROR(INDEX(Рецепты!$H$6:$H$85,MATCH(Меню!$D$20,Рецепты!$H$6:$H$85,0)+21)=Меню!$D$20,FALSE),INDEX(Рецепты!$N$6:$N$85,MATCH(Меню!$D$20,Рецепты!$H$6:$H$85,0)+21),""),"")</f>
        <v/>
      </c>
    </row>
    <row r="378" spans="1:15">
      <c r="A378" s="3" t="str">
        <f>IF($E378="","",Меню!$A$20)</f>
        <v/>
      </c>
      <c r="B378" s="3" t="str">
        <f>IF($E378="","",Меню!$B$20)</f>
        <v/>
      </c>
      <c r="C378" s="3" t="str">
        <f>IF($E378="","",Меню!$C$20)</f>
        <v/>
      </c>
      <c r="D378" s="3" t="str">
        <f>IF($E378="","",Меню!$D$20)</f>
        <v/>
      </c>
      <c r="E378" s="3" t="str">
        <f>IFERROR(IF(IFERROR(INDEX(Рецепты!$H$6:$H$85,MATCH(Меню!$D$20,Рецепты!$H$6:$H$85,0)+22)=Меню!$D$20,FALSE),INDEX(Рецепты!$J$6:$J$85,MATCH(Меню!$D$20,Рецепты!$H$6:$H$85,0)+22),""),"")</f>
        <v/>
      </c>
      <c r="F378" s="3" t="str">
        <f>IF($E378="","",INDEX(Рецепты!$K$6:$K$85,MATCH(Меню!$D$20,Рецепты!$H$6:$H$85,0)+22))</f>
        <v/>
      </c>
      <c r="G378" s="3" t="str">
        <f>IF($E378="","",INDEX(Рецепты!$M$6:$M$85,MATCH(Меню!$D$20,Рецепты!$H$6:$H$85,0)+22))</f>
        <v/>
      </c>
      <c r="H378" s="12">
        <f>IFERROR(IF(IFERROR(INDEX(Рецепты!$H$6:$H$85,MATCH(Меню!$D$20,Рецепты!$H$6:$H$85,0)+22)=Меню!$D$20,FALSE),INDEX(Рецепты!$L$6:$L$85,MATCH(Меню!$D$20,Рецепты!$H$6:$H$85,0)+22),0),0)</f>
        <v>0</v>
      </c>
      <c r="I378" s="12" t="str">
        <f>IF($F378="","",Меню!$E$20)</f>
        <v/>
      </c>
      <c r="J378" s="12">
        <f t="shared" si="5"/>
        <v>0</v>
      </c>
      <c r="K378" s="12">
        <f>IFERROR($J378/100*INDEX(Продукты!$G$6:$G$66,MATCH($E378,Продукты!$A$6:$A$66,0)),0)</f>
        <v>0</v>
      </c>
      <c r="L378" s="12">
        <f>IFERROR($J378/100*INDEX(Продукты!$H$6:$H$66,MATCH($E378,Продукты!$A$6:$A$66,0)),0)</f>
        <v>0</v>
      </c>
      <c r="M378" s="12">
        <f>IFERROR($J378/100*INDEX(Продукты!$I$6:$I$66,MATCH($E378,Продукты!$A$6:$A$66,0)),0)</f>
        <v>0</v>
      </c>
      <c r="N378" s="12">
        <f>IFERROR($J378/100*INDEX(Продукты!$J$6:$J$66,MATCH($E378,Продукты!$A$6:$A$66,0)),0)</f>
        <v>0</v>
      </c>
      <c r="O378" s="3" t="str">
        <f>IFERROR(IF(IFERROR(INDEX(Рецепты!$H$6:$H$85,MATCH(Меню!$D$20,Рецепты!$H$6:$H$85,0)+22)=Меню!$D$20,FALSE),INDEX(Рецепты!$N$6:$N$85,MATCH(Меню!$D$20,Рецепты!$H$6:$H$85,0)+22),""),"")</f>
        <v/>
      </c>
    </row>
    <row r="379" spans="1:15">
      <c r="A379" s="3" t="str">
        <f>IF($E379="","",Меню!$A$20)</f>
        <v/>
      </c>
      <c r="B379" s="3" t="str">
        <f>IF($E379="","",Меню!$B$20)</f>
        <v/>
      </c>
      <c r="C379" s="3" t="str">
        <f>IF($E379="","",Меню!$C$20)</f>
        <v/>
      </c>
      <c r="D379" s="3" t="str">
        <f>IF($E379="","",Меню!$D$20)</f>
        <v/>
      </c>
      <c r="E379" s="3" t="str">
        <f>IFERROR(IF(IFERROR(INDEX(Рецепты!$H$6:$H$85,MATCH(Меню!$D$20,Рецепты!$H$6:$H$85,0)+23)=Меню!$D$20,FALSE),INDEX(Рецепты!$J$6:$J$85,MATCH(Меню!$D$20,Рецепты!$H$6:$H$85,0)+23),""),"")</f>
        <v/>
      </c>
      <c r="F379" s="3" t="str">
        <f>IF($E379="","",INDEX(Рецепты!$K$6:$K$85,MATCH(Меню!$D$20,Рецепты!$H$6:$H$85,0)+23))</f>
        <v/>
      </c>
      <c r="G379" s="3" t="str">
        <f>IF($E379="","",INDEX(Рецепты!$M$6:$M$85,MATCH(Меню!$D$20,Рецепты!$H$6:$H$85,0)+23))</f>
        <v/>
      </c>
      <c r="H379" s="12">
        <f>IFERROR(IF(IFERROR(INDEX(Рецепты!$H$6:$H$85,MATCH(Меню!$D$20,Рецепты!$H$6:$H$85,0)+23)=Меню!$D$20,FALSE),INDEX(Рецепты!$L$6:$L$85,MATCH(Меню!$D$20,Рецепты!$H$6:$H$85,0)+23),0),0)</f>
        <v>0</v>
      </c>
      <c r="I379" s="12" t="str">
        <f>IF($F379="","",Меню!$E$20)</f>
        <v/>
      </c>
      <c r="J379" s="12">
        <f t="shared" si="5"/>
        <v>0</v>
      </c>
      <c r="K379" s="12">
        <f>IFERROR($J379/100*INDEX(Продукты!$G$6:$G$66,MATCH($E379,Продукты!$A$6:$A$66,0)),0)</f>
        <v>0</v>
      </c>
      <c r="L379" s="12">
        <f>IFERROR($J379/100*INDEX(Продукты!$H$6:$H$66,MATCH($E379,Продукты!$A$6:$A$66,0)),0)</f>
        <v>0</v>
      </c>
      <c r="M379" s="12">
        <f>IFERROR($J379/100*INDEX(Продукты!$I$6:$I$66,MATCH($E379,Продукты!$A$6:$A$66,0)),0)</f>
        <v>0</v>
      </c>
      <c r="N379" s="12">
        <f>IFERROR($J379/100*INDEX(Продукты!$J$6:$J$66,MATCH($E379,Продукты!$A$6:$A$66,0)),0)</f>
        <v>0</v>
      </c>
      <c r="O379" s="3" t="str">
        <f>IFERROR(IF(IFERROR(INDEX(Рецепты!$H$6:$H$85,MATCH(Меню!$D$20,Рецепты!$H$6:$H$85,0)+23)=Меню!$D$20,FALSE),INDEX(Рецепты!$N$6:$N$85,MATCH(Меню!$D$20,Рецепты!$H$6:$H$85,0)+23),""),"")</f>
        <v/>
      </c>
    </row>
    <row r="380" spans="1:15">
      <c r="A380" s="3" t="str">
        <f>IF($E380="","",Меню!$A$20)</f>
        <v/>
      </c>
      <c r="B380" s="3" t="str">
        <f>IF($E380="","",Меню!$B$20)</f>
        <v/>
      </c>
      <c r="C380" s="3" t="str">
        <f>IF($E380="","",Меню!$C$20)</f>
        <v/>
      </c>
      <c r="D380" s="3" t="str">
        <f>IF($E380="","",Меню!$D$20)</f>
        <v/>
      </c>
      <c r="E380" s="3" t="str">
        <f>IFERROR(IF(IFERROR(INDEX(Рецепты!$H$6:$H$85,MATCH(Меню!$D$20,Рецепты!$H$6:$H$85,0)+24)=Меню!$D$20,FALSE),INDEX(Рецепты!$J$6:$J$85,MATCH(Меню!$D$20,Рецепты!$H$6:$H$85,0)+24),""),"")</f>
        <v/>
      </c>
      <c r="F380" s="3" t="str">
        <f>IF($E380="","",INDEX(Рецепты!$K$6:$K$85,MATCH(Меню!$D$20,Рецепты!$H$6:$H$85,0)+24))</f>
        <v/>
      </c>
      <c r="G380" s="3" t="str">
        <f>IF($E380="","",INDEX(Рецепты!$M$6:$M$85,MATCH(Меню!$D$20,Рецепты!$H$6:$H$85,0)+24))</f>
        <v/>
      </c>
      <c r="H380" s="12">
        <f>IFERROR(IF(IFERROR(INDEX(Рецепты!$H$6:$H$85,MATCH(Меню!$D$20,Рецепты!$H$6:$H$85,0)+24)=Меню!$D$20,FALSE),INDEX(Рецепты!$L$6:$L$85,MATCH(Меню!$D$20,Рецепты!$H$6:$H$85,0)+24),0),0)</f>
        <v>0</v>
      </c>
      <c r="I380" s="12" t="str">
        <f>IF($F380="","",Меню!$E$20)</f>
        <v/>
      </c>
      <c r="J380" s="12">
        <f t="shared" si="5"/>
        <v>0</v>
      </c>
      <c r="K380" s="12">
        <f>IFERROR($J380/100*INDEX(Продукты!$G$6:$G$66,MATCH($E380,Продукты!$A$6:$A$66,0)),0)</f>
        <v>0</v>
      </c>
      <c r="L380" s="12">
        <f>IFERROR($J380/100*INDEX(Продукты!$H$6:$H$66,MATCH($E380,Продукты!$A$6:$A$66,0)),0)</f>
        <v>0</v>
      </c>
      <c r="M380" s="12">
        <f>IFERROR($J380/100*INDEX(Продукты!$I$6:$I$66,MATCH($E380,Продукты!$A$6:$A$66,0)),0)</f>
        <v>0</v>
      </c>
      <c r="N380" s="12">
        <f>IFERROR($J380/100*INDEX(Продукты!$J$6:$J$66,MATCH($E380,Продукты!$A$6:$A$66,0)),0)</f>
        <v>0</v>
      </c>
      <c r="O380" s="3" t="str">
        <f>IFERROR(IF(IFERROR(INDEX(Рецепты!$H$6:$H$85,MATCH(Меню!$D$20,Рецепты!$H$6:$H$85,0)+24)=Меню!$D$20,FALSE),INDEX(Рецепты!$N$6:$N$85,MATCH(Меню!$D$20,Рецепты!$H$6:$H$85,0)+24),""),"")</f>
        <v/>
      </c>
    </row>
    <row r="381" spans="1:15">
      <c r="A381" s="3" t="str">
        <f>IF($E381="","",Меню!$A$21)</f>
        <v/>
      </c>
      <c r="B381" s="3" t="str">
        <f>IF($E381="","",Меню!$B$21)</f>
        <v/>
      </c>
      <c r="C381" s="3" t="str">
        <f>IF($E381="","",Меню!$C$21)</f>
        <v/>
      </c>
      <c r="D381" s="3" t="str">
        <f>IF($E381="","",Меню!$D$21)</f>
        <v/>
      </c>
      <c r="E381" s="3" t="str">
        <f>IFERROR(IF(IFERROR(INDEX(Рецепты!$H$6:$H$85,MATCH(Меню!$D$21,Рецепты!$H$6:$H$85,0)+0)=Меню!$D$21,FALSE),INDEX(Рецепты!$J$6:$J$85,MATCH(Меню!$D$21,Рецепты!$H$6:$H$85,0)+0),""),"")</f>
        <v/>
      </c>
      <c r="F381" s="3" t="str">
        <f>IF($E381="","",INDEX(Рецепты!$K$6:$K$85,MATCH(Меню!$D$21,Рецепты!$H$6:$H$85,0)+0))</f>
        <v/>
      </c>
      <c r="G381" s="3" t="str">
        <f>IF($E381="","",INDEX(Рецепты!$M$6:$M$85,MATCH(Меню!$D$21,Рецепты!$H$6:$H$85,0)+0))</f>
        <v/>
      </c>
      <c r="H381" s="12">
        <f>IFERROR(IF(IFERROR(INDEX(Рецепты!$H$6:$H$85,MATCH(Меню!$D$21,Рецепты!$H$6:$H$85,0)+0)=Меню!$D$21,FALSE),INDEX(Рецепты!$L$6:$L$85,MATCH(Меню!$D$21,Рецепты!$H$6:$H$85,0)+0),0),0)</f>
        <v>0</v>
      </c>
      <c r="I381" s="12" t="str">
        <f>IF($F381="","",Меню!$E$21)</f>
        <v/>
      </c>
      <c r="J381" s="12">
        <f t="shared" si="5"/>
        <v>0</v>
      </c>
      <c r="K381" s="12">
        <f>IFERROR($J381/100*INDEX(Продукты!$G$6:$G$66,MATCH($E381,Продукты!$A$6:$A$66,0)),0)</f>
        <v>0</v>
      </c>
      <c r="L381" s="12">
        <f>IFERROR($J381/100*INDEX(Продукты!$H$6:$H$66,MATCH($E381,Продукты!$A$6:$A$66,0)),0)</f>
        <v>0</v>
      </c>
      <c r="M381" s="12">
        <f>IFERROR($J381/100*INDEX(Продукты!$I$6:$I$66,MATCH($E381,Продукты!$A$6:$A$66,0)),0)</f>
        <v>0</v>
      </c>
      <c r="N381" s="12">
        <f>IFERROR($J381/100*INDEX(Продукты!$J$6:$J$66,MATCH($E381,Продукты!$A$6:$A$66,0)),0)</f>
        <v>0</v>
      </c>
      <c r="O381" s="3" t="str">
        <f>IFERROR(IF(IFERROR(INDEX(Рецепты!$H$6:$H$85,MATCH(Меню!$D$21,Рецепты!$H$6:$H$85,0)+0)=Меню!$D$21,FALSE),INDEX(Рецепты!$N$6:$N$85,MATCH(Меню!$D$21,Рецепты!$H$6:$H$85,0)+0),""),"")</f>
        <v/>
      </c>
    </row>
    <row r="382" spans="1:15">
      <c r="A382" s="3" t="str">
        <f>IF($E382="","",Меню!$A$21)</f>
        <v/>
      </c>
      <c r="B382" s="3" t="str">
        <f>IF($E382="","",Меню!$B$21)</f>
        <v/>
      </c>
      <c r="C382" s="3" t="str">
        <f>IF($E382="","",Меню!$C$21)</f>
        <v/>
      </c>
      <c r="D382" s="3" t="str">
        <f>IF($E382="","",Меню!$D$21)</f>
        <v/>
      </c>
      <c r="E382" s="3" t="str">
        <f>IFERROR(IF(IFERROR(INDEX(Рецепты!$H$6:$H$85,MATCH(Меню!$D$21,Рецепты!$H$6:$H$85,0)+1)=Меню!$D$21,FALSE),INDEX(Рецепты!$J$6:$J$85,MATCH(Меню!$D$21,Рецепты!$H$6:$H$85,0)+1),""),"")</f>
        <v/>
      </c>
      <c r="F382" s="3" t="str">
        <f>IF($E382="","",INDEX(Рецепты!$K$6:$K$85,MATCH(Меню!$D$21,Рецепты!$H$6:$H$85,0)+1))</f>
        <v/>
      </c>
      <c r="G382" s="3" t="str">
        <f>IF($E382="","",INDEX(Рецепты!$M$6:$M$85,MATCH(Меню!$D$21,Рецепты!$H$6:$H$85,0)+1))</f>
        <v/>
      </c>
      <c r="H382" s="12">
        <f>IFERROR(IF(IFERROR(INDEX(Рецепты!$H$6:$H$85,MATCH(Меню!$D$21,Рецепты!$H$6:$H$85,0)+1)=Меню!$D$21,FALSE),INDEX(Рецепты!$L$6:$L$85,MATCH(Меню!$D$21,Рецепты!$H$6:$H$85,0)+1),0),0)</f>
        <v>0</v>
      </c>
      <c r="I382" s="12" t="str">
        <f>IF($F382="","",Меню!$E$21)</f>
        <v/>
      </c>
      <c r="J382" s="12">
        <f t="shared" si="5"/>
        <v>0</v>
      </c>
      <c r="K382" s="12">
        <f>IFERROR($J382/100*INDEX(Продукты!$G$6:$G$66,MATCH($E382,Продукты!$A$6:$A$66,0)),0)</f>
        <v>0</v>
      </c>
      <c r="L382" s="12">
        <f>IFERROR($J382/100*INDEX(Продукты!$H$6:$H$66,MATCH($E382,Продукты!$A$6:$A$66,0)),0)</f>
        <v>0</v>
      </c>
      <c r="M382" s="12">
        <f>IFERROR($J382/100*INDEX(Продукты!$I$6:$I$66,MATCH($E382,Продукты!$A$6:$A$66,0)),0)</f>
        <v>0</v>
      </c>
      <c r="N382" s="12">
        <f>IFERROR($J382/100*INDEX(Продукты!$J$6:$J$66,MATCH($E382,Продукты!$A$6:$A$66,0)),0)</f>
        <v>0</v>
      </c>
      <c r="O382" s="3" t="str">
        <f>IFERROR(IF(IFERROR(INDEX(Рецепты!$H$6:$H$85,MATCH(Меню!$D$21,Рецепты!$H$6:$H$85,0)+1)=Меню!$D$21,FALSE),INDEX(Рецепты!$N$6:$N$85,MATCH(Меню!$D$21,Рецепты!$H$6:$H$85,0)+1),""),"")</f>
        <v/>
      </c>
    </row>
    <row r="383" spans="1:15">
      <c r="A383" s="3" t="str">
        <f>IF($E383="","",Меню!$A$21)</f>
        <v/>
      </c>
      <c r="B383" s="3" t="str">
        <f>IF($E383="","",Меню!$B$21)</f>
        <v/>
      </c>
      <c r="C383" s="3" t="str">
        <f>IF($E383="","",Меню!$C$21)</f>
        <v/>
      </c>
      <c r="D383" s="3" t="str">
        <f>IF($E383="","",Меню!$D$21)</f>
        <v/>
      </c>
      <c r="E383" s="3" t="str">
        <f>IFERROR(IF(IFERROR(INDEX(Рецепты!$H$6:$H$85,MATCH(Меню!$D$21,Рецепты!$H$6:$H$85,0)+2)=Меню!$D$21,FALSE),INDEX(Рецепты!$J$6:$J$85,MATCH(Меню!$D$21,Рецепты!$H$6:$H$85,0)+2),""),"")</f>
        <v/>
      </c>
      <c r="F383" s="3" t="str">
        <f>IF($E383="","",INDEX(Рецепты!$K$6:$K$85,MATCH(Меню!$D$21,Рецепты!$H$6:$H$85,0)+2))</f>
        <v/>
      </c>
      <c r="G383" s="3" t="str">
        <f>IF($E383="","",INDEX(Рецепты!$M$6:$M$85,MATCH(Меню!$D$21,Рецепты!$H$6:$H$85,0)+2))</f>
        <v/>
      </c>
      <c r="H383" s="12">
        <f>IFERROR(IF(IFERROR(INDEX(Рецепты!$H$6:$H$85,MATCH(Меню!$D$21,Рецепты!$H$6:$H$85,0)+2)=Меню!$D$21,FALSE),INDEX(Рецепты!$L$6:$L$85,MATCH(Меню!$D$21,Рецепты!$H$6:$H$85,0)+2),0),0)</f>
        <v>0</v>
      </c>
      <c r="I383" s="12" t="str">
        <f>IF($F383="","",Меню!$E$21)</f>
        <v/>
      </c>
      <c r="J383" s="12">
        <f t="shared" si="5"/>
        <v>0</v>
      </c>
      <c r="K383" s="12">
        <f>IFERROR($J383/100*INDEX(Продукты!$G$6:$G$66,MATCH($E383,Продукты!$A$6:$A$66,0)),0)</f>
        <v>0</v>
      </c>
      <c r="L383" s="12">
        <f>IFERROR($J383/100*INDEX(Продукты!$H$6:$H$66,MATCH($E383,Продукты!$A$6:$A$66,0)),0)</f>
        <v>0</v>
      </c>
      <c r="M383" s="12">
        <f>IFERROR($J383/100*INDEX(Продукты!$I$6:$I$66,MATCH($E383,Продукты!$A$6:$A$66,0)),0)</f>
        <v>0</v>
      </c>
      <c r="N383" s="12">
        <f>IFERROR($J383/100*INDEX(Продукты!$J$6:$J$66,MATCH($E383,Продукты!$A$6:$A$66,0)),0)</f>
        <v>0</v>
      </c>
      <c r="O383" s="3" t="str">
        <f>IFERROR(IF(IFERROR(INDEX(Рецепты!$H$6:$H$85,MATCH(Меню!$D$21,Рецепты!$H$6:$H$85,0)+2)=Меню!$D$21,FALSE),INDEX(Рецепты!$N$6:$N$85,MATCH(Меню!$D$21,Рецепты!$H$6:$H$85,0)+2),""),"")</f>
        <v/>
      </c>
    </row>
    <row r="384" spans="1:15">
      <c r="A384" s="3" t="str">
        <f>IF($E384="","",Меню!$A$21)</f>
        <v/>
      </c>
      <c r="B384" s="3" t="str">
        <f>IF($E384="","",Меню!$B$21)</f>
        <v/>
      </c>
      <c r="C384" s="3" t="str">
        <f>IF($E384="","",Меню!$C$21)</f>
        <v/>
      </c>
      <c r="D384" s="3" t="str">
        <f>IF($E384="","",Меню!$D$21)</f>
        <v/>
      </c>
      <c r="E384" s="3" t="str">
        <f>IFERROR(IF(IFERROR(INDEX(Рецепты!$H$6:$H$85,MATCH(Меню!$D$21,Рецепты!$H$6:$H$85,0)+3)=Меню!$D$21,FALSE),INDEX(Рецепты!$J$6:$J$85,MATCH(Меню!$D$21,Рецепты!$H$6:$H$85,0)+3),""),"")</f>
        <v/>
      </c>
      <c r="F384" s="3" t="str">
        <f>IF($E384="","",INDEX(Рецепты!$K$6:$K$85,MATCH(Меню!$D$21,Рецепты!$H$6:$H$85,0)+3))</f>
        <v/>
      </c>
      <c r="G384" s="3" t="str">
        <f>IF($E384="","",INDEX(Рецепты!$M$6:$M$85,MATCH(Меню!$D$21,Рецепты!$H$6:$H$85,0)+3))</f>
        <v/>
      </c>
      <c r="H384" s="12">
        <f>IFERROR(IF(IFERROR(INDEX(Рецепты!$H$6:$H$85,MATCH(Меню!$D$21,Рецепты!$H$6:$H$85,0)+3)=Меню!$D$21,FALSE),INDEX(Рецепты!$L$6:$L$85,MATCH(Меню!$D$21,Рецепты!$H$6:$H$85,0)+3),0),0)</f>
        <v>0</v>
      </c>
      <c r="I384" s="12" t="str">
        <f>IF($F384="","",Меню!$E$21)</f>
        <v/>
      </c>
      <c r="J384" s="12">
        <f t="shared" si="5"/>
        <v>0</v>
      </c>
      <c r="K384" s="12">
        <f>IFERROR($J384/100*INDEX(Продукты!$G$6:$G$66,MATCH($E384,Продукты!$A$6:$A$66,0)),0)</f>
        <v>0</v>
      </c>
      <c r="L384" s="12">
        <f>IFERROR($J384/100*INDEX(Продукты!$H$6:$H$66,MATCH($E384,Продукты!$A$6:$A$66,0)),0)</f>
        <v>0</v>
      </c>
      <c r="M384" s="12">
        <f>IFERROR($J384/100*INDEX(Продукты!$I$6:$I$66,MATCH($E384,Продукты!$A$6:$A$66,0)),0)</f>
        <v>0</v>
      </c>
      <c r="N384" s="12">
        <f>IFERROR($J384/100*INDEX(Продукты!$J$6:$J$66,MATCH($E384,Продукты!$A$6:$A$66,0)),0)</f>
        <v>0</v>
      </c>
      <c r="O384" s="3" t="str">
        <f>IFERROR(IF(IFERROR(INDEX(Рецепты!$H$6:$H$85,MATCH(Меню!$D$21,Рецепты!$H$6:$H$85,0)+3)=Меню!$D$21,FALSE),INDEX(Рецепты!$N$6:$N$85,MATCH(Меню!$D$21,Рецепты!$H$6:$H$85,0)+3),""),"")</f>
        <v/>
      </c>
    </row>
    <row r="385" spans="1:15">
      <c r="A385" s="3" t="str">
        <f>IF($E385="","",Меню!$A$21)</f>
        <v/>
      </c>
      <c r="B385" s="3" t="str">
        <f>IF($E385="","",Меню!$B$21)</f>
        <v/>
      </c>
      <c r="C385" s="3" t="str">
        <f>IF($E385="","",Меню!$C$21)</f>
        <v/>
      </c>
      <c r="D385" s="3" t="str">
        <f>IF($E385="","",Меню!$D$21)</f>
        <v/>
      </c>
      <c r="E385" s="3" t="str">
        <f>IFERROR(IF(IFERROR(INDEX(Рецепты!$H$6:$H$85,MATCH(Меню!$D$21,Рецепты!$H$6:$H$85,0)+4)=Меню!$D$21,FALSE),INDEX(Рецепты!$J$6:$J$85,MATCH(Меню!$D$21,Рецепты!$H$6:$H$85,0)+4),""),"")</f>
        <v/>
      </c>
      <c r="F385" s="3" t="str">
        <f>IF($E385="","",INDEX(Рецепты!$K$6:$K$85,MATCH(Меню!$D$21,Рецепты!$H$6:$H$85,0)+4))</f>
        <v/>
      </c>
      <c r="G385" s="3" t="str">
        <f>IF($E385="","",INDEX(Рецепты!$M$6:$M$85,MATCH(Меню!$D$21,Рецепты!$H$6:$H$85,0)+4))</f>
        <v/>
      </c>
      <c r="H385" s="12">
        <f>IFERROR(IF(IFERROR(INDEX(Рецепты!$H$6:$H$85,MATCH(Меню!$D$21,Рецепты!$H$6:$H$85,0)+4)=Меню!$D$21,FALSE),INDEX(Рецепты!$L$6:$L$85,MATCH(Меню!$D$21,Рецепты!$H$6:$H$85,0)+4),0),0)</f>
        <v>0</v>
      </c>
      <c r="I385" s="12" t="str">
        <f>IF($F385="","",Меню!$E$21)</f>
        <v/>
      </c>
      <c r="J385" s="12">
        <f t="shared" si="5"/>
        <v>0</v>
      </c>
      <c r="K385" s="12">
        <f>IFERROR($J385/100*INDEX(Продукты!$G$6:$G$66,MATCH($E385,Продукты!$A$6:$A$66,0)),0)</f>
        <v>0</v>
      </c>
      <c r="L385" s="12">
        <f>IFERROR($J385/100*INDEX(Продукты!$H$6:$H$66,MATCH($E385,Продукты!$A$6:$A$66,0)),0)</f>
        <v>0</v>
      </c>
      <c r="M385" s="12">
        <f>IFERROR($J385/100*INDEX(Продукты!$I$6:$I$66,MATCH($E385,Продукты!$A$6:$A$66,0)),0)</f>
        <v>0</v>
      </c>
      <c r="N385" s="12">
        <f>IFERROR($J385/100*INDEX(Продукты!$J$6:$J$66,MATCH($E385,Продукты!$A$6:$A$66,0)),0)</f>
        <v>0</v>
      </c>
      <c r="O385" s="3" t="str">
        <f>IFERROR(IF(IFERROR(INDEX(Рецепты!$H$6:$H$85,MATCH(Меню!$D$21,Рецепты!$H$6:$H$85,0)+4)=Меню!$D$21,FALSE),INDEX(Рецепты!$N$6:$N$85,MATCH(Меню!$D$21,Рецепты!$H$6:$H$85,0)+4),""),"")</f>
        <v/>
      </c>
    </row>
    <row r="386" spans="1:15">
      <c r="A386" s="3" t="str">
        <f>IF($E386="","",Меню!$A$21)</f>
        <v/>
      </c>
      <c r="B386" s="3" t="str">
        <f>IF($E386="","",Меню!$B$21)</f>
        <v/>
      </c>
      <c r="C386" s="3" t="str">
        <f>IF($E386="","",Меню!$C$21)</f>
        <v/>
      </c>
      <c r="D386" s="3" t="str">
        <f>IF($E386="","",Меню!$D$21)</f>
        <v/>
      </c>
      <c r="E386" s="3" t="str">
        <f>IFERROR(IF(IFERROR(INDEX(Рецепты!$H$6:$H$85,MATCH(Меню!$D$21,Рецепты!$H$6:$H$85,0)+5)=Меню!$D$21,FALSE),INDEX(Рецепты!$J$6:$J$85,MATCH(Меню!$D$21,Рецепты!$H$6:$H$85,0)+5),""),"")</f>
        <v/>
      </c>
      <c r="F386" s="3" t="str">
        <f>IF($E386="","",INDEX(Рецепты!$K$6:$K$85,MATCH(Меню!$D$21,Рецепты!$H$6:$H$85,0)+5))</f>
        <v/>
      </c>
      <c r="G386" s="3" t="str">
        <f>IF($E386="","",INDEX(Рецепты!$M$6:$M$85,MATCH(Меню!$D$21,Рецепты!$H$6:$H$85,0)+5))</f>
        <v/>
      </c>
      <c r="H386" s="12">
        <f>IFERROR(IF(IFERROR(INDEX(Рецепты!$H$6:$H$85,MATCH(Меню!$D$21,Рецепты!$H$6:$H$85,0)+5)=Меню!$D$21,FALSE),INDEX(Рецепты!$L$6:$L$85,MATCH(Меню!$D$21,Рецепты!$H$6:$H$85,0)+5),0),0)</f>
        <v>0</v>
      </c>
      <c r="I386" s="12" t="str">
        <f>IF($F386="","",Меню!$E$21)</f>
        <v/>
      </c>
      <c r="J386" s="12">
        <f t="shared" si="5"/>
        <v>0</v>
      </c>
      <c r="K386" s="12">
        <f>IFERROR($J386/100*INDEX(Продукты!$G$6:$G$66,MATCH($E386,Продукты!$A$6:$A$66,0)),0)</f>
        <v>0</v>
      </c>
      <c r="L386" s="12">
        <f>IFERROR($J386/100*INDEX(Продукты!$H$6:$H$66,MATCH($E386,Продукты!$A$6:$A$66,0)),0)</f>
        <v>0</v>
      </c>
      <c r="M386" s="12">
        <f>IFERROR($J386/100*INDEX(Продукты!$I$6:$I$66,MATCH($E386,Продукты!$A$6:$A$66,0)),0)</f>
        <v>0</v>
      </c>
      <c r="N386" s="12">
        <f>IFERROR($J386/100*INDEX(Продукты!$J$6:$J$66,MATCH($E386,Продукты!$A$6:$A$66,0)),0)</f>
        <v>0</v>
      </c>
      <c r="O386" s="3" t="str">
        <f>IFERROR(IF(IFERROR(INDEX(Рецепты!$H$6:$H$85,MATCH(Меню!$D$21,Рецепты!$H$6:$H$85,0)+5)=Меню!$D$21,FALSE),INDEX(Рецепты!$N$6:$N$85,MATCH(Меню!$D$21,Рецепты!$H$6:$H$85,0)+5),""),"")</f>
        <v/>
      </c>
    </row>
    <row r="387" spans="1:15">
      <c r="A387" s="3" t="str">
        <f>IF($E387="","",Меню!$A$21)</f>
        <v/>
      </c>
      <c r="B387" s="3" t="str">
        <f>IF($E387="","",Меню!$B$21)</f>
        <v/>
      </c>
      <c r="C387" s="3" t="str">
        <f>IF($E387="","",Меню!$C$21)</f>
        <v/>
      </c>
      <c r="D387" s="3" t="str">
        <f>IF($E387="","",Меню!$D$21)</f>
        <v/>
      </c>
      <c r="E387" s="3" t="str">
        <f>IFERROR(IF(IFERROR(INDEX(Рецепты!$H$6:$H$85,MATCH(Меню!$D$21,Рецепты!$H$6:$H$85,0)+6)=Меню!$D$21,FALSE),INDEX(Рецепты!$J$6:$J$85,MATCH(Меню!$D$21,Рецепты!$H$6:$H$85,0)+6),""),"")</f>
        <v/>
      </c>
      <c r="F387" s="3" t="str">
        <f>IF($E387="","",INDEX(Рецепты!$K$6:$K$85,MATCH(Меню!$D$21,Рецепты!$H$6:$H$85,0)+6))</f>
        <v/>
      </c>
      <c r="G387" s="3" t="str">
        <f>IF($E387="","",INDEX(Рецепты!$M$6:$M$85,MATCH(Меню!$D$21,Рецепты!$H$6:$H$85,0)+6))</f>
        <v/>
      </c>
      <c r="H387" s="12">
        <f>IFERROR(IF(IFERROR(INDEX(Рецепты!$H$6:$H$85,MATCH(Меню!$D$21,Рецепты!$H$6:$H$85,0)+6)=Меню!$D$21,FALSE),INDEX(Рецепты!$L$6:$L$85,MATCH(Меню!$D$21,Рецепты!$H$6:$H$85,0)+6),0),0)</f>
        <v>0</v>
      </c>
      <c r="I387" s="12" t="str">
        <f>IF($F387="","",Меню!$E$21)</f>
        <v/>
      </c>
      <c r="J387" s="12">
        <f t="shared" si="5"/>
        <v>0</v>
      </c>
      <c r="K387" s="12">
        <f>IFERROR($J387/100*INDEX(Продукты!$G$6:$G$66,MATCH($E387,Продукты!$A$6:$A$66,0)),0)</f>
        <v>0</v>
      </c>
      <c r="L387" s="12">
        <f>IFERROR($J387/100*INDEX(Продукты!$H$6:$H$66,MATCH($E387,Продукты!$A$6:$A$66,0)),0)</f>
        <v>0</v>
      </c>
      <c r="M387" s="12">
        <f>IFERROR($J387/100*INDEX(Продукты!$I$6:$I$66,MATCH($E387,Продукты!$A$6:$A$66,0)),0)</f>
        <v>0</v>
      </c>
      <c r="N387" s="12">
        <f>IFERROR($J387/100*INDEX(Продукты!$J$6:$J$66,MATCH($E387,Продукты!$A$6:$A$66,0)),0)</f>
        <v>0</v>
      </c>
      <c r="O387" s="3" t="str">
        <f>IFERROR(IF(IFERROR(INDEX(Рецепты!$H$6:$H$85,MATCH(Меню!$D$21,Рецепты!$H$6:$H$85,0)+6)=Меню!$D$21,FALSE),INDEX(Рецепты!$N$6:$N$85,MATCH(Меню!$D$21,Рецепты!$H$6:$H$85,0)+6),""),"")</f>
        <v/>
      </c>
    </row>
    <row r="388" spans="1:15">
      <c r="A388" s="3" t="str">
        <f>IF($E388="","",Меню!$A$21)</f>
        <v/>
      </c>
      <c r="B388" s="3" t="str">
        <f>IF($E388="","",Меню!$B$21)</f>
        <v/>
      </c>
      <c r="C388" s="3" t="str">
        <f>IF($E388="","",Меню!$C$21)</f>
        <v/>
      </c>
      <c r="D388" s="3" t="str">
        <f>IF($E388="","",Меню!$D$21)</f>
        <v/>
      </c>
      <c r="E388" s="3" t="str">
        <f>IFERROR(IF(IFERROR(INDEX(Рецепты!$H$6:$H$85,MATCH(Меню!$D$21,Рецепты!$H$6:$H$85,0)+7)=Меню!$D$21,FALSE),INDEX(Рецепты!$J$6:$J$85,MATCH(Меню!$D$21,Рецепты!$H$6:$H$85,0)+7),""),"")</f>
        <v/>
      </c>
      <c r="F388" s="3" t="str">
        <f>IF($E388="","",INDEX(Рецепты!$K$6:$K$85,MATCH(Меню!$D$21,Рецепты!$H$6:$H$85,0)+7))</f>
        <v/>
      </c>
      <c r="G388" s="3" t="str">
        <f>IF($E388="","",INDEX(Рецепты!$M$6:$M$85,MATCH(Меню!$D$21,Рецепты!$H$6:$H$85,0)+7))</f>
        <v/>
      </c>
      <c r="H388" s="12">
        <f>IFERROR(IF(IFERROR(INDEX(Рецепты!$H$6:$H$85,MATCH(Меню!$D$21,Рецепты!$H$6:$H$85,0)+7)=Меню!$D$21,FALSE),INDEX(Рецепты!$L$6:$L$85,MATCH(Меню!$D$21,Рецепты!$H$6:$H$85,0)+7),0),0)</f>
        <v>0</v>
      </c>
      <c r="I388" s="12" t="str">
        <f>IF($F388="","",Меню!$E$21)</f>
        <v/>
      </c>
      <c r="J388" s="12">
        <f t="shared" si="5"/>
        <v>0</v>
      </c>
      <c r="K388" s="12">
        <f>IFERROR($J388/100*INDEX(Продукты!$G$6:$G$66,MATCH($E388,Продукты!$A$6:$A$66,0)),0)</f>
        <v>0</v>
      </c>
      <c r="L388" s="12">
        <f>IFERROR($J388/100*INDEX(Продукты!$H$6:$H$66,MATCH($E388,Продукты!$A$6:$A$66,0)),0)</f>
        <v>0</v>
      </c>
      <c r="M388" s="12">
        <f>IFERROR($J388/100*INDEX(Продукты!$I$6:$I$66,MATCH($E388,Продукты!$A$6:$A$66,0)),0)</f>
        <v>0</v>
      </c>
      <c r="N388" s="12">
        <f>IFERROR($J388/100*INDEX(Продукты!$J$6:$J$66,MATCH($E388,Продукты!$A$6:$A$66,0)),0)</f>
        <v>0</v>
      </c>
      <c r="O388" s="3" t="str">
        <f>IFERROR(IF(IFERROR(INDEX(Рецепты!$H$6:$H$85,MATCH(Меню!$D$21,Рецепты!$H$6:$H$85,0)+7)=Меню!$D$21,FALSE),INDEX(Рецепты!$N$6:$N$85,MATCH(Меню!$D$21,Рецепты!$H$6:$H$85,0)+7),""),"")</f>
        <v/>
      </c>
    </row>
    <row r="389" spans="1:15">
      <c r="A389" s="3" t="str">
        <f>IF($E389="","",Меню!$A$21)</f>
        <v/>
      </c>
      <c r="B389" s="3" t="str">
        <f>IF($E389="","",Меню!$B$21)</f>
        <v/>
      </c>
      <c r="C389" s="3" t="str">
        <f>IF($E389="","",Меню!$C$21)</f>
        <v/>
      </c>
      <c r="D389" s="3" t="str">
        <f>IF($E389="","",Меню!$D$21)</f>
        <v/>
      </c>
      <c r="E389" s="3" t="str">
        <f>IFERROR(IF(IFERROR(INDEX(Рецепты!$H$6:$H$85,MATCH(Меню!$D$21,Рецепты!$H$6:$H$85,0)+8)=Меню!$D$21,FALSE),INDEX(Рецепты!$J$6:$J$85,MATCH(Меню!$D$21,Рецепты!$H$6:$H$85,0)+8),""),"")</f>
        <v/>
      </c>
      <c r="F389" s="3" t="str">
        <f>IF($E389="","",INDEX(Рецепты!$K$6:$K$85,MATCH(Меню!$D$21,Рецепты!$H$6:$H$85,0)+8))</f>
        <v/>
      </c>
      <c r="G389" s="3" t="str">
        <f>IF($E389="","",INDEX(Рецепты!$M$6:$M$85,MATCH(Меню!$D$21,Рецепты!$H$6:$H$85,0)+8))</f>
        <v/>
      </c>
      <c r="H389" s="12">
        <f>IFERROR(IF(IFERROR(INDEX(Рецепты!$H$6:$H$85,MATCH(Меню!$D$21,Рецепты!$H$6:$H$85,0)+8)=Меню!$D$21,FALSE),INDEX(Рецепты!$L$6:$L$85,MATCH(Меню!$D$21,Рецепты!$H$6:$H$85,0)+8),0),0)</f>
        <v>0</v>
      </c>
      <c r="I389" s="12" t="str">
        <f>IF($F389="","",Меню!$E$21)</f>
        <v/>
      </c>
      <c r="J389" s="12">
        <f t="shared" si="5"/>
        <v>0</v>
      </c>
      <c r="K389" s="12">
        <f>IFERROR($J389/100*INDEX(Продукты!$G$6:$G$66,MATCH($E389,Продукты!$A$6:$A$66,0)),0)</f>
        <v>0</v>
      </c>
      <c r="L389" s="12">
        <f>IFERROR($J389/100*INDEX(Продукты!$H$6:$H$66,MATCH($E389,Продукты!$A$6:$A$66,0)),0)</f>
        <v>0</v>
      </c>
      <c r="M389" s="12">
        <f>IFERROR($J389/100*INDEX(Продукты!$I$6:$I$66,MATCH($E389,Продукты!$A$6:$A$66,0)),0)</f>
        <v>0</v>
      </c>
      <c r="N389" s="12">
        <f>IFERROR($J389/100*INDEX(Продукты!$J$6:$J$66,MATCH($E389,Продукты!$A$6:$A$66,0)),0)</f>
        <v>0</v>
      </c>
      <c r="O389" s="3" t="str">
        <f>IFERROR(IF(IFERROR(INDEX(Рецепты!$H$6:$H$85,MATCH(Меню!$D$21,Рецепты!$H$6:$H$85,0)+8)=Меню!$D$21,FALSE),INDEX(Рецепты!$N$6:$N$85,MATCH(Меню!$D$21,Рецепты!$H$6:$H$85,0)+8),""),"")</f>
        <v/>
      </c>
    </row>
    <row r="390" spans="1:15">
      <c r="A390" s="3" t="str">
        <f>IF($E390="","",Меню!$A$21)</f>
        <v/>
      </c>
      <c r="B390" s="3" t="str">
        <f>IF($E390="","",Меню!$B$21)</f>
        <v/>
      </c>
      <c r="C390" s="3" t="str">
        <f>IF($E390="","",Меню!$C$21)</f>
        <v/>
      </c>
      <c r="D390" s="3" t="str">
        <f>IF($E390="","",Меню!$D$21)</f>
        <v/>
      </c>
      <c r="E390" s="3" t="str">
        <f>IFERROR(IF(IFERROR(INDEX(Рецепты!$H$6:$H$85,MATCH(Меню!$D$21,Рецепты!$H$6:$H$85,0)+9)=Меню!$D$21,FALSE),INDEX(Рецепты!$J$6:$J$85,MATCH(Меню!$D$21,Рецепты!$H$6:$H$85,0)+9),""),"")</f>
        <v/>
      </c>
      <c r="F390" s="3" t="str">
        <f>IF($E390="","",INDEX(Рецепты!$K$6:$K$85,MATCH(Меню!$D$21,Рецепты!$H$6:$H$85,0)+9))</f>
        <v/>
      </c>
      <c r="G390" s="3" t="str">
        <f>IF($E390="","",INDEX(Рецепты!$M$6:$M$85,MATCH(Меню!$D$21,Рецепты!$H$6:$H$85,0)+9))</f>
        <v/>
      </c>
      <c r="H390" s="12">
        <f>IFERROR(IF(IFERROR(INDEX(Рецепты!$H$6:$H$85,MATCH(Меню!$D$21,Рецепты!$H$6:$H$85,0)+9)=Меню!$D$21,FALSE),INDEX(Рецепты!$L$6:$L$85,MATCH(Меню!$D$21,Рецепты!$H$6:$H$85,0)+9),0),0)</f>
        <v>0</v>
      </c>
      <c r="I390" s="12" t="str">
        <f>IF($F390="","",Меню!$E$21)</f>
        <v/>
      </c>
      <c r="J390" s="12">
        <f t="shared" ref="J390:J453" si="6">IFERROR($H390*$I390,0)</f>
        <v>0</v>
      </c>
      <c r="K390" s="12">
        <f>IFERROR($J390/100*INDEX(Продукты!$G$6:$G$66,MATCH($E390,Продукты!$A$6:$A$66,0)),0)</f>
        <v>0</v>
      </c>
      <c r="L390" s="12">
        <f>IFERROR($J390/100*INDEX(Продукты!$H$6:$H$66,MATCH($E390,Продукты!$A$6:$A$66,0)),0)</f>
        <v>0</v>
      </c>
      <c r="M390" s="12">
        <f>IFERROR($J390/100*INDEX(Продукты!$I$6:$I$66,MATCH($E390,Продукты!$A$6:$A$66,0)),0)</f>
        <v>0</v>
      </c>
      <c r="N390" s="12">
        <f>IFERROR($J390/100*INDEX(Продукты!$J$6:$J$66,MATCH($E390,Продукты!$A$6:$A$66,0)),0)</f>
        <v>0</v>
      </c>
      <c r="O390" s="3" t="str">
        <f>IFERROR(IF(IFERROR(INDEX(Рецепты!$H$6:$H$85,MATCH(Меню!$D$21,Рецепты!$H$6:$H$85,0)+9)=Меню!$D$21,FALSE),INDEX(Рецепты!$N$6:$N$85,MATCH(Меню!$D$21,Рецепты!$H$6:$H$85,0)+9),""),"")</f>
        <v/>
      </c>
    </row>
    <row r="391" spans="1:15">
      <c r="A391" s="3" t="str">
        <f>IF($E391="","",Меню!$A$21)</f>
        <v/>
      </c>
      <c r="B391" s="3" t="str">
        <f>IF($E391="","",Меню!$B$21)</f>
        <v/>
      </c>
      <c r="C391" s="3" t="str">
        <f>IF($E391="","",Меню!$C$21)</f>
        <v/>
      </c>
      <c r="D391" s="3" t="str">
        <f>IF($E391="","",Меню!$D$21)</f>
        <v/>
      </c>
      <c r="E391" s="3" t="str">
        <f>IFERROR(IF(IFERROR(INDEX(Рецепты!$H$6:$H$85,MATCH(Меню!$D$21,Рецепты!$H$6:$H$85,0)+10)=Меню!$D$21,FALSE),INDEX(Рецепты!$J$6:$J$85,MATCH(Меню!$D$21,Рецепты!$H$6:$H$85,0)+10),""),"")</f>
        <v/>
      </c>
      <c r="F391" s="3" t="str">
        <f>IF($E391="","",INDEX(Рецепты!$K$6:$K$85,MATCH(Меню!$D$21,Рецепты!$H$6:$H$85,0)+10))</f>
        <v/>
      </c>
      <c r="G391" s="3" t="str">
        <f>IF($E391="","",INDEX(Рецепты!$M$6:$M$85,MATCH(Меню!$D$21,Рецепты!$H$6:$H$85,0)+10))</f>
        <v/>
      </c>
      <c r="H391" s="12">
        <f>IFERROR(IF(IFERROR(INDEX(Рецепты!$H$6:$H$85,MATCH(Меню!$D$21,Рецепты!$H$6:$H$85,0)+10)=Меню!$D$21,FALSE),INDEX(Рецепты!$L$6:$L$85,MATCH(Меню!$D$21,Рецепты!$H$6:$H$85,0)+10),0),0)</f>
        <v>0</v>
      </c>
      <c r="I391" s="12" t="str">
        <f>IF($F391="","",Меню!$E$21)</f>
        <v/>
      </c>
      <c r="J391" s="12">
        <f t="shared" si="6"/>
        <v>0</v>
      </c>
      <c r="K391" s="12">
        <f>IFERROR($J391/100*INDEX(Продукты!$G$6:$G$66,MATCH($E391,Продукты!$A$6:$A$66,0)),0)</f>
        <v>0</v>
      </c>
      <c r="L391" s="12">
        <f>IFERROR($J391/100*INDEX(Продукты!$H$6:$H$66,MATCH($E391,Продукты!$A$6:$A$66,0)),0)</f>
        <v>0</v>
      </c>
      <c r="M391" s="12">
        <f>IFERROR($J391/100*INDEX(Продукты!$I$6:$I$66,MATCH($E391,Продукты!$A$6:$A$66,0)),0)</f>
        <v>0</v>
      </c>
      <c r="N391" s="12">
        <f>IFERROR($J391/100*INDEX(Продукты!$J$6:$J$66,MATCH($E391,Продукты!$A$6:$A$66,0)),0)</f>
        <v>0</v>
      </c>
      <c r="O391" s="3" t="str">
        <f>IFERROR(IF(IFERROR(INDEX(Рецепты!$H$6:$H$85,MATCH(Меню!$D$21,Рецепты!$H$6:$H$85,0)+10)=Меню!$D$21,FALSE),INDEX(Рецепты!$N$6:$N$85,MATCH(Меню!$D$21,Рецепты!$H$6:$H$85,0)+10),""),"")</f>
        <v/>
      </c>
    </row>
    <row r="392" spans="1:15">
      <c r="A392" s="3" t="str">
        <f>IF($E392="","",Меню!$A$21)</f>
        <v/>
      </c>
      <c r="B392" s="3" t="str">
        <f>IF($E392="","",Меню!$B$21)</f>
        <v/>
      </c>
      <c r="C392" s="3" t="str">
        <f>IF($E392="","",Меню!$C$21)</f>
        <v/>
      </c>
      <c r="D392" s="3" t="str">
        <f>IF($E392="","",Меню!$D$21)</f>
        <v/>
      </c>
      <c r="E392" s="3" t="str">
        <f>IFERROR(IF(IFERROR(INDEX(Рецепты!$H$6:$H$85,MATCH(Меню!$D$21,Рецепты!$H$6:$H$85,0)+11)=Меню!$D$21,FALSE),INDEX(Рецепты!$J$6:$J$85,MATCH(Меню!$D$21,Рецепты!$H$6:$H$85,0)+11),""),"")</f>
        <v/>
      </c>
      <c r="F392" s="3" t="str">
        <f>IF($E392="","",INDEX(Рецепты!$K$6:$K$85,MATCH(Меню!$D$21,Рецепты!$H$6:$H$85,0)+11))</f>
        <v/>
      </c>
      <c r="G392" s="3" t="str">
        <f>IF($E392="","",INDEX(Рецепты!$M$6:$M$85,MATCH(Меню!$D$21,Рецепты!$H$6:$H$85,0)+11))</f>
        <v/>
      </c>
      <c r="H392" s="12">
        <f>IFERROR(IF(IFERROR(INDEX(Рецепты!$H$6:$H$85,MATCH(Меню!$D$21,Рецепты!$H$6:$H$85,0)+11)=Меню!$D$21,FALSE),INDEX(Рецепты!$L$6:$L$85,MATCH(Меню!$D$21,Рецепты!$H$6:$H$85,0)+11),0),0)</f>
        <v>0</v>
      </c>
      <c r="I392" s="12" t="str">
        <f>IF($F392="","",Меню!$E$21)</f>
        <v/>
      </c>
      <c r="J392" s="12">
        <f t="shared" si="6"/>
        <v>0</v>
      </c>
      <c r="K392" s="12">
        <f>IFERROR($J392/100*INDEX(Продукты!$G$6:$G$66,MATCH($E392,Продукты!$A$6:$A$66,0)),0)</f>
        <v>0</v>
      </c>
      <c r="L392" s="12">
        <f>IFERROR($J392/100*INDEX(Продукты!$H$6:$H$66,MATCH($E392,Продукты!$A$6:$A$66,0)),0)</f>
        <v>0</v>
      </c>
      <c r="M392" s="12">
        <f>IFERROR($J392/100*INDEX(Продукты!$I$6:$I$66,MATCH($E392,Продукты!$A$6:$A$66,0)),0)</f>
        <v>0</v>
      </c>
      <c r="N392" s="12">
        <f>IFERROR($J392/100*INDEX(Продукты!$J$6:$J$66,MATCH($E392,Продукты!$A$6:$A$66,0)),0)</f>
        <v>0</v>
      </c>
      <c r="O392" s="3" t="str">
        <f>IFERROR(IF(IFERROR(INDEX(Рецепты!$H$6:$H$85,MATCH(Меню!$D$21,Рецепты!$H$6:$H$85,0)+11)=Меню!$D$21,FALSE),INDEX(Рецепты!$N$6:$N$85,MATCH(Меню!$D$21,Рецепты!$H$6:$H$85,0)+11),""),"")</f>
        <v/>
      </c>
    </row>
    <row r="393" spans="1:15">
      <c r="A393" s="3" t="str">
        <f>IF($E393="","",Меню!$A$21)</f>
        <v/>
      </c>
      <c r="B393" s="3" t="str">
        <f>IF($E393="","",Меню!$B$21)</f>
        <v/>
      </c>
      <c r="C393" s="3" t="str">
        <f>IF($E393="","",Меню!$C$21)</f>
        <v/>
      </c>
      <c r="D393" s="3" t="str">
        <f>IF($E393="","",Меню!$D$21)</f>
        <v/>
      </c>
      <c r="E393" s="3" t="str">
        <f>IFERROR(IF(IFERROR(INDEX(Рецепты!$H$6:$H$85,MATCH(Меню!$D$21,Рецепты!$H$6:$H$85,0)+12)=Меню!$D$21,FALSE),INDEX(Рецепты!$J$6:$J$85,MATCH(Меню!$D$21,Рецепты!$H$6:$H$85,0)+12),""),"")</f>
        <v/>
      </c>
      <c r="F393" s="3" t="str">
        <f>IF($E393="","",INDEX(Рецепты!$K$6:$K$85,MATCH(Меню!$D$21,Рецепты!$H$6:$H$85,0)+12))</f>
        <v/>
      </c>
      <c r="G393" s="3" t="str">
        <f>IF($E393="","",INDEX(Рецепты!$M$6:$M$85,MATCH(Меню!$D$21,Рецепты!$H$6:$H$85,0)+12))</f>
        <v/>
      </c>
      <c r="H393" s="12">
        <f>IFERROR(IF(IFERROR(INDEX(Рецепты!$H$6:$H$85,MATCH(Меню!$D$21,Рецепты!$H$6:$H$85,0)+12)=Меню!$D$21,FALSE),INDEX(Рецепты!$L$6:$L$85,MATCH(Меню!$D$21,Рецепты!$H$6:$H$85,0)+12),0),0)</f>
        <v>0</v>
      </c>
      <c r="I393" s="12" t="str">
        <f>IF($F393="","",Меню!$E$21)</f>
        <v/>
      </c>
      <c r="J393" s="12">
        <f t="shared" si="6"/>
        <v>0</v>
      </c>
      <c r="K393" s="12">
        <f>IFERROR($J393/100*INDEX(Продукты!$G$6:$G$66,MATCH($E393,Продукты!$A$6:$A$66,0)),0)</f>
        <v>0</v>
      </c>
      <c r="L393" s="12">
        <f>IFERROR($J393/100*INDEX(Продукты!$H$6:$H$66,MATCH($E393,Продукты!$A$6:$A$66,0)),0)</f>
        <v>0</v>
      </c>
      <c r="M393" s="12">
        <f>IFERROR($J393/100*INDEX(Продукты!$I$6:$I$66,MATCH($E393,Продукты!$A$6:$A$66,0)),0)</f>
        <v>0</v>
      </c>
      <c r="N393" s="12">
        <f>IFERROR($J393/100*INDEX(Продукты!$J$6:$J$66,MATCH($E393,Продукты!$A$6:$A$66,0)),0)</f>
        <v>0</v>
      </c>
      <c r="O393" s="3" t="str">
        <f>IFERROR(IF(IFERROR(INDEX(Рецепты!$H$6:$H$85,MATCH(Меню!$D$21,Рецепты!$H$6:$H$85,0)+12)=Меню!$D$21,FALSE),INDEX(Рецепты!$N$6:$N$85,MATCH(Меню!$D$21,Рецепты!$H$6:$H$85,0)+12),""),"")</f>
        <v/>
      </c>
    </row>
    <row r="394" spans="1:15">
      <c r="A394" s="3" t="str">
        <f>IF($E394="","",Меню!$A$21)</f>
        <v/>
      </c>
      <c r="B394" s="3" t="str">
        <f>IF($E394="","",Меню!$B$21)</f>
        <v/>
      </c>
      <c r="C394" s="3" t="str">
        <f>IF($E394="","",Меню!$C$21)</f>
        <v/>
      </c>
      <c r="D394" s="3" t="str">
        <f>IF($E394="","",Меню!$D$21)</f>
        <v/>
      </c>
      <c r="E394" s="3" t="str">
        <f>IFERROR(IF(IFERROR(INDEX(Рецепты!$H$6:$H$85,MATCH(Меню!$D$21,Рецепты!$H$6:$H$85,0)+13)=Меню!$D$21,FALSE),INDEX(Рецепты!$J$6:$J$85,MATCH(Меню!$D$21,Рецепты!$H$6:$H$85,0)+13),""),"")</f>
        <v/>
      </c>
      <c r="F394" s="3" t="str">
        <f>IF($E394="","",INDEX(Рецепты!$K$6:$K$85,MATCH(Меню!$D$21,Рецепты!$H$6:$H$85,0)+13))</f>
        <v/>
      </c>
      <c r="G394" s="3" t="str">
        <f>IF($E394="","",INDEX(Рецепты!$M$6:$M$85,MATCH(Меню!$D$21,Рецепты!$H$6:$H$85,0)+13))</f>
        <v/>
      </c>
      <c r="H394" s="12">
        <f>IFERROR(IF(IFERROR(INDEX(Рецепты!$H$6:$H$85,MATCH(Меню!$D$21,Рецепты!$H$6:$H$85,0)+13)=Меню!$D$21,FALSE),INDEX(Рецепты!$L$6:$L$85,MATCH(Меню!$D$21,Рецепты!$H$6:$H$85,0)+13),0),0)</f>
        <v>0</v>
      </c>
      <c r="I394" s="12" t="str">
        <f>IF($F394="","",Меню!$E$21)</f>
        <v/>
      </c>
      <c r="J394" s="12">
        <f t="shared" si="6"/>
        <v>0</v>
      </c>
      <c r="K394" s="12">
        <f>IFERROR($J394/100*INDEX(Продукты!$G$6:$G$66,MATCH($E394,Продукты!$A$6:$A$66,0)),0)</f>
        <v>0</v>
      </c>
      <c r="L394" s="12">
        <f>IFERROR($J394/100*INDEX(Продукты!$H$6:$H$66,MATCH($E394,Продукты!$A$6:$A$66,0)),0)</f>
        <v>0</v>
      </c>
      <c r="M394" s="12">
        <f>IFERROR($J394/100*INDEX(Продукты!$I$6:$I$66,MATCH($E394,Продукты!$A$6:$A$66,0)),0)</f>
        <v>0</v>
      </c>
      <c r="N394" s="12">
        <f>IFERROR($J394/100*INDEX(Продукты!$J$6:$J$66,MATCH($E394,Продукты!$A$6:$A$66,0)),0)</f>
        <v>0</v>
      </c>
      <c r="O394" s="3" t="str">
        <f>IFERROR(IF(IFERROR(INDEX(Рецепты!$H$6:$H$85,MATCH(Меню!$D$21,Рецепты!$H$6:$H$85,0)+13)=Меню!$D$21,FALSE),INDEX(Рецепты!$N$6:$N$85,MATCH(Меню!$D$21,Рецепты!$H$6:$H$85,0)+13),""),"")</f>
        <v/>
      </c>
    </row>
    <row r="395" spans="1:15">
      <c r="A395" s="3" t="str">
        <f>IF($E395="","",Меню!$A$21)</f>
        <v/>
      </c>
      <c r="B395" s="3" t="str">
        <f>IF($E395="","",Меню!$B$21)</f>
        <v/>
      </c>
      <c r="C395" s="3" t="str">
        <f>IF($E395="","",Меню!$C$21)</f>
        <v/>
      </c>
      <c r="D395" s="3" t="str">
        <f>IF($E395="","",Меню!$D$21)</f>
        <v/>
      </c>
      <c r="E395" s="3" t="str">
        <f>IFERROR(IF(IFERROR(INDEX(Рецепты!$H$6:$H$85,MATCH(Меню!$D$21,Рецепты!$H$6:$H$85,0)+14)=Меню!$D$21,FALSE),INDEX(Рецепты!$J$6:$J$85,MATCH(Меню!$D$21,Рецепты!$H$6:$H$85,0)+14),""),"")</f>
        <v/>
      </c>
      <c r="F395" s="3" t="str">
        <f>IF($E395="","",INDEX(Рецепты!$K$6:$K$85,MATCH(Меню!$D$21,Рецепты!$H$6:$H$85,0)+14))</f>
        <v/>
      </c>
      <c r="G395" s="3" t="str">
        <f>IF($E395="","",INDEX(Рецепты!$M$6:$M$85,MATCH(Меню!$D$21,Рецепты!$H$6:$H$85,0)+14))</f>
        <v/>
      </c>
      <c r="H395" s="12">
        <f>IFERROR(IF(IFERROR(INDEX(Рецепты!$H$6:$H$85,MATCH(Меню!$D$21,Рецепты!$H$6:$H$85,0)+14)=Меню!$D$21,FALSE),INDEX(Рецепты!$L$6:$L$85,MATCH(Меню!$D$21,Рецепты!$H$6:$H$85,0)+14),0),0)</f>
        <v>0</v>
      </c>
      <c r="I395" s="12" t="str">
        <f>IF($F395="","",Меню!$E$21)</f>
        <v/>
      </c>
      <c r="J395" s="12">
        <f t="shared" si="6"/>
        <v>0</v>
      </c>
      <c r="K395" s="12">
        <f>IFERROR($J395/100*INDEX(Продукты!$G$6:$G$66,MATCH($E395,Продукты!$A$6:$A$66,0)),0)</f>
        <v>0</v>
      </c>
      <c r="L395" s="12">
        <f>IFERROR($J395/100*INDEX(Продукты!$H$6:$H$66,MATCH($E395,Продукты!$A$6:$A$66,0)),0)</f>
        <v>0</v>
      </c>
      <c r="M395" s="12">
        <f>IFERROR($J395/100*INDEX(Продукты!$I$6:$I$66,MATCH($E395,Продукты!$A$6:$A$66,0)),0)</f>
        <v>0</v>
      </c>
      <c r="N395" s="12">
        <f>IFERROR($J395/100*INDEX(Продукты!$J$6:$J$66,MATCH($E395,Продукты!$A$6:$A$66,0)),0)</f>
        <v>0</v>
      </c>
      <c r="O395" s="3" t="str">
        <f>IFERROR(IF(IFERROR(INDEX(Рецепты!$H$6:$H$85,MATCH(Меню!$D$21,Рецепты!$H$6:$H$85,0)+14)=Меню!$D$21,FALSE),INDEX(Рецепты!$N$6:$N$85,MATCH(Меню!$D$21,Рецепты!$H$6:$H$85,0)+14),""),"")</f>
        <v/>
      </c>
    </row>
    <row r="396" spans="1:15">
      <c r="A396" s="3" t="str">
        <f>IF($E396="","",Меню!$A$21)</f>
        <v/>
      </c>
      <c r="B396" s="3" t="str">
        <f>IF($E396="","",Меню!$B$21)</f>
        <v/>
      </c>
      <c r="C396" s="3" t="str">
        <f>IF($E396="","",Меню!$C$21)</f>
        <v/>
      </c>
      <c r="D396" s="3" t="str">
        <f>IF($E396="","",Меню!$D$21)</f>
        <v/>
      </c>
      <c r="E396" s="3" t="str">
        <f>IFERROR(IF(IFERROR(INDEX(Рецепты!$H$6:$H$85,MATCH(Меню!$D$21,Рецепты!$H$6:$H$85,0)+15)=Меню!$D$21,FALSE),INDEX(Рецепты!$J$6:$J$85,MATCH(Меню!$D$21,Рецепты!$H$6:$H$85,0)+15),""),"")</f>
        <v/>
      </c>
      <c r="F396" s="3" t="str">
        <f>IF($E396="","",INDEX(Рецепты!$K$6:$K$85,MATCH(Меню!$D$21,Рецепты!$H$6:$H$85,0)+15))</f>
        <v/>
      </c>
      <c r="G396" s="3" t="str">
        <f>IF($E396="","",INDEX(Рецепты!$M$6:$M$85,MATCH(Меню!$D$21,Рецепты!$H$6:$H$85,0)+15))</f>
        <v/>
      </c>
      <c r="H396" s="12">
        <f>IFERROR(IF(IFERROR(INDEX(Рецепты!$H$6:$H$85,MATCH(Меню!$D$21,Рецепты!$H$6:$H$85,0)+15)=Меню!$D$21,FALSE),INDEX(Рецепты!$L$6:$L$85,MATCH(Меню!$D$21,Рецепты!$H$6:$H$85,0)+15),0),0)</f>
        <v>0</v>
      </c>
      <c r="I396" s="12" t="str">
        <f>IF($F396="","",Меню!$E$21)</f>
        <v/>
      </c>
      <c r="J396" s="12">
        <f t="shared" si="6"/>
        <v>0</v>
      </c>
      <c r="K396" s="12">
        <f>IFERROR($J396/100*INDEX(Продукты!$G$6:$G$66,MATCH($E396,Продукты!$A$6:$A$66,0)),0)</f>
        <v>0</v>
      </c>
      <c r="L396" s="12">
        <f>IFERROR($J396/100*INDEX(Продукты!$H$6:$H$66,MATCH($E396,Продукты!$A$6:$A$66,0)),0)</f>
        <v>0</v>
      </c>
      <c r="M396" s="12">
        <f>IFERROR($J396/100*INDEX(Продукты!$I$6:$I$66,MATCH($E396,Продукты!$A$6:$A$66,0)),0)</f>
        <v>0</v>
      </c>
      <c r="N396" s="12">
        <f>IFERROR($J396/100*INDEX(Продукты!$J$6:$J$66,MATCH($E396,Продукты!$A$6:$A$66,0)),0)</f>
        <v>0</v>
      </c>
      <c r="O396" s="3" t="str">
        <f>IFERROR(IF(IFERROR(INDEX(Рецепты!$H$6:$H$85,MATCH(Меню!$D$21,Рецепты!$H$6:$H$85,0)+15)=Меню!$D$21,FALSE),INDEX(Рецепты!$N$6:$N$85,MATCH(Меню!$D$21,Рецепты!$H$6:$H$85,0)+15),""),"")</f>
        <v/>
      </c>
    </row>
    <row r="397" spans="1:15">
      <c r="A397" s="3" t="str">
        <f>IF($E397="","",Меню!$A$21)</f>
        <v/>
      </c>
      <c r="B397" s="3" t="str">
        <f>IF($E397="","",Меню!$B$21)</f>
        <v/>
      </c>
      <c r="C397" s="3" t="str">
        <f>IF($E397="","",Меню!$C$21)</f>
        <v/>
      </c>
      <c r="D397" s="3" t="str">
        <f>IF($E397="","",Меню!$D$21)</f>
        <v/>
      </c>
      <c r="E397" s="3" t="str">
        <f>IFERROR(IF(IFERROR(INDEX(Рецепты!$H$6:$H$85,MATCH(Меню!$D$21,Рецепты!$H$6:$H$85,0)+16)=Меню!$D$21,FALSE),INDEX(Рецепты!$J$6:$J$85,MATCH(Меню!$D$21,Рецепты!$H$6:$H$85,0)+16),""),"")</f>
        <v/>
      </c>
      <c r="F397" s="3" t="str">
        <f>IF($E397="","",INDEX(Рецепты!$K$6:$K$85,MATCH(Меню!$D$21,Рецепты!$H$6:$H$85,0)+16))</f>
        <v/>
      </c>
      <c r="G397" s="3" t="str">
        <f>IF($E397="","",INDEX(Рецепты!$M$6:$M$85,MATCH(Меню!$D$21,Рецепты!$H$6:$H$85,0)+16))</f>
        <v/>
      </c>
      <c r="H397" s="12">
        <f>IFERROR(IF(IFERROR(INDEX(Рецепты!$H$6:$H$85,MATCH(Меню!$D$21,Рецепты!$H$6:$H$85,0)+16)=Меню!$D$21,FALSE),INDEX(Рецепты!$L$6:$L$85,MATCH(Меню!$D$21,Рецепты!$H$6:$H$85,0)+16),0),0)</f>
        <v>0</v>
      </c>
      <c r="I397" s="12" t="str">
        <f>IF($F397="","",Меню!$E$21)</f>
        <v/>
      </c>
      <c r="J397" s="12">
        <f t="shared" si="6"/>
        <v>0</v>
      </c>
      <c r="K397" s="12">
        <f>IFERROR($J397/100*INDEX(Продукты!$G$6:$G$66,MATCH($E397,Продукты!$A$6:$A$66,0)),0)</f>
        <v>0</v>
      </c>
      <c r="L397" s="12">
        <f>IFERROR($J397/100*INDEX(Продукты!$H$6:$H$66,MATCH($E397,Продукты!$A$6:$A$66,0)),0)</f>
        <v>0</v>
      </c>
      <c r="M397" s="12">
        <f>IFERROR($J397/100*INDEX(Продукты!$I$6:$I$66,MATCH($E397,Продукты!$A$6:$A$66,0)),0)</f>
        <v>0</v>
      </c>
      <c r="N397" s="12">
        <f>IFERROR($J397/100*INDEX(Продукты!$J$6:$J$66,MATCH($E397,Продукты!$A$6:$A$66,0)),0)</f>
        <v>0</v>
      </c>
      <c r="O397" s="3" t="str">
        <f>IFERROR(IF(IFERROR(INDEX(Рецепты!$H$6:$H$85,MATCH(Меню!$D$21,Рецепты!$H$6:$H$85,0)+16)=Меню!$D$21,FALSE),INDEX(Рецепты!$N$6:$N$85,MATCH(Меню!$D$21,Рецепты!$H$6:$H$85,0)+16),""),"")</f>
        <v/>
      </c>
    </row>
    <row r="398" spans="1:15">
      <c r="A398" s="3" t="str">
        <f>IF($E398="","",Меню!$A$21)</f>
        <v/>
      </c>
      <c r="B398" s="3" t="str">
        <f>IF($E398="","",Меню!$B$21)</f>
        <v/>
      </c>
      <c r="C398" s="3" t="str">
        <f>IF($E398="","",Меню!$C$21)</f>
        <v/>
      </c>
      <c r="D398" s="3" t="str">
        <f>IF($E398="","",Меню!$D$21)</f>
        <v/>
      </c>
      <c r="E398" s="3" t="str">
        <f>IFERROR(IF(IFERROR(INDEX(Рецепты!$H$6:$H$85,MATCH(Меню!$D$21,Рецепты!$H$6:$H$85,0)+17)=Меню!$D$21,FALSE),INDEX(Рецепты!$J$6:$J$85,MATCH(Меню!$D$21,Рецепты!$H$6:$H$85,0)+17),""),"")</f>
        <v/>
      </c>
      <c r="F398" s="3" t="str">
        <f>IF($E398="","",INDEX(Рецепты!$K$6:$K$85,MATCH(Меню!$D$21,Рецепты!$H$6:$H$85,0)+17))</f>
        <v/>
      </c>
      <c r="G398" s="3" t="str">
        <f>IF($E398="","",INDEX(Рецепты!$M$6:$M$85,MATCH(Меню!$D$21,Рецепты!$H$6:$H$85,0)+17))</f>
        <v/>
      </c>
      <c r="H398" s="12">
        <f>IFERROR(IF(IFERROR(INDEX(Рецепты!$H$6:$H$85,MATCH(Меню!$D$21,Рецепты!$H$6:$H$85,0)+17)=Меню!$D$21,FALSE),INDEX(Рецепты!$L$6:$L$85,MATCH(Меню!$D$21,Рецепты!$H$6:$H$85,0)+17),0),0)</f>
        <v>0</v>
      </c>
      <c r="I398" s="12" t="str">
        <f>IF($F398="","",Меню!$E$21)</f>
        <v/>
      </c>
      <c r="J398" s="12">
        <f t="shared" si="6"/>
        <v>0</v>
      </c>
      <c r="K398" s="12">
        <f>IFERROR($J398/100*INDEX(Продукты!$G$6:$G$66,MATCH($E398,Продукты!$A$6:$A$66,0)),0)</f>
        <v>0</v>
      </c>
      <c r="L398" s="12">
        <f>IFERROR($J398/100*INDEX(Продукты!$H$6:$H$66,MATCH($E398,Продукты!$A$6:$A$66,0)),0)</f>
        <v>0</v>
      </c>
      <c r="M398" s="12">
        <f>IFERROR($J398/100*INDEX(Продукты!$I$6:$I$66,MATCH($E398,Продукты!$A$6:$A$66,0)),0)</f>
        <v>0</v>
      </c>
      <c r="N398" s="12">
        <f>IFERROR($J398/100*INDEX(Продукты!$J$6:$J$66,MATCH($E398,Продукты!$A$6:$A$66,0)),0)</f>
        <v>0</v>
      </c>
      <c r="O398" s="3" t="str">
        <f>IFERROR(IF(IFERROR(INDEX(Рецепты!$H$6:$H$85,MATCH(Меню!$D$21,Рецепты!$H$6:$H$85,0)+17)=Меню!$D$21,FALSE),INDEX(Рецепты!$N$6:$N$85,MATCH(Меню!$D$21,Рецепты!$H$6:$H$85,0)+17),""),"")</f>
        <v/>
      </c>
    </row>
    <row r="399" spans="1:15">
      <c r="A399" s="3" t="str">
        <f>IF($E399="","",Меню!$A$21)</f>
        <v/>
      </c>
      <c r="B399" s="3" t="str">
        <f>IF($E399="","",Меню!$B$21)</f>
        <v/>
      </c>
      <c r="C399" s="3" t="str">
        <f>IF($E399="","",Меню!$C$21)</f>
        <v/>
      </c>
      <c r="D399" s="3" t="str">
        <f>IF($E399="","",Меню!$D$21)</f>
        <v/>
      </c>
      <c r="E399" s="3" t="str">
        <f>IFERROR(IF(IFERROR(INDEX(Рецепты!$H$6:$H$85,MATCH(Меню!$D$21,Рецепты!$H$6:$H$85,0)+18)=Меню!$D$21,FALSE),INDEX(Рецепты!$J$6:$J$85,MATCH(Меню!$D$21,Рецепты!$H$6:$H$85,0)+18),""),"")</f>
        <v/>
      </c>
      <c r="F399" s="3" t="str">
        <f>IF($E399="","",INDEX(Рецепты!$K$6:$K$85,MATCH(Меню!$D$21,Рецепты!$H$6:$H$85,0)+18))</f>
        <v/>
      </c>
      <c r="G399" s="3" t="str">
        <f>IF($E399="","",INDEX(Рецепты!$M$6:$M$85,MATCH(Меню!$D$21,Рецепты!$H$6:$H$85,0)+18))</f>
        <v/>
      </c>
      <c r="H399" s="12">
        <f>IFERROR(IF(IFERROR(INDEX(Рецепты!$H$6:$H$85,MATCH(Меню!$D$21,Рецепты!$H$6:$H$85,0)+18)=Меню!$D$21,FALSE),INDEX(Рецепты!$L$6:$L$85,MATCH(Меню!$D$21,Рецепты!$H$6:$H$85,0)+18),0),0)</f>
        <v>0</v>
      </c>
      <c r="I399" s="12" t="str">
        <f>IF($F399="","",Меню!$E$21)</f>
        <v/>
      </c>
      <c r="J399" s="12">
        <f t="shared" si="6"/>
        <v>0</v>
      </c>
      <c r="K399" s="12">
        <f>IFERROR($J399/100*INDEX(Продукты!$G$6:$G$66,MATCH($E399,Продукты!$A$6:$A$66,0)),0)</f>
        <v>0</v>
      </c>
      <c r="L399" s="12">
        <f>IFERROR($J399/100*INDEX(Продукты!$H$6:$H$66,MATCH($E399,Продукты!$A$6:$A$66,0)),0)</f>
        <v>0</v>
      </c>
      <c r="M399" s="12">
        <f>IFERROR($J399/100*INDEX(Продукты!$I$6:$I$66,MATCH($E399,Продукты!$A$6:$A$66,0)),0)</f>
        <v>0</v>
      </c>
      <c r="N399" s="12">
        <f>IFERROR($J399/100*INDEX(Продукты!$J$6:$J$66,MATCH($E399,Продукты!$A$6:$A$66,0)),0)</f>
        <v>0</v>
      </c>
      <c r="O399" s="3" t="str">
        <f>IFERROR(IF(IFERROR(INDEX(Рецепты!$H$6:$H$85,MATCH(Меню!$D$21,Рецепты!$H$6:$H$85,0)+18)=Меню!$D$21,FALSE),INDEX(Рецепты!$N$6:$N$85,MATCH(Меню!$D$21,Рецепты!$H$6:$H$85,0)+18),""),"")</f>
        <v/>
      </c>
    </row>
    <row r="400" spans="1:15">
      <c r="A400" s="3" t="str">
        <f>IF($E400="","",Меню!$A$21)</f>
        <v/>
      </c>
      <c r="B400" s="3" t="str">
        <f>IF($E400="","",Меню!$B$21)</f>
        <v/>
      </c>
      <c r="C400" s="3" t="str">
        <f>IF($E400="","",Меню!$C$21)</f>
        <v/>
      </c>
      <c r="D400" s="3" t="str">
        <f>IF($E400="","",Меню!$D$21)</f>
        <v/>
      </c>
      <c r="E400" s="3" t="str">
        <f>IFERROR(IF(IFERROR(INDEX(Рецепты!$H$6:$H$85,MATCH(Меню!$D$21,Рецепты!$H$6:$H$85,0)+19)=Меню!$D$21,FALSE),INDEX(Рецепты!$J$6:$J$85,MATCH(Меню!$D$21,Рецепты!$H$6:$H$85,0)+19),""),"")</f>
        <v/>
      </c>
      <c r="F400" s="3" t="str">
        <f>IF($E400="","",INDEX(Рецепты!$K$6:$K$85,MATCH(Меню!$D$21,Рецепты!$H$6:$H$85,0)+19))</f>
        <v/>
      </c>
      <c r="G400" s="3" t="str">
        <f>IF($E400="","",INDEX(Рецепты!$M$6:$M$85,MATCH(Меню!$D$21,Рецепты!$H$6:$H$85,0)+19))</f>
        <v/>
      </c>
      <c r="H400" s="12">
        <f>IFERROR(IF(IFERROR(INDEX(Рецепты!$H$6:$H$85,MATCH(Меню!$D$21,Рецепты!$H$6:$H$85,0)+19)=Меню!$D$21,FALSE),INDEX(Рецепты!$L$6:$L$85,MATCH(Меню!$D$21,Рецепты!$H$6:$H$85,0)+19),0),0)</f>
        <v>0</v>
      </c>
      <c r="I400" s="12" t="str">
        <f>IF($F400="","",Меню!$E$21)</f>
        <v/>
      </c>
      <c r="J400" s="12">
        <f t="shared" si="6"/>
        <v>0</v>
      </c>
      <c r="K400" s="12">
        <f>IFERROR($J400/100*INDEX(Продукты!$G$6:$G$66,MATCH($E400,Продукты!$A$6:$A$66,0)),0)</f>
        <v>0</v>
      </c>
      <c r="L400" s="12">
        <f>IFERROR($J400/100*INDEX(Продукты!$H$6:$H$66,MATCH($E400,Продукты!$A$6:$A$66,0)),0)</f>
        <v>0</v>
      </c>
      <c r="M400" s="12">
        <f>IFERROR($J400/100*INDEX(Продукты!$I$6:$I$66,MATCH($E400,Продукты!$A$6:$A$66,0)),0)</f>
        <v>0</v>
      </c>
      <c r="N400" s="12">
        <f>IFERROR($J400/100*INDEX(Продукты!$J$6:$J$66,MATCH($E400,Продукты!$A$6:$A$66,0)),0)</f>
        <v>0</v>
      </c>
      <c r="O400" s="3" t="str">
        <f>IFERROR(IF(IFERROR(INDEX(Рецепты!$H$6:$H$85,MATCH(Меню!$D$21,Рецепты!$H$6:$H$85,0)+19)=Меню!$D$21,FALSE),INDEX(Рецепты!$N$6:$N$85,MATCH(Меню!$D$21,Рецепты!$H$6:$H$85,0)+19),""),"")</f>
        <v/>
      </c>
    </row>
    <row r="401" spans="1:15">
      <c r="A401" s="3" t="str">
        <f>IF($E401="","",Меню!$A$21)</f>
        <v/>
      </c>
      <c r="B401" s="3" t="str">
        <f>IF($E401="","",Меню!$B$21)</f>
        <v/>
      </c>
      <c r="C401" s="3" t="str">
        <f>IF($E401="","",Меню!$C$21)</f>
        <v/>
      </c>
      <c r="D401" s="3" t="str">
        <f>IF($E401="","",Меню!$D$21)</f>
        <v/>
      </c>
      <c r="E401" s="3" t="str">
        <f>IFERROR(IF(IFERROR(INDEX(Рецепты!$H$6:$H$85,MATCH(Меню!$D$21,Рецепты!$H$6:$H$85,0)+20)=Меню!$D$21,FALSE),INDEX(Рецепты!$J$6:$J$85,MATCH(Меню!$D$21,Рецепты!$H$6:$H$85,0)+20),""),"")</f>
        <v/>
      </c>
      <c r="F401" s="3" t="str">
        <f>IF($E401="","",INDEX(Рецепты!$K$6:$K$85,MATCH(Меню!$D$21,Рецепты!$H$6:$H$85,0)+20))</f>
        <v/>
      </c>
      <c r="G401" s="3" t="str">
        <f>IF($E401="","",INDEX(Рецепты!$M$6:$M$85,MATCH(Меню!$D$21,Рецепты!$H$6:$H$85,0)+20))</f>
        <v/>
      </c>
      <c r="H401" s="12">
        <f>IFERROR(IF(IFERROR(INDEX(Рецепты!$H$6:$H$85,MATCH(Меню!$D$21,Рецепты!$H$6:$H$85,0)+20)=Меню!$D$21,FALSE),INDEX(Рецепты!$L$6:$L$85,MATCH(Меню!$D$21,Рецепты!$H$6:$H$85,0)+20),0),0)</f>
        <v>0</v>
      </c>
      <c r="I401" s="12" t="str">
        <f>IF($F401="","",Меню!$E$21)</f>
        <v/>
      </c>
      <c r="J401" s="12">
        <f t="shared" si="6"/>
        <v>0</v>
      </c>
      <c r="K401" s="12">
        <f>IFERROR($J401/100*INDEX(Продукты!$G$6:$G$66,MATCH($E401,Продукты!$A$6:$A$66,0)),0)</f>
        <v>0</v>
      </c>
      <c r="L401" s="12">
        <f>IFERROR($J401/100*INDEX(Продукты!$H$6:$H$66,MATCH($E401,Продукты!$A$6:$A$66,0)),0)</f>
        <v>0</v>
      </c>
      <c r="M401" s="12">
        <f>IFERROR($J401/100*INDEX(Продукты!$I$6:$I$66,MATCH($E401,Продукты!$A$6:$A$66,0)),0)</f>
        <v>0</v>
      </c>
      <c r="N401" s="12">
        <f>IFERROR($J401/100*INDEX(Продукты!$J$6:$J$66,MATCH($E401,Продукты!$A$6:$A$66,0)),0)</f>
        <v>0</v>
      </c>
      <c r="O401" s="3" t="str">
        <f>IFERROR(IF(IFERROR(INDEX(Рецепты!$H$6:$H$85,MATCH(Меню!$D$21,Рецепты!$H$6:$H$85,0)+20)=Меню!$D$21,FALSE),INDEX(Рецепты!$N$6:$N$85,MATCH(Меню!$D$21,Рецепты!$H$6:$H$85,0)+20),""),"")</f>
        <v/>
      </c>
    </row>
    <row r="402" spans="1:15">
      <c r="A402" s="3" t="str">
        <f>IF($E402="","",Меню!$A$21)</f>
        <v/>
      </c>
      <c r="B402" s="3" t="str">
        <f>IF($E402="","",Меню!$B$21)</f>
        <v/>
      </c>
      <c r="C402" s="3" t="str">
        <f>IF($E402="","",Меню!$C$21)</f>
        <v/>
      </c>
      <c r="D402" s="3" t="str">
        <f>IF($E402="","",Меню!$D$21)</f>
        <v/>
      </c>
      <c r="E402" s="3" t="str">
        <f>IFERROR(IF(IFERROR(INDEX(Рецепты!$H$6:$H$85,MATCH(Меню!$D$21,Рецепты!$H$6:$H$85,0)+21)=Меню!$D$21,FALSE),INDEX(Рецепты!$J$6:$J$85,MATCH(Меню!$D$21,Рецепты!$H$6:$H$85,0)+21),""),"")</f>
        <v/>
      </c>
      <c r="F402" s="3" t="str">
        <f>IF($E402="","",INDEX(Рецепты!$K$6:$K$85,MATCH(Меню!$D$21,Рецепты!$H$6:$H$85,0)+21))</f>
        <v/>
      </c>
      <c r="G402" s="3" t="str">
        <f>IF($E402="","",INDEX(Рецепты!$M$6:$M$85,MATCH(Меню!$D$21,Рецепты!$H$6:$H$85,0)+21))</f>
        <v/>
      </c>
      <c r="H402" s="12">
        <f>IFERROR(IF(IFERROR(INDEX(Рецепты!$H$6:$H$85,MATCH(Меню!$D$21,Рецепты!$H$6:$H$85,0)+21)=Меню!$D$21,FALSE),INDEX(Рецепты!$L$6:$L$85,MATCH(Меню!$D$21,Рецепты!$H$6:$H$85,0)+21),0),0)</f>
        <v>0</v>
      </c>
      <c r="I402" s="12" t="str">
        <f>IF($F402="","",Меню!$E$21)</f>
        <v/>
      </c>
      <c r="J402" s="12">
        <f t="shared" si="6"/>
        <v>0</v>
      </c>
      <c r="K402" s="12">
        <f>IFERROR($J402/100*INDEX(Продукты!$G$6:$G$66,MATCH($E402,Продукты!$A$6:$A$66,0)),0)</f>
        <v>0</v>
      </c>
      <c r="L402" s="12">
        <f>IFERROR($J402/100*INDEX(Продукты!$H$6:$H$66,MATCH($E402,Продукты!$A$6:$A$66,0)),0)</f>
        <v>0</v>
      </c>
      <c r="M402" s="12">
        <f>IFERROR($J402/100*INDEX(Продукты!$I$6:$I$66,MATCH($E402,Продукты!$A$6:$A$66,0)),0)</f>
        <v>0</v>
      </c>
      <c r="N402" s="12">
        <f>IFERROR($J402/100*INDEX(Продукты!$J$6:$J$66,MATCH($E402,Продукты!$A$6:$A$66,0)),0)</f>
        <v>0</v>
      </c>
      <c r="O402" s="3" t="str">
        <f>IFERROR(IF(IFERROR(INDEX(Рецепты!$H$6:$H$85,MATCH(Меню!$D$21,Рецепты!$H$6:$H$85,0)+21)=Меню!$D$21,FALSE),INDEX(Рецепты!$N$6:$N$85,MATCH(Меню!$D$21,Рецепты!$H$6:$H$85,0)+21),""),"")</f>
        <v/>
      </c>
    </row>
    <row r="403" spans="1:15">
      <c r="A403" s="3" t="str">
        <f>IF($E403="","",Меню!$A$21)</f>
        <v/>
      </c>
      <c r="B403" s="3" t="str">
        <f>IF($E403="","",Меню!$B$21)</f>
        <v/>
      </c>
      <c r="C403" s="3" t="str">
        <f>IF($E403="","",Меню!$C$21)</f>
        <v/>
      </c>
      <c r="D403" s="3" t="str">
        <f>IF($E403="","",Меню!$D$21)</f>
        <v/>
      </c>
      <c r="E403" s="3" t="str">
        <f>IFERROR(IF(IFERROR(INDEX(Рецепты!$H$6:$H$85,MATCH(Меню!$D$21,Рецепты!$H$6:$H$85,0)+22)=Меню!$D$21,FALSE),INDEX(Рецепты!$J$6:$J$85,MATCH(Меню!$D$21,Рецепты!$H$6:$H$85,0)+22),""),"")</f>
        <v/>
      </c>
      <c r="F403" s="3" t="str">
        <f>IF($E403="","",INDEX(Рецепты!$K$6:$K$85,MATCH(Меню!$D$21,Рецепты!$H$6:$H$85,0)+22))</f>
        <v/>
      </c>
      <c r="G403" s="3" t="str">
        <f>IF($E403="","",INDEX(Рецепты!$M$6:$M$85,MATCH(Меню!$D$21,Рецепты!$H$6:$H$85,0)+22))</f>
        <v/>
      </c>
      <c r="H403" s="12">
        <f>IFERROR(IF(IFERROR(INDEX(Рецепты!$H$6:$H$85,MATCH(Меню!$D$21,Рецепты!$H$6:$H$85,0)+22)=Меню!$D$21,FALSE),INDEX(Рецепты!$L$6:$L$85,MATCH(Меню!$D$21,Рецепты!$H$6:$H$85,0)+22),0),0)</f>
        <v>0</v>
      </c>
      <c r="I403" s="12" t="str">
        <f>IF($F403="","",Меню!$E$21)</f>
        <v/>
      </c>
      <c r="J403" s="12">
        <f t="shared" si="6"/>
        <v>0</v>
      </c>
      <c r="K403" s="12">
        <f>IFERROR($J403/100*INDEX(Продукты!$G$6:$G$66,MATCH($E403,Продукты!$A$6:$A$66,0)),0)</f>
        <v>0</v>
      </c>
      <c r="L403" s="12">
        <f>IFERROR($J403/100*INDEX(Продукты!$H$6:$H$66,MATCH($E403,Продукты!$A$6:$A$66,0)),0)</f>
        <v>0</v>
      </c>
      <c r="M403" s="12">
        <f>IFERROR($J403/100*INDEX(Продукты!$I$6:$I$66,MATCH($E403,Продукты!$A$6:$A$66,0)),0)</f>
        <v>0</v>
      </c>
      <c r="N403" s="12">
        <f>IFERROR($J403/100*INDEX(Продукты!$J$6:$J$66,MATCH($E403,Продукты!$A$6:$A$66,0)),0)</f>
        <v>0</v>
      </c>
      <c r="O403" s="3" t="str">
        <f>IFERROR(IF(IFERROR(INDEX(Рецепты!$H$6:$H$85,MATCH(Меню!$D$21,Рецепты!$H$6:$H$85,0)+22)=Меню!$D$21,FALSE),INDEX(Рецепты!$N$6:$N$85,MATCH(Меню!$D$21,Рецепты!$H$6:$H$85,0)+22),""),"")</f>
        <v/>
      </c>
    </row>
    <row r="404" spans="1:15">
      <c r="A404" s="3" t="str">
        <f>IF($E404="","",Меню!$A$21)</f>
        <v/>
      </c>
      <c r="B404" s="3" t="str">
        <f>IF($E404="","",Меню!$B$21)</f>
        <v/>
      </c>
      <c r="C404" s="3" t="str">
        <f>IF($E404="","",Меню!$C$21)</f>
        <v/>
      </c>
      <c r="D404" s="3" t="str">
        <f>IF($E404="","",Меню!$D$21)</f>
        <v/>
      </c>
      <c r="E404" s="3" t="str">
        <f>IFERROR(IF(IFERROR(INDEX(Рецепты!$H$6:$H$85,MATCH(Меню!$D$21,Рецепты!$H$6:$H$85,0)+23)=Меню!$D$21,FALSE),INDEX(Рецепты!$J$6:$J$85,MATCH(Меню!$D$21,Рецепты!$H$6:$H$85,0)+23),""),"")</f>
        <v/>
      </c>
      <c r="F404" s="3" t="str">
        <f>IF($E404="","",INDEX(Рецепты!$K$6:$K$85,MATCH(Меню!$D$21,Рецепты!$H$6:$H$85,0)+23))</f>
        <v/>
      </c>
      <c r="G404" s="3" t="str">
        <f>IF($E404="","",INDEX(Рецепты!$M$6:$M$85,MATCH(Меню!$D$21,Рецепты!$H$6:$H$85,0)+23))</f>
        <v/>
      </c>
      <c r="H404" s="12">
        <f>IFERROR(IF(IFERROR(INDEX(Рецепты!$H$6:$H$85,MATCH(Меню!$D$21,Рецепты!$H$6:$H$85,0)+23)=Меню!$D$21,FALSE),INDEX(Рецепты!$L$6:$L$85,MATCH(Меню!$D$21,Рецепты!$H$6:$H$85,0)+23),0),0)</f>
        <v>0</v>
      </c>
      <c r="I404" s="12" t="str">
        <f>IF($F404="","",Меню!$E$21)</f>
        <v/>
      </c>
      <c r="J404" s="12">
        <f t="shared" si="6"/>
        <v>0</v>
      </c>
      <c r="K404" s="12">
        <f>IFERROR($J404/100*INDEX(Продукты!$G$6:$G$66,MATCH($E404,Продукты!$A$6:$A$66,0)),0)</f>
        <v>0</v>
      </c>
      <c r="L404" s="12">
        <f>IFERROR($J404/100*INDEX(Продукты!$H$6:$H$66,MATCH($E404,Продукты!$A$6:$A$66,0)),0)</f>
        <v>0</v>
      </c>
      <c r="M404" s="12">
        <f>IFERROR($J404/100*INDEX(Продукты!$I$6:$I$66,MATCH($E404,Продукты!$A$6:$A$66,0)),0)</f>
        <v>0</v>
      </c>
      <c r="N404" s="12">
        <f>IFERROR($J404/100*INDEX(Продукты!$J$6:$J$66,MATCH($E404,Продукты!$A$6:$A$66,0)),0)</f>
        <v>0</v>
      </c>
      <c r="O404" s="3" t="str">
        <f>IFERROR(IF(IFERROR(INDEX(Рецепты!$H$6:$H$85,MATCH(Меню!$D$21,Рецепты!$H$6:$H$85,0)+23)=Меню!$D$21,FALSE),INDEX(Рецепты!$N$6:$N$85,MATCH(Меню!$D$21,Рецепты!$H$6:$H$85,0)+23),""),"")</f>
        <v/>
      </c>
    </row>
    <row r="405" spans="1:15">
      <c r="A405" s="3" t="str">
        <f>IF($E405="","",Меню!$A$21)</f>
        <v/>
      </c>
      <c r="B405" s="3" t="str">
        <f>IF($E405="","",Меню!$B$21)</f>
        <v/>
      </c>
      <c r="C405" s="3" t="str">
        <f>IF($E405="","",Меню!$C$21)</f>
        <v/>
      </c>
      <c r="D405" s="3" t="str">
        <f>IF($E405="","",Меню!$D$21)</f>
        <v/>
      </c>
      <c r="E405" s="3" t="str">
        <f>IFERROR(IF(IFERROR(INDEX(Рецепты!$H$6:$H$85,MATCH(Меню!$D$21,Рецепты!$H$6:$H$85,0)+24)=Меню!$D$21,FALSE),INDEX(Рецепты!$J$6:$J$85,MATCH(Меню!$D$21,Рецепты!$H$6:$H$85,0)+24),""),"")</f>
        <v/>
      </c>
      <c r="F405" s="3" t="str">
        <f>IF($E405="","",INDEX(Рецепты!$K$6:$K$85,MATCH(Меню!$D$21,Рецепты!$H$6:$H$85,0)+24))</f>
        <v/>
      </c>
      <c r="G405" s="3" t="str">
        <f>IF($E405="","",INDEX(Рецепты!$M$6:$M$85,MATCH(Меню!$D$21,Рецепты!$H$6:$H$85,0)+24))</f>
        <v/>
      </c>
      <c r="H405" s="12">
        <f>IFERROR(IF(IFERROR(INDEX(Рецепты!$H$6:$H$85,MATCH(Меню!$D$21,Рецепты!$H$6:$H$85,0)+24)=Меню!$D$21,FALSE),INDEX(Рецепты!$L$6:$L$85,MATCH(Меню!$D$21,Рецепты!$H$6:$H$85,0)+24),0),0)</f>
        <v>0</v>
      </c>
      <c r="I405" s="12" t="str">
        <f>IF($F405="","",Меню!$E$21)</f>
        <v/>
      </c>
      <c r="J405" s="12">
        <f t="shared" si="6"/>
        <v>0</v>
      </c>
      <c r="K405" s="12">
        <f>IFERROR($J405/100*INDEX(Продукты!$G$6:$G$66,MATCH($E405,Продукты!$A$6:$A$66,0)),0)</f>
        <v>0</v>
      </c>
      <c r="L405" s="12">
        <f>IFERROR($J405/100*INDEX(Продукты!$H$6:$H$66,MATCH($E405,Продукты!$A$6:$A$66,0)),0)</f>
        <v>0</v>
      </c>
      <c r="M405" s="12">
        <f>IFERROR($J405/100*INDEX(Продукты!$I$6:$I$66,MATCH($E405,Продукты!$A$6:$A$66,0)),0)</f>
        <v>0</v>
      </c>
      <c r="N405" s="12">
        <f>IFERROR($J405/100*INDEX(Продукты!$J$6:$J$66,MATCH($E405,Продукты!$A$6:$A$66,0)),0)</f>
        <v>0</v>
      </c>
      <c r="O405" s="3" t="str">
        <f>IFERROR(IF(IFERROR(INDEX(Рецепты!$H$6:$H$85,MATCH(Меню!$D$21,Рецепты!$H$6:$H$85,0)+24)=Меню!$D$21,FALSE),INDEX(Рецепты!$N$6:$N$85,MATCH(Меню!$D$21,Рецепты!$H$6:$H$85,0)+24),""),"")</f>
        <v/>
      </c>
    </row>
    <row r="406" spans="1:15">
      <c r="A406" s="3" t="str">
        <f>IF($E406="","",Меню!$A$22)</f>
        <v/>
      </c>
      <c r="B406" s="3" t="str">
        <f>IF($E406="","",Меню!$B$22)</f>
        <v/>
      </c>
      <c r="C406" s="3" t="str">
        <f>IF($E406="","",Меню!$C$22)</f>
        <v/>
      </c>
      <c r="D406" s="3" t="str">
        <f>IF($E406="","",Меню!$D$22)</f>
        <v/>
      </c>
      <c r="E406" s="3" t="str">
        <f>IFERROR(IF(IFERROR(INDEX(Рецепты!$H$6:$H$85,MATCH(Меню!$D$22,Рецепты!$H$6:$H$85,0)+0)=Меню!$D$22,FALSE),INDEX(Рецепты!$J$6:$J$85,MATCH(Меню!$D$22,Рецепты!$H$6:$H$85,0)+0),""),"")</f>
        <v/>
      </c>
      <c r="F406" s="3" t="str">
        <f>IF($E406="","",INDEX(Рецепты!$K$6:$K$85,MATCH(Меню!$D$22,Рецепты!$H$6:$H$85,0)+0))</f>
        <v/>
      </c>
      <c r="G406" s="3" t="str">
        <f>IF($E406="","",INDEX(Рецепты!$M$6:$M$85,MATCH(Меню!$D$22,Рецепты!$H$6:$H$85,0)+0))</f>
        <v/>
      </c>
      <c r="H406" s="12">
        <f>IFERROR(IF(IFERROR(INDEX(Рецепты!$H$6:$H$85,MATCH(Меню!$D$22,Рецепты!$H$6:$H$85,0)+0)=Меню!$D$22,FALSE),INDEX(Рецепты!$L$6:$L$85,MATCH(Меню!$D$22,Рецепты!$H$6:$H$85,0)+0),0),0)</f>
        <v>0</v>
      </c>
      <c r="I406" s="12" t="str">
        <f>IF($F406="","",Меню!$E$22)</f>
        <v/>
      </c>
      <c r="J406" s="12">
        <f t="shared" si="6"/>
        <v>0</v>
      </c>
      <c r="K406" s="12">
        <f>IFERROR($J406/100*INDEX(Продукты!$G$6:$G$66,MATCH($E406,Продукты!$A$6:$A$66,0)),0)</f>
        <v>0</v>
      </c>
      <c r="L406" s="12">
        <f>IFERROR($J406/100*INDEX(Продукты!$H$6:$H$66,MATCH($E406,Продукты!$A$6:$A$66,0)),0)</f>
        <v>0</v>
      </c>
      <c r="M406" s="12">
        <f>IFERROR($J406/100*INDEX(Продукты!$I$6:$I$66,MATCH($E406,Продукты!$A$6:$A$66,0)),0)</f>
        <v>0</v>
      </c>
      <c r="N406" s="12">
        <f>IFERROR($J406/100*INDEX(Продукты!$J$6:$J$66,MATCH($E406,Продукты!$A$6:$A$66,0)),0)</f>
        <v>0</v>
      </c>
      <c r="O406" s="3" t="str">
        <f>IFERROR(IF(IFERROR(INDEX(Рецепты!$H$6:$H$85,MATCH(Меню!$D$22,Рецепты!$H$6:$H$85,0)+0)=Меню!$D$22,FALSE),INDEX(Рецепты!$N$6:$N$85,MATCH(Меню!$D$22,Рецепты!$H$6:$H$85,0)+0),""),"")</f>
        <v/>
      </c>
    </row>
    <row r="407" spans="1:15">
      <c r="A407" s="3" t="str">
        <f>IF($E407="","",Меню!$A$22)</f>
        <v/>
      </c>
      <c r="B407" s="3" t="str">
        <f>IF($E407="","",Меню!$B$22)</f>
        <v/>
      </c>
      <c r="C407" s="3" t="str">
        <f>IF($E407="","",Меню!$C$22)</f>
        <v/>
      </c>
      <c r="D407" s="3" t="str">
        <f>IF($E407="","",Меню!$D$22)</f>
        <v/>
      </c>
      <c r="E407" s="3" t="str">
        <f>IFERROR(IF(IFERROR(INDEX(Рецепты!$H$6:$H$85,MATCH(Меню!$D$22,Рецепты!$H$6:$H$85,0)+1)=Меню!$D$22,FALSE),INDEX(Рецепты!$J$6:$J$85,MATCH(Меню!$D$22,Рецепты!$H$6:$H$85,0)+1),""),"")</f>
        <v/>
      </c>
      <c r="F407" s="3" t="str">
        <f>IF($E407="","",INDEX(Рецепты!$K$6:$K$85,MATCH(Меню!$D$22,Рецепты!$H$6:$H$85,0)+1))</f>
        <v/>
      </c>
      <c r="G407" s="3" t="str">
        <f>IF($E407="","",INDEX(Рецепты!$M$6:$M$85,MATCH(Меню!$D$22,Рецепты!$H$6:$H$85,0)+1))</f>
        <v/>
      </c>
      <c r="H407" s="12">
        <f>IFERROR(IF(IFERROR(INDEX(Рецепты!$H$6:$H$85,MATCH(Меню!$D$22,Рецепты!$H$6:$H$85,0)+1)=Меню!$D$22,FALSE),INDEX(Рецепты!$L$6:$L$85,MATCH(Меню!$D$22,Рецепты!$H$6:$H$85,0)+1),0),0)</f>
        <v>0</v>
      </c>
      <c r="I407" s="12" t="str">
        <f>IF($F407="","",Меню!$E$22)</f>
        <v/>
      </c>
      <c r="J407" s="12">
        <f t="shared" si="6"/>
        <v>0</v>
      </c>
      <c r="K407" s="12">
        <f>IFERROR($J407/100*INDEX(Продукты!$G$6:$G$66,MATCH($E407,Продукты!$A$6:$A$66,0)),0)</f>
        <v>0</v>
      </c>
      <c r="L407" s="12">
        <f>IFERROR($J407/100*INDEX(Продукты!$H$6:$H$66,MATCH($E407,Продукты!$A$6:$A$66,0)),0)</f>
        <v>0</v>
      </c>
      <c r="M407" s="12">
        <f>IFERROR($J407/100*INDEX(Продукты!$I$6:$I$66,MATCH($E407,Продукты!$A$6:$A$66,0)),0)</f>
        <v>0</v>
      </c>
      <c r="N407" s="12">
        <f>IFERROR($J407/100*INDEX(Продукты!$J$6:$J$66,MATCH($E407,Продукты!$A$6:$A$66,0)),0)</f>
        <v>0</v>
      </c>
      <c r="O407" s="3" t="str">
        <f>IFERROR(IF(IFERROR(INDEX(Рецепты!$H$6:$H$85,MATCH(Меню!$D$22,Рецепты!$H$6:$H$85,0)+1)=Меню!$D$22,FALSE),INDEX(Рецепты!$N$6:$N$85,MATCH(Меню!$D$22,Рецепты!$H$6:$H$85,0)+1),""),"")</f>
        <v/>
      </c>
    </row>
    <row r="408" spans="1:15">
      <c r="A408" s="3" t="str">
        <f>IF($E408="","",Меню!$A$22)</f>
        <v/>
      </c>
      <c r="B408" s="3" t="str">
        <f>IF($E408="","",Меню!$B$22)</f>
        <v/>
      </c>
      <c r="C408" s="3" t="str">
        <f>IF($E408="","",Меню!$C$22)</f>
        <v/>
      </c>
      <c r="D408" s="3" t="str">
        <f>IF($E408="","",Меню!$D$22)</f>
        <v/>
      </c>
      <c r="E408" s="3" t="str">
        <f>IFERROR(IF(IFERROR(INDEX(Рецепты!$H$6:$H$85,MATCH(Меню!$D$22,Рецепты!$H$6:$H$85,0)+2)=Меню!$D$22,FALSE),INDEX(Рецепты!$J$6:$J$85,MATCH(Меню!$D$22,Рецепты!$H$6:$H$85,0)+2),""),"")</f>
        <v/>
      </c>
      <c r="F408" s="3" t="str">
        <f>IF($E408="","",INDEX(Рецепты!$K$6:$K$85,MATCH(Меню!$D$22,Рецепты!$H$6:$H$85,0)+2))</f>
        <v/>
      </c>
      <c r="G408" s="3" t="str">
        <f>IF($E408="","",INDEX(Рецепты!$M$6:$M$85,MATCH(Меню!$D$22,Рецепты!$H$6:$H$85,0)+2))</f>
        <v/>
      </c>
      <c r="H408" s="12">
        <f>IFERROR(IF(IFERROR(INDEX(Рецепты!$H$6:$H$85,MATCH(Меню!$D$22,Рецепты!$H$6:$H$85,0)+2)=Меню!$D$22,FALSE),INDEX(Рецепты!$L$6:$L$85,MATCH(Меню!$D$22,Рецепты!$H$6:$H$85,0)+2),0),0)</f>
        <v>0</v>
      </c>
      <c r="I408" s="12" t="str">
        <f>IF($F408="","",Меню!$E$22)</f>
        <v/>
      </c>
      <c r="J408" s="12">
        <f t="shared" si="6"/>
        <v>0</v>
      </c>
      <c r="K408" s="12">
        <f>IFERROR($J408/100*INDEX(Продукты!$G$6:$G$66,MATCH($E408,Продукты!$A$6:$A$66,0)),0)</f>
        <v>0</v>
      </c>
      <c r="L408" s="12">
        <f>IFERROR($J408/100*INDEX(Продукты!$H$6:$H$66,MATCH($E408,Продукты!$A$6:$A$66,0)),0)</f>
        <v>0</v>
      </c>
      <c r="M408" s="12">
        <f>IFERROR($J408/100*INDEX(Продукты!$I$6:$I$66,MATCH($E408,Продукты!$A$6:$A$66,0)),0)</f>
        <v>0</v>
      </c>
      <c r="N408" s="12">
        <f>IFERROR($J408/100*INDEX(Продукты!$J$6:$J$66,MATCH($E408,Продукты!$A$6:$A$66,0)),0)</f>
        <v>0</v>
      </c>
      <c r="O408" s="3" t="str">
        <f>IFERROR(IF(IFERROR(INDEX(Рецепты!$H$6:$H$85,MATCH(Меню!$D$22,Рецепты!$H$6:$H$85,0)+2)=Меню!$D$22,FALSE),INDEX(Рецепты!$N$6:$N$85,MATCH(Меню!$D$22,Рецепты!$H$6:$H$85,0)+2),""),"")</f>
        <v/>
      </c>
    </row>
    <row r="409" spans="1:15">
      <c r="A409" s="3" t="str">
        <f>IF($E409="","",Меню!$A$22)</f>
        <v/>
      </c>
      <c r="B409" s="3" t="str">
        <f>IF($E409="","",Меню!$B$22)</f>
        <v/>
      </c>
      <c r="C409" s="3" t="str">
        <f>IF($E409="","",Меню!$C$22)</f>
        <v/>
      </c>
      <c r="D409" s="3" t="str">
        <f>IF($E409="","",Меню!$D$22)</f>
        <v/>
      </c>
      <c r="E409" s="3" t="str">
        <f>IFERROR(IF(IFERROR(INDEX(Рецепты!$H$6:$H$85,MATCH(Меню!$D$22,Рецепты!$H$6:$H$85,0)+3)=Меню!$D$22,FALSE),INDEX(Рецепты!$J$6:$J$85,MATCH(Меню!$D$22,Рецепты!$H$6:$H$85,0)+3),""),"")</f>
        <v/>
      </c>
      <c r="F409" s="3" t="str">
        <f>IF($E409="","",INDEX(Рецепты!$K$6:$K$85,MATCH(Меню!$D$22,Рецепты!$H$6:$H$85,0)+3))</f>
        <v/>
      </c>
      <c r="G409" s="3" t="str">
        <f>IF($E409="","",INDEX(Рецепты!$M$6:$M$85,MATCH(Меню!$D$22,Рецепты!$H$6:$H$85,0)+3))</f>
        <v/>
      </c>
      <c r="H409" s="12">
        <f>IFERROR(IF(IFERROR(INDEX(Рецепты!$H$6:$H$85,MATCH(Меню!$D$22,Рецепты!$H$6:$H$85,0)+3)=Меню!$D$22,FALSE),INDEX(Рецепты!$L$6:$L$85,MATCH(Меню!$D$22,Рецепты!$H$6:$H$85,0)+3),0),0)</f>
        <v>0</v>
      </c>
      <c r="I409" s="12" t="str">
        <f>IF($F409="","",Меню!$E$22)</f>
        <v/>
      </c>
      <c r="J409" s="12">
        <f t="shared" si="6"/>
        <v>0</v>
      </c>
      <c r="K409" s="12">
        <f>IFERROR($J409/100*INDEX(Продукты!$G$6:$G$66,MATCH($E409,Продукты!$A$6:$A$66,0)),0)</f>
        <v>0</v>
      </c>
      <c r="L409" s="12">
        <f>IFERROR($J409/100*INDEX(Продукты!$H$6:$H$66,MATCH($E409,Продукты!$A$6:$A$66,0)),0)</f>
        <v>0</v>
      </c>
      <c r="M409" s="12">
        <f>IFERROR($J409/100*INDEX(Продукты!$I$6:$I$66,MATCH($E409,Продукты!$A$6:$A$66,0)),0)</f>
        <v>0</v>
      </c>
      <c r="N409" s="12">
        <f>IFERROR($J409/100*INDEX(Продукты!$J$6:$J$66,MATCH($E409,Продукты!$A$6:$A$66,0)),0)</f>
        <v>0</v>
      </c>
      <c r="O409" s="3" t="str">
        <f>IFERROR(IF(IFERROR(INDEX(Рецепты!$H$6:$H$85,MATCH(Меню!$D$22,Рецепты!$H$6:$H$85,0)+3)=Меню!$D$22,FALSE),INDEX(Рецепты!$N$6:$N$85,MATCH(Меню!$D$22,Рецепты!$H$6:$H$85,0)+3),""),"")</f>
        <v/>
      </c>
    </row>
    <row r="410" spans="1:15">
      <c r="A410" s="3" t="str">
        <f>IF($E410="","",Меню!$A$22)</f>
        <v/>
      </c>
      <c r="B410" s="3" t="str">
        <f>IF($E410="","",Меню!$B$22)</f>
        <v/>
      </c>
      <c r="C410" s="3" t="str">
        <f>IF($E410="","",Меню!$C$22)</f>
        <v/>
      </c>
      <c r="D410" s="3" t="str">
        <f>IF($E410="","",Меню!$D$22)</f>
        <v/>
      </c>
      <c r="E410" s="3" t="str">
        <f>IFERROR(IF(IFERROR(INDEX(Рецепты!$H$6:$H$85,MATCH(Меню!$D$22,Рецепты!$H$6:$H$85,0)+4)=Меню!$D$22,FALSE),INDEX(Рецепты!$J$6:$J$85,MATCH(Меню!$D$22,Рецепты!$H$6:$H$85,0)+4),""),"")</f>
        <v/>
      </c>
      <c r="F410" s="3" t="str">
        <f>IF($E410="","",INDEX(Рецепты!$K$6:$K$85,MATCH(Меню!$D$22,Рецепты!$H$6:$H$85,0)+4))</f>
        <v/>
      </c>
      <c r="G410" s="3" t="str">
        <f>IF($E410="","",INDEX(Рецепты!$M$6:$M$85,MATCH(Меню!$D$22,Рецепты!$H$6:$H$85,0)+4))</f>
        <v/>
      </c>
      <c r="H410" s="12">
        <f>IFERROR(IF(IFERROR(INDEX(Рецепты!$H$6:$H$85,MATCH(Меню!$D$22,Рецепты!$H$6:$H$85,0)+4)=Меню!$D$22,FALSE),INDEX(Рецепты!$L$6:$L$85,MATCH(Меню!$D$22,Рецепты!$H$6:$H$85,0)+4),0),0)</f>
        <v>0</v>
      </c>
      <c r="I410" s="12" t="str">
        <f>IF($F410="","",Меню!$E$22)</f>
        <v/>
      </c>
      <c r="J410" s="12">
        <f t="shared" si="6"/>
        <v>0</v>
      </c>
      <c r="K410" s="12">
        <f>IFERROR($J410/100*INDEX(Продукты!$G$6:$G$66,MATCH($E410,Продукты!$A$6:$A$66,0)),0)</f>
        <v>0</v>
      </c>
      <c r="L410" s="12">
        <f>IFERROR($J410/100*INDEX(Продукты!$H$6:$H$66,MATCH($E410,Продукты!$A$6:$A$66,0)),0)</f>
        <v>0</v>
      </c>
      <c r="M410" s="12">
        <f>IFERROR($J410/100*INDEX(Продукты!$I$6:$I$66,MATCH($E410,Продукты!$A$6:$A$66,0)),0)</f>
        <v>0</v>
      </c>
      <c r="N410" s="12">
        <f>IFERROR($J410/100*INDEX(Продукты!$J$6:$J$66,MATCH($E410,Продукты!$A$6:$A$66,0)),0)</f>
        <v>0</v>
      </c>
      <c r="O410" s="3" t="str">
        <f>IFERROR(IF(IFERROR(INDEX(Рецепты!$H$6:$H$85,MATCH(Меню!$D$22,Рецепты!$H$6:$H$85,0)+4)=Меню!$D$22,FALSE),INDEX(Рецепты!$N$6:$N$85,MATCH(Меню!$D$22,Рецепты!$H$6:$H$85,0)+4),""),"")</f>
        <v/>
      </c>
    </row>
    <row r="411" spans="1:15">
      <c r="A411" s="3" t="str">
        <f>IF($E411="","",Меню!$A$22)</f>
        <v/>
      </c>
      <c r="B411" s="3" t="str">
        <f>IF($E411="","",Меню!$B$22)</f>
        <v/>
      </c>
      <c r="C411" s="3" t="str">
        <f>IF($E411="","",Меню!$C$22)</f>
        <v/>
      </c>
      <c r="D411" s="3" t="str">
        <f>IF($E411="","",Меню!$D$22)</f>
        <v/>
      </c>
      <c r="E411" s="3" t="str">
        <f>IFERROR(IF(IFERROR(INDEX(Рецепты!$H$6:$H$85,MATCH(Меню!$D$22,Рецепты!$H$6:$H$85,0)+5)=Меню!$D$22,FALSE),INDEX(Рецепты!$J$6:$J$85,MATCH(Меню!$D$22,Рецепты!$H$6:$H$85,0)+5),""),"")</f>
        <v/>
      </c>
      <c r="F411" s="3" t="str">
        <f>IF($E411="","",INDEX(Рецепты!$K$6:$K$85,MATCH(Меню!$D$22,Рецепты!$H$6:$H$85,0)+5))</f>
        <v/>
      </c>
      <c r="G411" s="3" t="str">
        <f>IF($E411="","",INDEX(Рецепты!$M$6:$M$85,MATCH(Меню!$D$22,Рецепты!$H$6:$H$85,0)+5))</f>
        <v/>
      </c>
      <c r="H411" s="12">
        <f>IFERROR(IF(IFERROR(INDEX(Рецепты!$H$6:$H$85,MATCH(Меню!$D$22,Рецепты!$H$6:$H$85,0)+5)=Меню!$D$22,FALSE),INDEX(Рецепты!$L$6:$L$85,MATCH(Меню!$D$22,Рецепты!$H$6:$H$85,0)+5),0),0)</f>
        <v>0</v>
      </c>
      <c r="I411" s="12" t="str">
        <f>IF($F411="","",Меню!$E$22)</f>
        <v/>
      </c>
      <c r="J411" s="12">
        <f t="shared" si="6"/>
        <v>0</v>
      </c>
      <c r="K411" s="12">
        <f>IFERROR($J411/100*INDEX(Продукты!$G$6:$G$66,MATCH($E411,Продукты!$A$6:$A$66,0)),0)</f>
        <v>0</v>
      </c>
      <c r="L411" s="12">
        <f>IFERROR($J411/100*INDEX(Продукты!$H$6:$H$66,MATCH($E411,Продукты!$A$6:$A$66,0)),0)</f>
        <v>0</v>
      </c>
      <c r="M411" s="12">
        <f>IFERROR($J411/100*INDEX(Продукты!$I$6:$I$66,MATCH($E411,Продукты!$A$6:$A$66,0)),0)</f>
        <v>0</v>
      </c>
      <c r="N411" s="12">
        <f>IFERROR($J411/100*INDEX(Продукты!$J$6:$J$66,MATCH($E411,Продукты!$A$6:$A$66,0)),0)</f>
        <v>0</v>
      </c>
      <c r="O411" s="3" t="str">
        <f>IFERROR(IF(IFERROR(INDEX(Рецепты!$H$6:$H$85,MATCH(Меню!$D$22,Рецепты!$H$6:$H$85,0)+5)=Меню!$D$22,FALSE),INDEX(Рецепты!$N$6:$N$85,MATCH(Меню!$D$22,Рецепты!$H$6:$H$85,0)+5),""),"")</f>
        <v/>
      </c>
    </row>
    <row r="412" spans="1:15">
      <c r="A412" s="3" t="str">
        <f>IF($E412="","",Меню!$A$22)</f>
        <v/>
      </c>
      <c r="B412" s="3" t="str">
        <f>IF($E412="","",Меню!$B$22)</f>
        <v/>
      </c>
      <c r="C412" s="3" t="str">
        <f>IF($E412="","",Меню!$C$22)</f>
        <v/>
      </c>
      <c r="D412" s="3" t="str">
        <f>IF($E412="","",Меню!$D$22)</f>
        <v/>
      </c>
      <c r="E412" s="3" t="str">
        <f>IFERROR(IF(IFERROR(INDEX(Рецепты!$H$6:$H$85,MATCH(Меню!$D$22,Рецепты!$H$6:$H$85,0)+6)=Меню!$D$22,FALSE),INDEX(Рецепты!$J$6:$J$85,MATCH(Меню!$D$22,Рецепты!$H$6:$H$85,0)+6),""),"")</f>
        <v/>
      </c>
      <c r="F412" s="3" t="str">
        <f>IF($E412="","",INDEX(Рецепты!$K$6:$K$85,MATCH(Меню!$D$22,Рецепты!$H$6:$H$85,0)+6))</f>
        <v/>
      </c>
      <c r="G412" s="3" t="str">
        <f>IF($E412="","",INDEX(Рецепты!$M$6:$M$85,MATCH(Меню!$D$22,Рецепты!$H$6:$H$85,0)+6))</f>
        <v/>
      </c>
      <c r="H412" s="12">
        <f>IFERROR(IF(IFERROR(INDEX(Рецепты!$H$6:$H$85,MATCH(Меню!$D$22,Рецепты!$H$6:$H$85,0)+6)=Меню!$D$22,FALSE),INDEX(Рецепты!$L$6:$L$85,MATCH(Меню!$D$22,Рецепты!$H$6:$H$85,0)+6),0),0)</f>
        <v>0</v>
      </c>
      <c r="I412" s="12" t="str">
        <f>IF($F412="","",Меню!$E$22)</f>
        <v/>
      </c>
      <c r="J412" s="12">
        <f t="shared" si="6"/>
        <v>0</v>
      </c>
      <c r="K412" s="12">
        <f>IFERROR($J412/100*INDEX(Продукты!$G$6:$G$66,MATCH($E412,Продукты!$A$6:$A$66,0)),0)</f>
        <v>0</v>
      </c>
      <c r="L412" s="12">
        <f>IFERROR($J412/100*INDEX(Продукты!$H$6:$H$66,MATCH($E412,Продукты!$A$6:$A$66,0)),0)</f>
        <v>0</v>
      </c>
      <c r="M412" s="12">
        <f>IFERROR($J412/100*INDEX(Продукты!$I$6:$I$66,MATCH($E412,Продукты!$A$6:$A$66,0)),0)</f>
        <v>0</v>
      </c>
      <c r="N412" s="12">
        <f>IFERROR($J412/100*INDEX(Продукты!$J$6:$J$66,MATCH($E412,Продукты!$A$6:$A$66,0)),0)</f>
        <v>0</v>
      </c>
      <c r="O412" s="3" t="str">
        <f>IFERROR(IF(IFERROR(INDEX(Рецепты!$H$6:$H$85,MATCH(Меню!$D$22,Рецепты!$H$6:$H$85,0)+6)=Меню!$D$22,FALSE),INDEX(Рецепты!$N$6:$N$85,MATCH(Меню!$D$22,Рецепты!$H$6:$H$85,0)+6),""),"")</f>
        <v/>
      </c>
    </row>
    <row r="413" spans="1:15">
      <c r="A413" s="3" t="str">
        <f>IF($E413="","",Меню!$A$22)</f>
        <v/>
      </c>
      <c r="B413" s="3" t="str">
        <f>IF($E413="","",Меню!$B$22)</f>
        <v/>
      </c>
      <c r="C413" s="3" t="str">
        <f>IF($E413="","",Меню!$C$22)</f>
        <v/>
      </c>
      <c r="D413" s="3" t="str">
        <f>IF($E413="","",Меню!$D$22)</f>
        <v/>
      </c>
      <c r="E413" s="3" t="str">
        <f>IFERROR(IF(IFERROR(INDEX(Рецепты!$H$6:$H$85,MATCH(Меню!$D$22,Рецепты!$H$6:$H$85,0)+7)=Меню!$D$22,FALSE),INDEX(Рецепты!$J$6:$J$85,MATCH(Меню!$D$22,Рецепты!$H$6:$H$85,0)+7),""),"")</f>
        <v/>
      </c>
      <c r="F413" s="3" t="str">
        <f>IF($E413="","",INDEX(Рецепты!$K$6:$K$85,MATCH(Меню!$D$22,Рецепты!$H$6:$H$85,0)+7))</f>
        <v/>
      </c>
      <c r="G413" s="3" t="str">
        <f>IF($E413="","",INDEX(Рецепты!$M$6:$M$85,MATCH(Меню!$D$22,Рецепты!$H$6:$H$85,0)+7))</f>
        <v/>
      </c>
      <c r="H413" s="12">
        <f>IFERROR(IF(IFERROR(INDEX(Рецепты!$H$6:$H$85,MATCH(Меню!$D$22,Рецепты!$H$6:$H$85,0)+7)=Меню!$D$22,FALSE),INDEX(Рецепты!$L$6:$L$85,MATCH(Меню!$D$22,Рецепты!$H$6:$H$85,0)+7),0),0)</f>
        <v>0</v>
      </c>
      <c r="I413" s="12" t="str">
        <f>IF($F413="","",Меню!$E$22)</f>
        <v/>
      </c>
      <c r="J413" s="12">
        <f t="shared" si="6"/>
        <v>0</v>
      </c>
      <c r="K413" s="12">
        <f>IFERROR($J413/100*INDEX(Продукты!$G$6:$G$66,MATCH($E413,Продукты!$A$6:$A$66,0)),0)</f>
        <v>0</v>
      </c>
      <c r="L413" s="12">
        <f>IFERROR($J413/100*INDEX(Продукты!$H$6:$H$66,MATCH($E413,Продукты!$A$6:$A$66,0)),0)</f>
        <v>0</v>
      </c>
      <c r="M413" s="12">
        <f>IFERROR($J413/100*INDEX(Продукты!$I$6:$I$66,MATCH($E413,Продукты!$A$6:$A$66,0)),0)</f>
        <v>0</v>
      </c>
      <c r="N413" s="12">
        <f>IFERROR($J413/100*INDEX(Продукты!$J$6:$J$66,MATCH($E413,Продукты!$A$6:$A$66,0)),0)</f>
        <v>0</v>
      </c>
      <c r="O413" s="3" t="str">
        <f>IFERROR(IF(IFERROR(INDEX(Рецепты!$H$6:$H$85,MATCH(Меню!$D$22,Рецепты!$H$6:$H$85,0)+7)=Меню!$D$22,FALSE),INDEX(Рецепты!$N$6:$N$85,MATCH(Меню!$D$22,Рецепты!$H$6:$H$85,0)+7),""),"")</f>
        <v/>
      </c>
    </row>
    <row r="414" spans="1:15">
      <c r="A414" s="3" t="str">
        <f>IF($E414="","",Меню!$A$22)</f>
        <v/>
      </c>
      <c r="B414" s="3" t="str">
        <f>IF($E414="","",Меню!$B$22)</f>
        <v/>
      </c>
      <c r="C414" s="3" t="str">
        <f>IF($E414="","",Меню!$C$22)</f>
        <v/>
      </c>
      <c r="D414" s="3" t="str">
        <f>IF($E414="","",Меню!$D$22)</f>
        <v/>
      </c>
      <c r="E414" s="3" t="str">
        <f>IFERROR(IF(IFERROR(INDEX(Рецепты!$H$6:$H$85,MATCH(Меню!$D$22,Рецепты!$H$6:$H$85,0)+8)=Меню!$D$22,FALSE),INDEX(Рецепты!$J$6:$J$85,MATCH(Меню!$D$22,Рецепты!$H$6:$H$85,0)+8),""),"")</f>
        <v/>
      </c>
      <c r="F414" s="3" t="str">
        <f>IF($E414="","",INDEX(Рецепты!$K$6:$K$85,MATCH(Меню!$D$22,Рецепты!$H$6:$H$85,0)+8))</f>
        <v/>
      </c>
      <c r="G414" s="3" t="str">
        <f>IF($E414="","",INDEX(Рецепты!$M$6:$M$85,MATCH(Меню!$D$22,Рецепты!$H$6:$H$85,0)+8))</f>
        <v/>
      </c>
      <c r="H414" s="12">
        <f>IFERROR(IF(IFERROR(INDEX(Рецепты!$H$6:$H$85,MATCH(Меню!$D$22,Рецепты!$H$6:$H$85,0)+8)=Меню!$D$22,FALSE),INDEX(Рецепты!$L$6:$L$85,MATCH(Меню!$D$22,Рецепты!$H$6:$H$85,0)+8),0),0)</f>
        <v>0</v>
      </c>
      <c r="I414" s="12" t="str">
        <f>IF($F414="","",Меню!$E$22)</f>
        <v/>
      </c>
      <c r="J414" s="12">
        <f t="shared" si="6"/>
        <v>0</v>
      </c>
      <c r="K414" s="12">
        <f>IFERROR($J414/100*INDEX(Продукты!$G$6:$G$66,MATCH($E414,Продукты!$A$6:$A$66,0)),0)</f>
        <v>0</v>
      </c>
      <c r="L414" s="12">
        <f>IFERROR($J414/100*INDEX(Продукты!$H$6:$H$66,MATCH($E414,Продукты!$A$6:$A$66,0)),0)</f>
        <v>0</v>
      </c>
      <c r="M414" s="12">
        <f>IFERROR($J414/100*INDEX(Продукты!$I$6:$I$66,MATCH($E414,Продукты!$A$6:$A$66,0)),0)</f>
        <v>0</v>
      </c>
      <c r="N414" s="12">
        <f>IFERROR($J414/100*INDEX(Продукты!$J$6:$J$66,MATCH($E414,Продукты!$A$6:$A$66,0)),0)</f>
        <v>0</v>
      </c>
      <c r="O414" s="3" t="str">
        <f>IFERROR(IF(IFERROR(INDEX(Рецепты!$H$6:$H$85,MATCH(Меню!$D$22,Рецепты!$H$6:$H$85,0)+8)=Меню!$D$22,FALSE),INDEX(Рецепты!$N$6:$N$85,MATCH(Меню!$D$22,Рецепты!$H$6:$H$85,0)+8),""),"")</f>
        <v/>
      </c>
    </row>
    <row r="415" spans="1:15">
      <c r="A415" s="3" t="str">
        <f>IF($E415="","",Меню!$A$22)</f>
        <v/>
      </c>
      <c r="B415" s="3" t="str">
        <f>IF($E415="","",Меню!$B$22)</f>
        <v/>
      </c>
      <c r="C415" s="3" t="str">
        <f>IF($E415="","",Меню!$C$22)</f>
        <v/>
      </c>
      <c r="D415" s="3" t="str">
        <f>IF($E415="","",Меню!$D$22)</f>
        <v/>
      </c>
      <c r="E415" s="3" t="str">
        <f>IFERROR(IF(IFERROR(INDEX(Рецепты!$H$6:$H$85,MATCH(Меню!$D$22,Рецепты!$H$6:$H$85,0)+9)=Меню!$D$22,FALSE),INDEX(Рецепты!$J$6:$J$85,MATCH(Меню!$D$22,Рецепты!$H$6:$H$85,0)+9),""),"")</f>
        <v/>
      </c>
      <c r="F415" s="3" t="str">
        <f>IF($E415="","",INDEX(Рецепты!$K$6:$K$85,MATCH(Меню!$D$22,Рецепты!$H$6:$H$85,0)+9))</f>
        <v/>
      </c>
      <c r="G415" s="3" t="str">
        <f>IF($E415="","",INDEX(Рецепты!$M$6:$M$85,MATCH(Меню!$D$22,Рецепты!$H$6:$H$85,0)+9))</f>
        <v/>
      </c>
      <c r="H415" s="12">
        <f>IFERROR(IF(IFERROR(INDEX(Рецепты!$H$6:$H$85,MATCH(Меню!$D$22,Рецепты!$H$6:$H$85,0)+9)=Меню!$D$22,FALSE),INDEX(Рецепты!$L$6:$L$85,MATCH(Меню!$D$22,Рецепты!$H$6:$H$85,0)+9),0),0)</f>
        <v>0</v>
      </c>
      <c r="I415" s="12" t="str">
        <f>IF($F415="","",Меню!$E$22)</f>
        <v/>
      </c>
      <c r="J415" s="12">
        <f t="shared" si="6"/>
        <v>0</v>
      </c>
      <c r="K415" s="12">
        <f>IFERROR($J415/100*INDEX(Продукты!$G$6:$G$66,MATCH($E415,Продукты!$A$6:$A$66,0)),0)</f>
        <v>0</v>
      </c>
      <c r="L415" s="12">
        <f>IFERROR($J415/100*INDEX(Продукты!$H$6:$H$66,MATCH($E415,Продукты!$A$6:$A$66,0)),0)</f>
        <v>0</v>
      </c>
      <c r="M415" s="12">
        <f>IFERROR($J415/100*INDEX(Продукты!$I$6:$I$66,MATCH($E415,Продукты!$A$6:$A$66,0)),0)</f>
        <v>0</v>
      </c>
      <c r="N415" s="12">
        <f>IFERROR($J415/100*INDEX(Продукты!$J$6:$J$66,MATCH($E415,Продукты!$A$6:$A$66,0)),0)</f>
        <v>0</v>
      </c>
      <c r="O415" s="3" t="str">
        <f>IFERROR(IF(IFERROR(INDEX(Рецепты!$H$6:$H$85,MATCH(Меню!$D$22,Рецепты!$H$6:$H$85,0)+9)=Меню!$D$22,FALSE),INDEX(Рецепты!$N$6:$N$85,MATCH(Меню!$D$22,Рецепты!$H$6:$H$85,0)+9),""),"")</f>
        <v/>
      </c>
    </row>
    <row r="416" spans="1:15">
      <c r="A416" s="3" t="str">
        <f>IF($E416="","",Меню!$A$22)</f>
        <v/>
      </c>
      <c r="B416" s="3" t="str">
        <f>IF($E416="","",Меню!$B$22)</f>
        <v/>
      </c>
      <c r="C416" s="3" t="str">
        <f>IF($E416="","",Меню!$C$22)</f>
        <v/>
      </c>
      <c r="D416" s="3" t="str">
        <f>IF($E416="","",Меню!$D$22)</f>
        <v/>
      </c>
      <c r="E416" s="3" t="str">
        <f>IFERROR(IF(IFERROR(INDEX(Рецепты!$H$6:$H$85,MATCH(Меню!$D$22,Рецепты!$H$6:$H$85,0)+10)=Меню!$D$22,FALSE),INDEX(Рецепты!$J$6:$J$85,MATCH(Меню!$D$22,Рецепты!$H$6:$H$85,0)+10),""),"")</f>
        <v/>
      </c>
      <c r="F416" s="3" t="str">
        <f>IF($E416="","",INDEX(Рецепты!$K$6:$K$85,MATCH(Меню!$D$22,Рецепты!$H$6:$H$85,0)+10))</f>
        <v/>
      </c>
      <c r="G416" s="3" t="str">
        <f>IF($E416="","",INDEX(Рецепты!$M$6:$M$85,MATCH(Меню!$D$22,Рецепты!$H$6:$H$85,0)+10))</f>
        <v/>
      </c>
      <c r="H416" s="12">
        <f>IFERROR(IF(IFERROR(INDEX(Рецепты!$H$6:$H$85,MATCH(Меню!$D$22,Рецепты!$H$6:$H$85,0)+10)=Меню!$D$22,FALSE),INDEX(Рецепты!$L$6:$L$85,MATCH(Меню!$D$22,Рецепты!$H$6:$H$85,0)+10),0),0)</f>
        <v>0</v>
      </c>
      <c r="I416" s="12" t="str">
        <f>IF($F416="","",Меню!$E$22)</f>
        <v/>
      </c>
      <c r="J416" s="12">
        <f t="shared" si="6"/>
        <v>0</v>
      </c>
      <c r="K416" s="12">
        <f>IFERROR($J416/100*INDEX(Продукты!$G$6:$G$66,MATCH($E416,Продукты!$A$6:$A$66,0)),0)</f>
        <v>0</v>
      </c>
      <c r="L416" s="12">
        <f>IFERROR($J416/100*INDEX(Продукты!$H$6:$H$66,MATCH($E416,Продукты!$A$6:$A$66,0)),0)</f>
        <v>0</v>
      </c>
      <c r="M416" s="12">
        <f>IFERROR($J416/100*INDEX(Продукты!$I$6:$I$66,MATCH($E416,Продукты!$A$6:$A$66,0)),0)</f>
        <v>0</v>
      </c>
      <c r="N416" s="12">
        <f>IFERROR($J416/100*INDEX(Продукты!$J$6:$J$66,MATCH($E416,Продукты!$A$6:$A$66,0)),0)</f>
        <v>0</v>
      </c>
      <c r="O416" s="3" t="str">
        <f>IFERROR(IF(IFERROR(INDEX(Рецепты!$H$6:$H$85,MATCH(Меню!$D$22,Рецепты!$H$6:$H$85,0)+10)=Меню!$D$22,FALSE),INDEX(Рецепты!$N$6:$N$85,MATCH(Меню!$D$22,Рецепты!$H$6:$H$85,0)+10),""),"")</f>
        <v/>
      </c>
    </row>
    <row r="417" spans="1:15">
      <c r="A417" s="3" t="str">
        <f>IF($E417="","",Меню!$A$22)</f>
        <v/>
      </c>
      <c r="B417" s="3" t="str">
        <f>IF($E417="","",Меню!$B$22)</f>
        <v/>
      </c>
      <c r="C417" s="3" t="str">
        <f>IF($E417="","",Меню!$C$22)</f>
        <v/>
      </c>
      <c r="D417" s="3" t="str">
        <f>IF($E417="","",Меню!$D$22)</f>
        <v/>
      </c>
      <c r="E417" s="3" t="str">
        <f>IFERROR(IF(IFERROR(INDEX(Рецепты!$H$6:$H$85,MATCH(Меню!$D$22,Рецепты!$H$6:$H$85,0)+11)=Меню!$D$22,FALSE),INDEX(Рецепты!$J$6:$J$85,MATCH(Меню!$D$22,Рецепты!$H$6:$H$85,0)+11),""),"")</f>
        <v/>
      </c>
      <c r="F417" s="3" t="str">
        <f>IF($E417="","",INDEX(Рецепты!$K$6:$K$85,MATCH(Меню!$D$22,Рецепты!$H$6:$H$85,0)+11))</f>
        <v/>
      </c>
      <c r="G417" s="3" t="str">
        <f>IF($E417="","",INDEX(Рецепты!$M$6:$M$85,MATCH(Меню!$D$22,Рецепты!$H$6:$H$85,0)+11))</f>
        <v/>
      </c>
      <c r="H417" s="12">
        <f>IFERROR(IF(IFERROR(INDEX(Рецепты!$H$6:$H$85,MATCH(Меню!$D$22,Рецепты!$H$6:$H$85,0)+11)=Меню!$D$22,FALSE),INDEX(Рецепты!$L$6:$L$85,MATCH(Меню!$D$22,Рецепты!$H$6:$H$85,0)+11),0),0)</f>
        <v>0</v>
      </c>
      <c r="I417" s="12" t="str">
        <f>IF($F417="","",Меню!$E$22)</f>
        <v/>
      </c>
      <c r="J417" s="12">
        <f t="shared" si="6"/>
        <v>0</v>
      </c>
      <c r="K417" s="12">
        <f>IFERROR($J417/100*INDEX(Продукты!$G$6:$G$66,MATCH($E417,Продукты!$A$6:$A$66,0)),0)</f>
        <v>0</v>
      </c>
      <c r="L417" s="12">
        <f>IFERROR($J417/100*INDEX(Продукты!$H$6:$H$66,MATCH($E417,Продукты!$A$6:$A$66,0)),0)</f>
        <v>0</v>
      </c>
      <c r="M417" s="12">
        <f>IFERROR($J417/100*INDEX(Продукты!$I$6:$I$66,MATCH($E417,Продукты!$A$6:$A$66,0)),0)</f>
        <v>0</v>
      </c>
      <c r="N417" s="12">
        <f>IFERROR($J417/100*INDEX(Продукты!$J$6:$J$66,MATCH($E417,Продукты!$A$6:$A$66,0)),0)</f>
        <v>0</v>
      </c>
      <c r="O417" s="3" t="str">
        <f>IFERROR(IF(IFERROR(INDEX(Рецепты!$H$6:$H$85,MATCH(Меню!$D$22,Рецепты!$H$6:$H$85,0)+11)=Меню!$D$22,FALSE),INDEX(Рецепты!$N$6:$N$85,MATCH(Меню!$D$22,Рецепты!$H$6:$H$85,0)+11),""),"")</f>
        <v/>
      </c>
    </row>
    <row r="418" spans="1:15">
      <c r="A418" s="3" t="str">
        <f>IF($E418="","",Меню!$A$22)</f>
        <v/>
      </c>
      <c r="B418" s="3" t="str">
        <f>IF($E418="","",Меню!$B$22)</f>
        <v/>
      </c>
      <c r="C418" s="3" t="str">
        <f>IF($E418="","",Меню!$C$22)</f>
        <v/>
      </c>
      <c r="D418" s="3" t="str">
        <f>IF($E418="","",Меню!$D$22)</f>
        <v/>
      </c>
      <c r="E418" s="3" t="str">
        <f>IFERROR(IF(IFERROR(INDEX(Рецепты!$H$6:$H$85,MATCH(Меню!$D$22,Рецепты!$H$6:$H$85,0)+12)=Меню!$D$22,FALSE),INDEX(Рецепты!$J$6:$J$85,MATCH(Меню!$D$22,Рецепты!$H$6:$H$85,0)+12),""),"")</f>
        <v/>
      </c>
      <c r="F418" s="3" t="str">
        <f>IF($E418="","",INDEX(Рецепты!$K$6:$K$85,MATCH(Меню!$D$22,Рецепты!$H$6:$H$85,0)+12))</f>
        <v/>
      </c>
      <c r="G418" s="3" t="str">
        <f>IF($E418="","",INDEX(Рецепты!$M$6:$M$85,MATCH(Меню!$D$22,Рецепты!$H$6:$H$85,0)+12))</f>
        <v/>
      </c>
      <c r="H418" s="12">
        <f>IFERROR(IF(IFERROR(INDEX(Рецепты!$H$6:$H$85,MATCH(Меню!$D$22,Рецепты!$H$6:$H$85,0)+12)=Меню!$D$22,FALSE),INDEX(Рецепты!$L$6:$L$85,MATCH(Меню!$D$22,Рецепты!$H$6:$H$85,0)+12),0),0)</f>
        <v>0</v>
      </c>
      <c r="I418" s="12" t="str">
        <f>IF($F418="","",Меню!$E$22)</f>
        <v/>
      </c>
      <c r="J418" s="12">
        <f t="shared" si="6"/>
        <v>0</v>
      </c>
      <c r="K418" s="12">
        <f>IFERROR($J418/100*INDEX(Продукты!$G$6:$G$66,MATCH($E418,Продукты!$A$6:$A$66,0)),0)</f>
        <v>0</v>
      </c>
      <c r="L418" s="12">
        <f>IFERROR($J418/100*INDEX(Продукты!$H$6:$H$66,MATCH($E418,Продукты!$A$6:$A$66,0)),0)</f>
        <v>0</v>
      </c>
      <c r="M418" s="12">
        <f>IFERROR($J418/100*INDEX(Продукты!$I$6:$I$66,MATCH($E418,Продукты!$A$6:$A$66,0)),0)</f>
        <v>0</v>
      </c>
      <c r="N418" s="12">
        <f>IFERROR($J418/100*INDEX(Продукты!$J$6:$J$66,MATCH($E418,Продукты!$A$6:$A$66,0)),0)</f>
        <v>0</v>
      </c>
      <c r="O418" s="3" t="str">
        <f>IFERROR(IF(IFERROR(INDEX(Рецепты!$H$6:$H$85,MATCH(Меню!$D$22,Рецепты!$H$6:$H$85,0)+12)=Меню!$D$22,FALSE),INDEX(Рецепты!$N$6:$N$85,MATCH(Меню!$D$22,Рецепты!$H$6:$H$85,0)+12),""),"")</f>
        <v/>
      </c>
    </row>
    <row r="419" spans="1:15">
      <c r="A419" s="3" t="str">
        <f>IF($E419="","",Меню!$A$22)</f>
        <v/>
      </c>
      <c r="B419" s="3" t="str">
        <f>IF($E419="","",Меню!$B$22)</f>
        <v/>
      </c>
      <c r="C419" s="3" t="str">
        <f>IF($E419="","",Меню!$C$22)</f>
        <v/>
      </c>
      <c r="D419" s="3" t="str">
        <f>IF($E419="","",Меню!$D$22)</f>
        <v/>
      </c>
      <c r="E419" s="3" t="str">
        <f>IFERROR(IF(IFERROR(INDEX(Рецепты!$H$6:$H$85,MATCH(Меню!$D$22,Рецепты!$H$6:$H$85,0)+13)=Меню!$D$22,FALSE),INDEX(Рецепты!$J$6:$J$85,MATCH(Меню!$D$22,Рецепты!$H$6:$H$85,0)+13),""),"")</f>
        <v/>
      </c>
      <c r="F419" s="3" t="str">
        <f>IF($E419="","",INDEX(Рецепты!$K$6:$K$85,MATCH(Меню!$D$22,Рецепты!$H$6:$H$85,0)+13))</f>
        <v/>
      </c>
      <c r="G419" s="3" t="str">
        <f>IF($E419="","",INDEX(Рецепты!$M$6:$M$85,MATCH(Меню!$D$22,Рецепты!$H$6:$H$85,0)+13))</f>
        <v/>
      </c>
      <c r="H419" s="12">
        <f>IFERROR(IF(IFERROR(INDEX(Рецепты!$H$6:$H$85,MATCH(Меню!$D$22,Рецепты!$H$6:$H$85,0)+13)=Меню!$D$22,FALSE),INDEX(Рецепты!$L$6:$L$85,MATCH(Меню!$D$22,Рецепты!$H$6:$H$85,0)+13),0),0)</f>
        <v>0</v>
      </c>
      <c r="I419" s="12" t="str">
        <f>IF($F419="","",Меню!$E$22)</f>
        <v/>
      </c>
      <c r="J419" s="12">
        <f t="shared" si="6"/>
        <v>0</v>
      </c>
      <c r="K419" s="12">
        <f>IFERROR($J419/100*INDEX(Продукты!$G$6:$G$66,MATCH($E419,Продукты!$A$6:$A$66,0)),0)</f>
        <v>0</v>
      </c>
      <c r="L419" s="12">
        <f>IFERROR($J419/100*INDEX(Продукты!$H$6:$H$66,MATCH($E419,Продукты!$A$6:$A$66,0)),0)</f>
        <v>0</v>
      </c>
      <c r="M419" s="12">
        <f>IFERROR($J419/100*INDEX(Продукты!$I$6:$I$66,MATCH($E419,Продукты!$A$6:$A$66,0)),0)</f>
        <v>0</v>
      </c>
      <c r="N419" s="12">
        <f>IFERROR($J419/100*INDEX(Продукты!$J$6:$J$66,MATCH($E419,Продукты!$A$6:$A$66,0)),0)</f>
        <v>0</v>
      </c>
      <c r="O419" s="3" t="str">
        <f>IFERROR(IF(IFERROR(INDEX(Рецепты!$H$6:$H$85,MATCH(Меню!$D$22,Рецепты!$H$6:$H$85,0)+13)=Меню!$D$22,FALSE),INDEX(Рецепты!$N$6:$N$85,MATCH(Меню!$D$22,Рецепты!$H$6:$H$85,0)+13),""),"")</f>
        <v/>
      </c>
    </row>
    <row r="420" spans="1:15">
      <c r="A420" s="3" t="str">
        <f>IF($E420="","",Меню!$A$22)</f>
        <v/>
      </c>
      <c r="B420" s="3" t="str">
        <f>IF($E420="","",Меню!$B$22)</f>
        <v/>
      </c>
      <c r="C420" s="3" t="str">
        <f>IF($E420="","",Меню!$C$22)</f>
        <v/>
      </c>
      <c r="D420" s="3" t="str">
        <f>IF($E420="","",Меню!$D$22)</f>
        <v/>
      </c>
      <c r="E420" s="3" t="str">
        <f>IFERROR(IF(IFERROR(INDEX(Рецепты!$H$6:$H$85,MATCH(Меню!$D$22,Рецепты!$H$6:$H$85,0)+14)=Меню!$D$22,FALSE),INDEX(Рецепты!$J$6:$J$85,MATCH(Меню!$D$22,Рецепты!$H$6:$H$85,0)+14),""),"")</f>
        <v/>
      </c>
      <c r="F420" s="3" t="str">
        <f>IF($E420="","",INDEX(Рецепты!$K$6:$K$85,MATCH(Меню!$D$22,Рецепты!$H$6:$H$85,0)+14))</f>
        <v/>
      </c>
      <c r="G420" s="3" t="str">
        <f>IF($E420="","",INDEX(Рецепты!$M$6:$M$85,MATCH(Меню!$D$22,Рецепты!$H$6:$H$85,0)+14))</f>
        <v/>
      </c>
      <c r="H420" s="12">
        <f>IFERROR(IF(IFERROR(INDEX(Рецепты!$H$6:$H$85,MATCH(Меню!$D$22,Рецепты!$H$6:$H$85,0)+14)=Меню!$D$22,FALSE),INDEX(Рецепты!$L$6:$L$85,MATCH(Меню!$D$22,Рецепты!$H$6:$H$85,0)+14),0),0)</f>
        <v>0</v>
      </c>
      <c r="I420" s="12" t="str">
        <f>IF($F420="","",Меню!$E$22)</f>
        <v/>
      </c>
      <c r="J420" s="12">
        <f t="shared" si="6"/>
        <v>0</v>
      </c>
      <c r="K420" s="12">
        <f>IFERROR($J420/100*INDEX(Продукты!$G$6:$G$66,MATCH($E420,Продукты!$A$6:$A$66,0)),0)</f>
        <v>0</v>
      </c>
      <c r="L420" s="12">
        <f>IFERROR($J420/100*INDEX(Продукты!$H$6:$H$66,MATCH($E420,Продукты!$A$6:$A$66,0)),0)</f>
        <v>0</v>
      </c>
      <c r="M420" s="12">
        <f>IFERROR($J420/100*INDEX(Продукты!$I$6:$I$66,MATCH($E420,Продукты!$A$6:$A$66,0)),0)</f>
        <v>0</v>
      </c>
      <c r="N420" s="12">
        <f>IFERROR($J420/100*INDEX(Продукты!$J$6:$J$66,MATCH($E420,Продукты!$A$6:$A$66,0)),0)</f>
        <v>0</v>
      </c>
      <c r="O420" s="3" t="str">
        <f>IFERROR(IF(IFERROR(INDEX(Рецепты!$H$6:$H$85,MATCH(Меню!$D$22,Рецепты!$H$6:$H$85,0)+14)=Меню!$D$22,FALSE),INDEX(Рецепты!$N$6:$N$85,MATCH(Меню!$D$22,Рецепты!$H$6:$H$85,0)+14),""),"")</f>
        <v/>
      </c>
    </row>
    <row r="421" spans="1:15">
      <c r="A421" s="3" t="str">
        <f>IF($E421="","",Меню!$A$22)</f>
        <v/>
      </c>
      <c r="B421" s="3" t="str">
        <f>IF($E421="","",Меню!$B$22)</f>
        <v/>
      </c>
      <c r="C421" s="3" t="str">
        <f>IF($E421="","",Меню!$C$22)</f>
        <v/>
      </c>
      <c r="D421" s="3" t="str">
        <f>IF($E421="","",Меню!$D$22)</f>
        <v/>
      </c>
      <c r="E421" s="3" t="str">
        <f>IFERROR(IF(IFERROR(INDEX(Рецепты!$H$6:$H$85,MATCH(Меню!$D$22,Рецепты!$H$6:$H$85,0)+15)=Меню!$D$22,FALSE),INDEX(Рецепты!$J$6:$J$85,MATCH(Меню!$D$22,Рецепты!$H$6:$H$85,0)+15),""),"")</f>
        <v/>
      </c>
      <c r="F421" s="3" t="str">
        <f>IF($E421="","",INDEX(Рецепты!$K$6:$K$85,MATCH(Меню!$D$22,Рецепты!$H$6:$H$85,0)+15))</f>
        <v/>
      </c>
      <c r="G421" s="3" t="str">
        <f>IF($E421="","",INDEX(Рецепты!$M$6:$M$85,MATCH(Меню!$D$22,Рецепты!$H$6:$H$85,0)+15))</f>
        <v/>
      </c>
      <c r="H421" s="12">
        <f>IFERROR(IF(IFERROR(INDEX(Рецепты!$H$6:$H$85,MATCH(Меню!$D$22,Рецепты!$H$6:$H$85,0)+15)=Меню!$D$22,FALSE),INDEX(Рецепты!$L$6:$L$85,MATCH(Меню!$D$22,Рецепты!$H$6:$H$85,0)+15),0),0)</f>
        <v>0</v>
      </c>
      <c r="I421" s="12" t="str">
        <f>IF($F421="","",Меню!$E$22)</f>
        <v/>
      </c>
      <c r="J421" s="12">
        <f t="shared" si="6"/>
        <v>0</v>
      </c>
      <c r="K421" s="12">
        <f>IFERROR($J421/100*INDEX(Продукты!$G$6:$G$66,MATCH($E421,Продукты!$A$6:$A$66,0)),0)</f>
        <v>0</v>
      </c>
      <c r="L421" s="12">
        <f>IFERROR($J421/100*INDEX(Продукты!$H$6:$H$66,MATCH($E421,Продукты!$A$6:$A$66,0)),0)</f>
        <v>0</v>
      </c>
      <c r="M421" s="12">
        <f>IFERROR($J421/100*INDEX(Продукты!$I$6:$I$66,MATCH($E421,Продукты!$A$6:$A$66,0)),0)</f>
        <v>0</v>
      </c>
      <c r="N421" s="12">
        <f>IFERROR($J421/100*INDEX(Продукты!$J$6:$J$66,MATCH($E421,Продукты!$A$6:$A$66,0)),0)</f>
        <v>0</v>
      </c>
      <c r="O421" s="3" t="str">
        <f>IFERROR(IF(IFERROR(INDEX(Рецепты!$H$6:$H$85,MATCH(Меню!$D$22,Рецепты!$H$6:$H$85,0)+15)=Меню!$D$22,FALSE),INDEX(Рецепты!$N$6:$N$85,MATCH(Меню!$D$22,Рецепты!$H$6:$H$85,0)+15),""),"")</f>
        <v/>
      </c>
    </row>
    <row r="422" spans="1:15">
      <c r="A422" s="3" t="str">
        <f>IF($E422="","",Меню!$A$22)</f>
        <v/>
      </c>
      <c r="B422" s="3" t="str">
        <f>IF($E422="","",Меню!$B$22)</f>
        <v/>
      </c>
      <c r="C422" s="3" t="str">
        <f>IF($E422="","",Меню!$C$22)</f>
        <v/>
      </c>
      <c r="D422" s="3" t="str">
        <f>IF($E422="","",Меню!$D$22)</f>
        <v/>
      </c>
      <c r="E422" s="3" t="str">
        <f>IFERROR(IF(IFERROR(INDEX(Рецепты!$H$6:$H$85,MATCH(Меню!$D$22,Рецепты!$H$6:$H$85,0)+16)=Меню!$D$22,FALSE),INDEX(Рецепты!$J$6:$J$85,MATCH(Меню!$D$22,Рецепты!$H$6:$H$85,0)+16),""),"")</f>
        <v/>
      </c>
      <c r="F422" s="3" t="str">
        <f>IF($E422="","",INDEX(Рецепты!$K$6:$K$85,MATCH(Меню!$D$22,Рецепты!$H$6:$H$85,0)+16))</f>
        <v/>
      </c>
      <c r="G422" s="3" t="str">
        <f>IF($E422="","",INDEX(Рецепты!$M$6:$M$85,MATCH(Меню!$D$22,Рецепты!$H$6:$H$85,0)+16))</f>
        <v/>
      </c>
      <c r="H422" s="12">
        <f>IFERROR(IF(IFERROR(INDEX(Рецепты!$H$6:$H$85,MATCH(Меню!$D$22,Рецепты!$H$6:$H$85,0)+16)=Меню!$D$22,FALSE),INDEX(Рецепты!$L$6:$L$85,MATCH(Меню!$D$22,Рецепты!$H$6:$H$85,0)+16),0),0)</f>
        <v>0</v>
      </c>
      <c r="I422" s="12" t="str">
        <f>IF($F422="","",Меню!$E$22)</f>
        <v/>
      </c>
      <c r="J422" s="12">
        <f t="shared" si="6"/>
        <v>0</v>
      </c>
      <c r="K422" s="12">
        <f>IFERROR($J422/100*INDEX(Продукты!$G$6:$G$66,MATCH($E422,Продукты!$A$6:$A$66,0)),0)</f>
        <v>0</v>
      </c>
      <c r="L422" s="12">
        <f>IFERROR($J422/100*INDEX(Продукты!$H$6:$H$66,MATCH($E422,Продукты!$A$6:$A$66,0)),0)</f>
        <v>0</v>
      </c>
      <c r="M422" s="12">
        <f>IFERROR($J422/100*INDEX(Продукты!$I$6:$I$66,MATCH($E422,Продукты!$A$6:$A$66,0)),0)</f>
        <v>0</v>
      </c>
      <c r="N422" s="12">
        <f>IFERROR($J422/100*INDEX(Продукты!$J$6:$J$66,MATCH($E422,Продукты!$A$6:$A$66,0)),0)</f>
        <v>0</v>
      </c>
      <c r="O422" s="3" t="str">
        <f>IFERROR(IF(IFERROR(INDEX(Рецепты!$H$6:$H$85,MATCH(Меню!$D$22,Рецепты!$H$6:$H$85,0)+16)=Меню!$D$22,FALSE),INDEX(Рецепты!$N$6:$N$85,MATCH(Меню!$D$22,Рецепты!$H$6:$H$85,0)+16),""),"")</f>
        <v/>
      </c>
    </row>
    <row r="423" spans="1:15">
      <c r="A423" s="3" t="str">
        <f>IF($E423="","",Меню!$A$22)</f>
        <v/>
      </c>
      <c r="B423" s="3" t="str">
        <f>IF($E423="","",Меню!$B$22)</f>
        <v/>
      </c>
      <c r="C423" s="3" t="str">
        <f>IF($E423="","",Меню!$C$22)</f>
        <v/>
      </c>
      <c r="D423" s="3" t="str">
        <f>IF($E423="","",Меню!$D$22)</f>
        <v/>
      </c>
      <c r="E423" s="3" t="str">
        <f>IFERROR(IF(IFERROR(INDEX(Рецепты!$H$6:$H$85,MATCH(Меню!$D$22,Рецепты!$H$6:$H$85,0)+17)=Меню!$D$22,FALSE),INDEX(Рецепты!$J$6:$J$85,MATCH(Меню!$D$22,Рецепты!$H$6:$H$85,0)+17),""),"")</f>
        <v/>
      </c>
      <c r="F423" s="3" t="str">
        <f>IF($E423="","",INDEX(Рецепты!$K$6:$K$85,MATCH(Меню!$D$22,Рецепты!$H$6:$H$85,0)+17))</f>
        <v/>
      </c>
      <c r="G423" s="3" t="str">
        <f>IF($E423="","",INDEX(Рецепты!$M$6:$M$85,MATCH(Меню!$D$22,Рецепты!$H$6:$H$85,0)+17))</f>
        <v/>
      </c>
      <c r="H423" s="12">
        <f>IFERROR(IF(IFERROR(INDEX(Рецепты!$H$6:$H$85,MATCH(Меню!$D$22,Рецепты!$H$6:$H$85,0)+17)=Меню!$D$22,FALSE),INDEX(Рецепты!$L$6:$L$85,MATCH(Меню!$D$22,Рецепты!$H$6:$H$85,0)+17),0),0)</f>
        <v>0</v>
      </c>
      <c r="I423" s="12" t="str">
        <f>IF($F423="","",Меню!$E$22)</f>
        <v/>
      </c>
      <c r="J423" s="12">
        <f t="shared" si="6"/>
        <v>0</v>
      </c>
      <c r="K423" s="12">
        <f>IFERROR($J423/100*INDEX(Продукты!$G$6:$G$66,MATCH($E423,Продукты!$A$6:$A$66,0)),0)</f>
        <v>0</v>
      </c>
      <c r="L423" s="12">
        <f>IFERROR($J423/100*INDEX(Продукты!$H$6:$H$66,MATCH($E423,Продукты!$A$6:$A$66,0)),0)</f>
        <v>0</v>
      </c>
      <c r="M423" s="12">
        <f>IFERROR($J423/100*INDEX(Продукты!$I$6:$I$66,MATCH($E423,Продукты!$A$6:$A$66,0)),0)</f>
        <v>0</v>
      </c>
      <c r="N423" s="12">
        <f>IFERROR($J423/100*INDEX(Продукты!$J$6:$J$66,MATCH($E423,Продукты!$A$6:$A$66,0)),0)</f>
        <v>0</v>
      </c>
      <c r="O423" s="3" t="str">
        <f>IFERROR(IF(IFERROR(INDEX(Рецепты!$H$6:$H$85,MATCH(Меню!$D$22,Рецепты!$H$6:$H$85,0)+17)=Меню!$D$22,FALSE),INDEX(Рецепты!$N$6:$N$85,MATCH(Меню!$D$22,Рецепты!$H$6:$H$85,0)+17),""),"")</f>
        <v/>
      </c>
    </row>
    <row r="424" spans="1:15">
      <c r="A424" s="3" t="str">
        <f>IF($E424="","",Меню!$A$22)</f>
        <v/>
      </c>
      <c r="B424" s="3" t="str">
        <f>IF($E424="","",Меню!$B$22)</f>
        <v/>
      </c>
      <c r="C424" s="3" t="str">
        <f>IF($E424="","",Меню!$C$22)</f>
        <v/>
      </c>
      <c r="D424" s="3" t="str">
        <f>IF($E424="","",Меню!$D$22)</f>
        <v/>
      </c>
      <c r="E424" s="3" t="str">
        <f>IFERROR(IF(IFERROR(INDEX(Рецепты!$H$6:$H$85,MATCH(Меню!$D$22,Рецепты!$H$6:$H$85,0)+18)=Меню!$D$22,FALSE),INDEX(Рецепты!$J$6:$J$85,MATCH(Меню!$D$22,Рецепты!$H$6:$H$85,0)+18),""),"")</f>
        <v/>
      </c>
      <c r="F424" s="3" t="str">
        <f>IF($E424="","",INDEX(Рецепты!$K$6:$K$85,MATCH(Меню!$D$22,Рецепты!$H$6:$H$85,0)+18))</f>
        <v/>
      </c>
      <c r="G424" s="3" t="str">
        <f>IF($E424="","",INDEX(Рецепты!$M$6:$M$85,MATCH(Меню!$D$22,Рецепты!$H$6:$H$85,0)+18))</f>
        <v/>
      </c>
      <c r="H424" s="12">
        <f>IFERROR(IF(IFERROR(INDEX(Рецепты!$H$6:$H$85,MATCH(Меню!$D$22,Рецепты!$H$6:$H$85,0)+18)=Меню!$D$22,FALSE),INDEX(Рецепты!$L$6:$L$85,MATCH(Меню!$D$22,Рецепты!$H$6:$H$85,0)+18),0),0)</f>
        <v>0</v>
      </c>
      <c r="I424" s="12" t="str">
        <f>IF($F424="","",Меню!$E$22)</f>
        <v/>
      </c>
      <c r="J424" s="12">
        <f t="shared" si="6"/>
        <v>0</v>
      </c>
      <c r="K424" s="12">
        <f>IFERROR($J424/100*INDEX(Продукты!$G$6:$G$66,MATCH($E424,Продукты!$A$6:$A$66,0)),0)</f>
        <v>0</v>
      </c>
      <c r="L424" s="12">
        <f>IFERROR($J424/100*INDEX(Продукты!$H$6:$H$66,MATCH($E424,Продукты!$A$6:$A$66,0)),0)</f>
        <v>0</v>
      </c>
      <c r="M424" s="12">
        <f>IFERROR($J424/100*INDEX(Продукты!$I$6:$I$66,MATCH($E424,Продукты!$A$6:$A$66,0)),0)</f>
        <v>0</v>
      </c>
      <c r="N424" s="12">
        <f>IFERROR($J424/100*INDEX(Продукты!$J$6:$J$66,MATCH($E424,Продукты!$A$6:$A$66,0)),0)</f>
        <v>0</v>
      </c>
      <c r="O424" s="3" t="str">
        <f>IFERROR(IF(IFERROR(INDEX(Рецепты!$H$6:$H$85,MATCH(Меню!$D$22,Рецепты!$H$6:$H$85,0)+18)=Меню!$D$22,FALSE),INDEX(Рецепты!$N$6:$N$85,MATCH(Меню!$D$22,Рецепты!$H$6:$H$85,0)+18),""),"")</f>
        <v/>
      </c>
    </row>
    <row r="425" spans="1:15">
      <c r="A425" s="3" t="str">
        <f>IF($E425="","",Меню!$A$22)</f>
        <v/>
      </c>
      <c r="B425" s="3" t="str">
        <f>IF($E425="","",Меню!$B$22)</f>
        <v/>
      </c>
      <c r="C425" s="3" t="str">
        <f>IF($E425="","",Меню!$C$22)</f>
        <v/>
      </c>
      <c r="D425" s="3" t="str">
        <f>IF($E425="","",Меню!$D$22)</f>
        <v/>
      </c>
      <c r="E425" s="3" t="str">
        <f>IFERROR(IF(IFERROR(INDEX(Рецепты!$H$6:$H$85,MATCH(Меню!$D$22,Рецепты!$H$6:$H$85,0)+19)=Меню!$D$22,FALSE),INDEX(Рецепты!$J$6:$J$85,MATCH(Меню!$D$22,Рецепты!$H$6:$H$85,0)+19),""),"")</f>
        <v/>
      </c>
      <c r="F425" s="3" t="str">
        <f>IF($E425="","",INDEX(Рецепты!$K$6:$K$85,MATCH(Меню!$D$22,Рецепты!$H$6:$H$85,0)+19))</f>
        <v/>
      </c>
      <c r="G425" s="3" t="str">
        <f>IF($E425="","",INDEX(Рецепты!$M$6:$M$85,MATCH(Меню!$D$22,Рецепты!$H$6:$H$85,0)+19))</f>
        <v/>
      </c>
      <c r="H425" s="12">
        <f>IFERROR(IF(IFERROR(INDEX(Рецепты!$H$6:$H$85,MATCH(Меню!$D$22,Рецепты!$H$6:$H$85,0)+19)=Меню!$D$22,FALSE),INDEX(Рецепты!$L$6:$L$85,MATCH(Меню!$D$22,Рецепты!$H$6:$H$85,0)+19),0),0)</f>
        <v>0</v>
      </c>
      <c r="I425" s="12" t="str">
        <f>IF($F425="","",Меню!$E$22)</f>
        <v/>
      </c>
      <c r="J425" s="12">
        <f t="shared" si="6"/>
        <v>0</v>
      </c>
      <c r="K425" s="12">
        <f>IFERROR($J425/100*INDEX(Продукты!$G$6:$G$66,MATCH($E425,Продукты!$A$6:$A$66,0)),0)</f>
        <v>0</v>
      </c>
      <c r="L425" s="12">
        <f>IFERROR($J425/100*INDEX(Продукты!$H$6:$H$66,MATCH($E425,Продукты!$A$6:$A$66,0)),0)</f>
        <v>0</v>
      </c>
      <c r="M425" s="12">
        <f>IFERROR($J425/100*INDEX(Продукты!$I$6:$I$66,MATCH($E425,Продукты!$A$6:$A$66,0)),0)</f>
        <v>0</v>
      </c>
      <c r="N425" s="12">
        <f>IFERROR($J425/100*INDEX(Продукты!$J$6:$J$66,MATCH($E425,Продукты!$A$6:$A$66,0)),0)</f>
        <v>0</v>
      </c>
      <c r="O425" s="3" t="str">
        <f>IFERROR(IF(IFERROR(INDEX(Рецепты!$H$6:$H$85,MATCH(Меню!$D$22,Рецепты!$H$6:$H$85,0)+19)=Меню!$D$22,FALSE),INDEX(Рецепты!$N$6:$N$85,MATCH(Меню!$D$22,Рецепты!$H$6:$H$85,0)+19),""),"")</f>
        <v/>
      </c>
    </row>
    <row r="426" spans="1:15">
      <c r="A426" s="3" t="str">
        <f>IF($E426="","",Меню!$A$22)</f>
        <v/>
      </c>
      <c r="B426" s="3" t="str">
        <f>IF($E426="","",Меню!$B$22)</f>
        <v/>
      </c>
      <c r="C426" s="3" t="str">
        <f>IF($E426="","",Меню!$C$22)</f>
        <v/>
      </c>
      <c r="D426" s="3" t="str">
        <f>IF($E426="","",Меню!$D$22)</f>
        <v/>
      </c>
      <c r="E426" s="3" t="str">
        <f>IFERROR(IF(IFERROR(INDEX(Рецепты!$H$6:$H$85,MATCH(Меню!$D$22,Рецепты!$H$6:$H$85,0)+20)=Меню!$D$22,FALSE),INDEX(Рецепты!$J$6:$J$85,MATCH(Меню!$D$22,Рецепты!$H$6:$H$85,0)+20),""),"")</f>
        <v/>
      </c>
      <c r="F426" s="3" t="str">
        <f>IF($E426="","",INDEX(Рецепты!$K$6:$K$85,MATCH(Меню!$D$22,Рецепты!$H$6:$H$85,0)+20))</f>
        <v/>
      </c>
      <c r="G426" s="3" t="str">
        <f>IF($E426="","",INDEX(Рецепты!$M$6:$M$85,MATCH(Меню!$D$22,Рецепты!$H$6:$H$85,0)+20))</f>
        <v/>
      </c>
      <c r="H426" s="12">
        <f>IFERROR(IF(IFERROR(INDEX(Рецепты!$H$6:$H$85,MATCH(Меню!$D$22,Рецепты!$H$6:$H$85,0)+20)=Меню!$D$22,FALSE),INDEX(Рецепты!$L$6:$L$85,MATCH(Меню!$D$22,Рецепты!$H$6:$H$85,0)+20),0),0)</f>
        <v>0</v>
      </c>
      <c r="I426" s="12" t="str">
        <f>IF($F426="","",Меню!$E$22)</f>
        <v/>
      </c>
      <c r="J426" s="12">
        <f t="shared" si="6"/>
        <v>0</v>
      </c>
      <c r="K426" s="12">
        <f>IFERROR($J426/100*INDEX(Продукты!$G$6:$G$66,MATCH($E426,Продукты!$A$6:$A$66,0)),0)</f>
        <v>0</v>
      </c>
      <c r="L426" s="12">
        <f>IFERROR($J426/100*INDEX(Продукты!$H$6:$H$66,MATCH($E426,Продукты!$A$6:$A$66,0)),0)</f>
        <v>0</v>
      </c>
      <c r="M426" s="12">
        <f>IFERROR($J426/100*INDEX(Продукты!$I$6:$I$66,MATCH($E426,Продукты!$A$6:$A$66,0)),0)</f>
        <v>0</v>
      </c>
      <c r="N426" s="12">
        <f>IFERROR($J426/100*INDEX(Продукты!$J$6:$J$66,MATCH($E426,Продукты!$A$6:$A$66,0)),0)</f>
        <v>0</v>
      </c>
      <c r="O426" s="3" t="str">
        <f>IFERROR(IF(IFERROR(INDEX(Рецепты!$H$6:$H$85,MATCH(Меню!$D$22,Рецепты!$H$6:$H$85,0)+20)=Меню!$D$22,FALSE),INDEX(Рецепты!$N$6:$N$85,MATCH(Меню!$D$22,Рецепты!$H$6:$H$85,0)+20),""),"")</f>
        <v/>
      </c>
    </row>
    <row r="427" spans="1:15">
      <c r="A427" s="3" t="str">
        <f>IF($E427="","",Меню!$A$22)</f>
        <v/>
      </c>
      <c r="B427" s="3" t="str">
        <f>IF($E427="","",Меню!$B$22)</f>
        <v/>
      </c>
      <c r="C427" s="3" t="str">
        <f>IF($E427="","",Меню!$C$22)</f>
        <v/>
      </c>
      <c r="D427" s="3" t="str">
        <f>IF($E427="","",Меню!$D$22)</f>
        <v/>
      </c>
      <c r="E427" s="3" t="str">
        <f>IFERROR(IF(IFERROR(INDEX(Рецепты!$H$6:$H$85,MATCH(Меню!$D$22,Рецепты!$H$6:$H$85,0)+21)=Меню!$D$22,FALSE),INDEX(Рецепты!$J$6:$J$85,MATCH(Меню!$D$22,Рецепты!$H$6:$H$85,0)+21),""),"")</f>
        <v/>
      </c>
      <c r="F427" s="3" t="str">
        <f>IF($E427="","",INDEX(Рецепты!$K$6:$K$85,MATCH(Меню!$D$22,Рецепты!$H$6:$H$85,0)+21))</f>
        <v/>
      </c>
      <c r="G427" s="3" t="str">
        <f>IF($E427="","",INDEX(Рецепты!$M$6:$M$85,MATCH(Меню!$D$22,Рецепты!$H$6:$H$85,0)+21))</f>
        <v/>
      </c>
      <c r="H427" s="12">
        <f>IFERROR(IF(IFERROR(INDEX(Рецепты!$H$6:$H$85,MATCH(Меню!$D$22,Рецепты!$H$6:$H$85,0)+21)=Меню!$D$22,FALSE),INDEX(Рецепты!$L$6:$L$85,MATCH(Меню!$D$22,Рецепты!$H$6:$H$85,0)+21),0),0)</f>
        <v>0</v>
      </c>
      <c r="I427" s="12" t="str">
        <f>IF($F427="","",Меню!$E$22)</f>
        <v/>
      </c>
      <c r="J427" s="12">
        <f t="shared" si="6"/>
        <v>0</v>
      </c>
      <c r="K427" s="12">
        <f>IFERROR($J427/100*INDEX(Продукты!$G$6:$G$66,MATCH($E427,Продукты!$A$6:$A$66,0)),0)</f>
        <v>0</v>
      </c>
      <c r="L427" s="12">
        <f>IFERROR($J427/100*INDEX(Продукты!$H$6:$H$66,MATCH($E427,Продукты!$A$6:$A$66,0)),0)</f>
        <v>0</v>
      </c>
      <c r="M427" s="12">
        <f>IFERROR($J427/100*INDEX(Продукты!$I$6:$I$66,MATCH($E427,Продукты!$A$6:$A$66,0)),0)</f>
        <v>0</v>
      </c>
      <c r="N427" s="12">
        <f>IFERROR($J427/100*INDEX(Продукты!$J$6:$J$66,MATCH($E427,Продукты!$A$6:$A$66,0)),0)</f>
        <v>0</v>
      </c>
      <c r="O427" s="3" t="str">
        <f>IFERROR(IF(IFERROR(INDEX(Рецепты!$H$6:$H$85,MATCH(Меню!$D$22,Рецепты!$H$6:$H$85,0)+21)=Меню!$D$22,FALSE),INDEX(Рецепты!$N$6:$N$85,MATCH(Меню!$D$22,Рецепты!$H$6:$H$85,0)+21),""),"")</f>
        <v/>
      </c>
    </row>
    <row r="428" spans="1:15">
      <c r="A428" s="3" t="str">
        <f>IF($E428="","",Меню!$A$22)</f>
        <v/>
      </c>
      <c r="B428" s="3" t="str">
        <f>IF($E428="","",Меню!$B$22)</f>
        <v/>
      </c>
      <c r="C428" s="3" t="str">
        <f>IF($E428="","",Меню!$C$22)</f>
        <v/>
      </c>
      <c r="D428" s="3" t="str">
        <f>IF($E428="","",Меню!$D$22)</f>
        <v/>
      </c>
      <c r="E428" s="3" t="str">
        <f>IFERROR(IF(IFERROR(INDEX(Рецепты!$H$6:$H$85,MATCH(Меню!$D$22,Рецепты!$H$6:$H$85,0)+22)=Меню!$D$22,FALSE),INDEX(Рецепты!$J$6:$J$85,MATCH(Меню!$D$22,Рецепты!$H$6:$H$85,0)+22),""),"")</f>
        <v/>
      </c>
      <c r="F428" s="3" t="str">
        <f>IF($E428="","",INDEX(Рецепты!$K$6:$K$85,MATCH(Меню!$D$22,Рецепты!$H$6:$H$85,0)+22))</f>
        <v/>
      </c>
      <c r="G428" s="3" t="str">
        <f>IF($E428="","",INDEX(Рецепты!$M$6:$M$85,MATCH(Меню!$D$22,Рецепты!$H$6:$H$85,0)+22))</f>
        <v/>
      </c>
      <c r="H428" s="12">
        <f>IFERROR(IF(IFERROR(INDEX(Рецепты!$H$6:$H$85,MATCH(Меню!$D$22,Рецепты!$H$6:$H$85,0)+22)=Меню!$D$22,FALSE),INDEX(Рецепты!$L$6:$L$85,MATCH(Меню!$D$22,Рецепты!$H$6:$H$85,0)+22),0),0)</f>
        <v>0</v>
      </c>
      <c r="I428" s="12" t="str">
        <f>IF($F428="","",Меню!$E$22)</f>
        <v/>
      </c>
      <c r="J428" s="12">
        <f t="shared" si="6"/>
        <v>0</v>
      </c>
      <c r="K428" s="12">
        <f>IFERROR($J428/100*INDEX(Продукты!$G$6:$G$66,MATCH($E428,Продукты!$A$6:$A$66,0)),0)</f>
        <v>0</v>
      </c>
      <c r="L428" s="12">
        <f>IFERROR($J428/100*INDEX(Продукты!$H$6:$H$66,MATCH($E428,Продукты!$A$6:$A$66,0)),0)</f>
        <v>0</v>
      </c>
      <c r="M428" s="12">
        <f>IFERROR($J428/100*INDEX(Продукты!$I$6:$I$66,MATCH($E428,Продукты!$A$6:$A$66,0)),0)</f>
        <v>0</v>
      </c>
      <c r="N428" s="12">
        <f>IFERROR($J428/100*INDEX(Продукты!$J$6:$J$66,MATCH($E428,Продукты!$A$6:$A$66,0)),0)</f>
        <v>0</v>
      </c>
      <c r="O428" s="3" t="str">
        <f>IFERROR(IF(IFERROR(INDEX(Рецепты!$H$6:$H$85,MATCH(Меню!$D$22,Рецепты!$H$6:$H$85,0)+22)=Меню!$D$22,FALSE),INDEX(Рецепты!$N$6:$N$85,MATCH(Меню!$D$22,Рецепты!$H$6:$H$85,0)+22),""),"")</f>
        <v/>
      </c>
    </row>
    <row r="429" spans="1:15">
      <c r="A429" s="3" t="str">
        <f>IF($E429="","",Меню!$A$22)</f>
        <v/>
      </c>
      <c r="B429" s="3" t="str">
        <f>IF($E429="","",Меню!$B$22)</f>
        <v/>
      </c>
      <c r="C429" s="3" t="str">
        <f>IF($E429="","",Меню!$C$22)</f>
        <v/>
      </c>
      <c r="D429" s="3" t="str">
        <f>IF($E429="","",Меню!$D$22)</f>
        <v/>
      </c>
      <c r="E429" s="3" t="str">
        <f>IFERROR(IF(IFERROR(INDEX(Рецепты!$H$6:$H$85,MATCH(Меню!$D$22,Рецепты!$H$6:$H$85,0)+23)=Меню!$D$22,FALSE),INDEX(Рецепты!$J$6:$J$85,MATCH(Меню!$D$22,Рецепты!$H$6:$H$85,0)+23),""),"")</f>
        <v/>
      </c>
      <c r="F429" s="3" t="str">
        <f>IF($E429="","",INDEX(Рецепты!$K$6:$K$85,MATCH(Меню!$D$22,Рецепты!$H$6:$H$85,0)+23))</f>
        <v/>
      </c>
      <c r="G429" s="3" t="str">
        <f>IF($E429="","",INDEX(Рецепты!$M$6:$M$85,MATCH(Меню!$D$22,Рецепты!$H$6:$H$85,0)+23))</f>
        <v/>
      </c>
      <c r="H429" s="12">
        <f>IFERROR(IF(IFERROR(INDEX(Рецепты!$H$6:$H$85,MATCH(Меню!$D$22,Рецепты!$H$6:$H$85,0)+23)=Меню!$D$22,FALSE),INDEX(Рецепты!$L$6:$L$85,MATCH(Меню!$D$22,Рецепты!$H$6:$H$85,0)+23),0),0)</f>
        <v>0</v>
      </c>
      <c r="I429" s="12" t="str">
        <f>IF($F429="","",Меню!$E$22)</f>
        <v/>
      </c>
      <c r="J429" s="12">
        <f t="shared" si="6"/>
        <v>0</v>
      </c>
      <c r="K429" s="12">
        <f>IFERROR($J429/100*INDEX(Продукты!$G$6:$G$66,MATCH($E429,Продукты!$A$6:$A$66,0)),0)</f>
        <v>0</v>
      </c>
      <c r="L429" s="12">
        <f>IFERROR($J429/100*INDEX(Продукты!$H$6:$H$66,MATCH($E429,Продукты!$A$6:$A$66,0)),0)</f>
        <v>0</v>
      </c>
      <c r="M429" s="12">
        <f>IFERROR($J429/100*INDEX(Продукты!$I$6:$I$66,MATCH($E429,Продукты!$A$6:$A$66,0)),0)</f>
        <v>0</v>
      </c>
      <c r="N429" s="12">
        <f>IFERROR($J429/100*INDEX(Продукты!$J$6:$J$66,MATCH($E429,Продукты!$A$6:$A$66,0)),0)</f>
        <v>0</v>
      </c>
      <c r="O429" s="3" t="str">
        <f>IFERROR(IF(IFERROR(INDEX(Рецепты!$H$6:$H$85,MATCH(Меню!$D$22,Рецепты!$H$6:$H$85,0)+23)=Меню!$D$22,FALSE),INDEX(Рецепты!$N$6:$N$85,MATCH(Меню!$D$22,Рецепты!$H$6:$H$85,0)+23),""),"")</f>
        <v/>
      </c>
    </row>
    <row r="430" spans="1:15">
      <c r="A430" s="3" t="str">
        <f>IF($E430="","",Меню!$A$22)</f>
        <v/>
      </c>
      <c r="B430" s="3" t="str">
        <f>IF($E430="","",Меню!$B$22)</f>
        <v/>
      </c>
      <c r="C430" s="3" t="str">
        <f>IF($E430="","",Меню!$C$22)</f>
        <v/>
      </c>
      <c r="D430" s="3" t="str">
        <f>IF($E430="","",Меню!$D$22)</f>
        <v/>
      </c>
      <c r="E430" s="3" t="str">
        <f>IFERROR(IF(IFERROR(INDEX(Рецепты!$H$6:$H$85,MATCH(Меню!$D$22,Рецепты!$H$6:$H$85,0)+24)=Меню!$D$22,FALSE),INDEX(Рецепты!$J$6:$J$85,MATCH(Меню!$D$22,Рецепты!$H$6:$H$85,0)+24),""),"")</f>
        <v/>
      </c>
      <c r="F430" s="3" t="str">
        <f>IF($E430="","",INDEX(Рецепты!$K$6:$K$85,MATCH(Меню!$D$22,Рецепты!$H$6:$H$85,0)+24))</f>
        <v/>
      </c>
      <c r="G430" s="3" t="str">
        <f>IF($E430="","",INDEX(Рецепты!$M$6:$M$85,MATCH(Меню!$D$22,Рецепты!$H$6:$H$85,0)+24))</f>
        <v/>
      </c>
      <c r="H430" s="12">
        <f>IFERROR(IF(IFERROR(INDEX(Рецепты!$H$6:$H$85,MATCH(Меню!$D$22,Рецепты!$H$6:$H$85,0)+24)=Меню!$D$22,FALSE),INDEX(Рецепты!$L$6:$L$85,MATCH(Меню!$D$22,Рецепты!$H$6:$H$85,0)+24),0),0)</f>
        <v>0</v>
      </c>
      <c r="I430" s="12" t="str">
        <f>IF($F430="","",Меню!$E$22)</f>
        <v/>
      </c>
      <c r="J430" s="12">
        <f t="shared" si="6"/>
        <v>0</v>
      </c>
      <c r="K430" s="12">
        <f>IFERROR($J430/100*INDEX(Продукты!$G$6:$G$66,MATCH($E430,Продукты!$A$6:$A$66,0)),0)</f>
        <v>0</v>
      </c>
      <c r="L430" s="12">
        <f>IFERROR($J430/100*INDEX(Продукты!$H$6:$H$66,MATCH($E430,Продукты!$A$6:$A$66,0)),0)</f>
        <v>0</v>
      </c>
      <c r="M430" s="12">
        <f>IFERROR($J430/100*INDEX(Продукты!$I$6:$I$66,MATCH($E430,Продукты!$A$6:$A$66,0)),0)</f>
        <v>0</v>
      </c>
      <c r="N430" s="12">
        <f>IFERROR($J430/100*INDEX(Продукты!$J$6:$J$66,MATCH($E430,Продукты!$A$6:$A$66,0)),0)</f>
        <v>0</v>
      </c>
      <c r="O430" s="3" t="str">
        <f>IFERROR(IF(IFERROR(INDEX(Рецепты!$H$6:$H$85,MATCH(Меню!$D$22,Рецепты!$H$6:$H$85,0)+24)=Меню!$D$22,FALSE),INDEX(Рецепты!$N$6:$N$85,MATCH(Меню!$D$22,Рецепты!$H$6:$H$85,0)+24),""),"")</f>
        <v/>
      </c>
    </row>
    <row r="431" spans="1:15">
      <c r="A431" s="3" t="str">
        <f>IF($E431="","",Меню!$A$23)</f>
        <v/>
      </c>
      <c r="B431" s="3" t="str">
        <f>IF($E431="","",Меню!$B$23)</f>
        <v/>
      </c>
      <c r="C431" s="3" t="str">
        <f>IF($E431="","",Меню!$C$23)</f>
        <v/>
      </c>
      <c r="D431" s="3" t="str">
        <f>IF($E431="","",Меню!$D$23)</f>
        <v/>
      </c>
      <c r="E431" s="3" t="str">
        <f>IFERROR(IF(IFERROR(INDEX(Рецепты!$H$6:$H$85,MATCH(Меню!$D$23,Рецепты!$H$6:$H$85,0)+0)=Меню!$D$23,FALSE),INDEX(Рецепты!$J$6:$J$85,MATCH(Меню!$D$23,Рецепты!$H$6:$H$85,0)+0),""),"")</f>
        <v/>
      </c>
      <c r="F431" s="3" t="str">
        <f>IF($E431="","",INDEX(Рецепты!$K$6:$K$85,MATCH(Меню!$D$23,Рецепты!$H$6:$H$85,0)+0))</f>
        <v/>
      </c>
      <c r="G431" s="3" t="str">
        <f>IF($E431="","",INDEX(Рецепты!$M$6:$M$85,MATCH(Меню!$D$23,Рецепты!$H$6:$H$85,0)+0))</f>
        <v/>
      </c>
      <c r="H431" s="12">
        <f>IFERROR(IF(IFERROR(INDEX(Рецепты!$H$6:$H$85,MATCH(Меню!$D$23,Рецепты!$H$6:$H$85,0)+0)=Меню!$D$23,FALSE),INDEX(Рецепты!$L$6:$L$85,MATCH(Меню!$D$23,Рецепты!$H$6:$H$85,0)+0),0),0)</f>
        <v>0</v>
      </c>
      <c r="I431" s="12" t="str">
        <f>IF($F431="","",Меню!$E$23)</f>
        <v/>
      </c>
      <c r="J431" s="12">
        <f t="shared" si="6"/>
        <v>0</v>
      </c>
      <c r="K431" s="12">
        <f>IFERROR($J431/100*INDEX(Продукты!$G$6:$G$66,MATCH($E431,Продукты!$A$6:$A$66,0)),0)</f>
        <v>0</v>
      </c>
      <c r="L431" s="12">
        <f>IFERROR($J431/100*INDEX(Продукты!$H$6:$H$66,MATCH($E431,Продукты!$A$6:$A$66,0)),0)</f>
        <v>0</v>
      </c>
      <c r="M431" s="12">
        <f>IFERROR($J431/100*INDEX(Продукты!$I$6:$I$66,MATCH($E431,Продукты!$A$6:$A$66,0)),0)</f>
        <v>0</v>
      </c>
      <c r="N431" s="12">
        <f>IFERROR($J431/100*INDEX(Продукты!$J$6:$J$66,MATCH($E431,Продукты!$A$6:$A$66,0)),0)</f>
        <v>0</v>
      </c>
      <c r="O431" s="3" t="str">
        <f>IFERROR(IF(IFERROR(INDEX(Рецепты!$H$6:$H$85,MATCH(Меню!$D$23,Рецепты!$H$6:$H$85,0)+0)=Меню!$D$23,FALSE),INDEX(Рецепты!$N$6:$N$85,MATCH(Меню!$D$23,Рецепты!$H$6:$H$85,0)+0),""),"")</f>
        <v/>
      </c>
    </row>
    <row r="432" spans="1:15">
      <c r="A432" s="3" t="str">
        <f>IF($E432="","",Меню!$A$23)</f>
        <v/>
      </c>
      <c r="B432" s="3" t="str">
        <f>IF($E432="","",Меню!$B$23)</f>
        <v/>
      </c>
      <c r="C432" s="3" t="str">
        <f>IF($E432="","",Меню!$C$23)</f>
        <v/>
      </c>
      <c r="D432" s="3" t="str">
        <f>IF($E432="","",Меню!$D$23)</f>
        <v/>
      </c>
      <c r="E432" s="3" t="str">
        <f>IFERROR(IF(IFERROR(INDEX(Рецепты!$H$6:$H$85,MATCH(Меню!$D$23,Рецепты!$H$6:$H$85,0)+1)=Меню!$D$23,FALSE),INDEX(Рецепты!$J$6:$J$85,MATCH(Меню!$D$23,Рецепты!$H$6:$H$85,0)+1),""),"")</f>
        <v/>
      </c>
      <c r="F432" s="3" t="str">
        <f>IF($E432="","",INDEX(Рецепты!$K$6:$K$85,MATCH(Меню!$D$23,Рецепты!$H$6:$H$85,0)+1))</f>
        <v/>
      </c>
      <c r="G432" s="3" t="str">
        <f>IF($E432="","",INDEX(Рецепты!$M$6:$M$85,MATCH(Меню!$D$23,Рецепты!$H$6:$H$85,0)+1))</f>
        <v/>
      </c>
      <c r="H432" s="12">
        <f>IFERROR(IF(IFERROR(INDEX(Рецепты!$H$6:$H$85,MATCH(Меню!$D$23,Рецепты!$H$6:$H$85,0)+1)=Меню!$D$23,FALSE),INDEX(Рецепты!$L$6:$L$85,MATCH(Меню!$D$23,Рецепты!$H$6:$H$85,0)+1),0),0)</f>
        <v>0</v>
      </c>
      <c r="I432" s="12" t="str">
        <f>IF($F432="","",Меню!$E$23)</f>
        <v/>
      </c>
      <c r="J432" s="12">
        <f t="shared" si="6"/>
        <v>0</v>
      </c>
      <c r="K432" s="12">
        <f>IFERROR($J432/100*INDEX(Продукты!$G$6:$G$66,MATCH($E432,Продукты!$A$6:$A$66,0)),0)</f>
        <v>0</v>
      </c>
      <c r="L432" s="12">
        <f>IFERROR($J432/100*INDEX(Продукты!$H$6:$H$66,MATCH($E432,Продукты!$A$6:$A$66,0)),0)</f>
        <v>0</v>
      </c>
      <c r="M432" s="12">
        <f>IFERROR($J432/100*INDEX(Продукты!$I$6:$I$66,MATCH($E432,Продукты!$A$6:$A$66,0)),0)</f>
        <v>0</v>
      </c>
      <c r="N432" s="12">
        <f>IFERROR($J432/100*INDEX(Продукты!$J$6:$J$66,MATCH($E432,Продукты!$A$6:$A$66,0)),0)</f>
        <v>0</v>
      </c>
      <c r="O432" s="3" t="str">
        <f>IFERROR(IF(IFERROR(INDEX(Рецепты!$H$6:$H$85,MATCH(Меню!$D$23,Рецепты!$H$6:$H$85,0)+1)=Меню!$D$23,FALSE),INDEX(Рецепты!$N$6:$N$85,MATCH(Меню!$D$23,Рецепты!$H$6:$H$85,0)+1),""),"")</f>
        <v/>
      </c>
    </row>
    <row r="433" spans="1:15">
      <c r="A433" s="3" t="str">
        <f>IF($E433="","",Меню!$A$23)</f>
        <v/>
      </c>
      <c r="B433" s="3" t="str">
        <f>IF($E433="","",Меню!$B$23)</f>
        <v/>
      </c>
      <c r="C433" s="3" t="str">
        <f>IF($E433="","",Меню!$C$23)</f>
        <v/>
      </c>
      <c r="D433" s="3" t="str">
        <f>IF($E433="","",Меню!$D$23)</f>
        <v/>
      </c>
      <c r="E433" s="3" t="str">
        <f>IFERROR(IF(IFERROR(INDEX(Рецепты!$H$6:$H$85,MATCH(Меню!$D$23,Рецепты!$H$6:$H$85,0)+2)=Меню!$D$23,FALSE),INDEX(Рецепты!$J$6:$J$85,MATCH(Меню!$D$23,Рецепты!$H$6:$H$85,0)+2),""),"")</f>
        <v/>
      </c>
      <c r="F433" s="3" t="str">
        <f>IF($E433="","",INDEX(Рецепты!$K$6:$K$85,MATCH(Меню!$D$23,Рецепты!$H$6:$H$85,0)+2))</f>
        <v/>
      </c>
      <c r="G433" s="3" t="str">
        <f>IF($E433="","",INDEX(Рецепты!$M$6:$M$85,MATCH(Меню!$D$23,Рецепты!$H$6:$H$85,0)+2))</f>
        <v/>
      </c>
      <c r="H433" s="12">
        <f>IFERROR(IF(IFERROR(INDEX(Рецепты!$H$6:$H$85,MATCH(Меню!$D$23,Рецепты!$H$6:$H$85,0)+2)=Меню!$D$23,FALSE),INDEX(Рецепты!$L$6:$L$85,MATCH(Меню!$D$23,Рецепты!$H$6:$H$85,0)+2),0),0)</f>
        <v>0</v>
      </c>
      <c r="I433" s="12" t="str">
        <f>IF($F433="","",Меню!$E$23)</f>
        <v/>
      </c>
      <c r="J433" s="12">
        <f t="shared" si="6"/>
        <v>0</v>
      </c>
      <c r="K433" s="12">
        <f>IFERROR($J433/100*INDEX(Продукты!$G$6:$G$66,MATCH($E433,Продукты!$A$6:$A$66,0)),0)</f>
        <v>0</v>
      </c>
      <c r="L433" s="12">
        <f>IFERROR($J433/100*INDEX(Продукты!$H$6:$H$66,MATCH($E433,Продукты!$A$6:$A$66,0)),0)</f>
        <v>0</v>
      </c>
      <c r="M433" s="12">
        <f>IFERROR($J433/100*INDEX(Продукты!$I$6:$I$66,MATCH($E433,Продукты!$A$6:$A$66,0)),0)</f>
        <v>0</v>
      </c>
      <c r="N433" s="12">
        <f>IFERROR($J433/100*INDEX(Продукты!$J$6:$J$66,MATCH($E433,Продукты!$A$6:$A$66,0)),0)</f>
        <v>0</v>
      </c>
      <c r="O433" s="3" t="str">
        <f>IFERROR(IF(IFERROR(INDEX(Рецепты!$H$6:$H$85,MATCH(Меню!$D$23,Рецепты!$H$6:$H$85,0)+2)=Меню!$D$23,FALSE),INDEX(Рецепты!$N$6:$N$85,MATCH(Меню!$D$23,Рецепты!$H$6:$H$85,0)+2),""),"")</f>
        <v/>
      </c>
    </row>
    <row r="434" spans="1:15">
      <c r="A434" s="3" t="str">
        <f>IF($E434="","",Меню!$A$23)</f>
        <v/>
      </c>
      <c r="B434" s="3" t="str">
        <f>IF($E434="","",Меню!$B$23)</f>
        <v/>
      </c>
      <c r="C434" s="3" t="str">
        <f>IF($E434="","",Меню!$C$23)</f>
        <v/>
      </c>
      <c r="D434" s="3" t="str">
        <f>IF($E434="","",Меню!$D$23)</f>
        <v/>
      </c>
      <c r="E434" s="3" t="str">
        <f>IFERROR(IF(IFERROR(INDEX(Рецепты!$H$6:$H$85,MATCH(Меню!$D$23,Рецепты!$H$6:$H$85,0)+3)=Меню!$D$23,FALSE),INDEX(Рецепты!$J$6:$J$85,MATCH(Меню!$D$23,Рецепты!$H$6:$H$85,0)+3),""),"")</f>
        <v/>
      </c>
      <c r="F434" s="3" t="str">
        <f>IF($E434="","",INDEX(Рецепты!$K$6:$K$85,MATCH(Меню!$D$23,Рецепты!$H$6:$H$85,0)+3))</f>
        <v/>
      </c>
      <c r="G434" s="3" t="str">
        <f>IF($E434="","",INDEX(Рецепты!$M$6:$M$85,MATCH(Меню!$D$23,Рецепты!$H$6:$H$85,0)+3))</f>
        <v/>
      </c>
      <c r="H434" s="12">
        <f>IFERROR(IF(IFERROR(INDEX(Рецепты!$H$6:$H$85,MATCH(Меню!$D$23,Рецепты!$H$6:$H$85,0)+3)=Меню!$D$23,FALSE),INDEX(Рецепты!$L$6:$L$85,MATCH(Меню!$D$23,Рецепты!$H$6:$H$85,0)+3),0),0)</f>
        <v>0</v>
      </c>
      <c r="I434" s="12" t="str">
        <f>IF($F434="","",Меню!$E$23)</f>
        <v/>
      </c>
      <c r="J434" s="12">
        <f t="shared" si="6"/>
        <v>0</v>
      </c>
      <c r="K434" s="12">
        <f>IFERROR($J434/100*INDEX(Продукты!$G$6:$G$66,MATCH($E434,Продукты!$A$6:$A$66,0)),0)</f>
        <v>0</v>
      </c>
      <c r="L434" s="12">
        <f>IFERROR($J434/100*INDEX(Продукты!$H$6:$H$66,MATCH($E434,Продукты!$A$6:$A$66,0)),0)</f>
        <v>0</v>
      </c>
      <c r="M434" s="12">
        <f>IFERROR($J434/100*INDEX(Продукты!$I$6:$I$66,MATCH($E434,Продукты!$A$6:$A$66,0)),0)</f>
        <v>0</v>
      </c>
      <c r="N434" s="12">
        <f>IFERROR($J434/100*INDEX(Продукты!$J$6:$J$66,MATCH($E434,Продукты!$A$6:$A$66,0)),0)</f>
        <v>0</v>
      </c>
      <c r="O434" s="3" t="str">
        <f>IFERROR(IF(IFERROR(INDEX(Рецепты!$H$6:$H$85,MATCH(Меню!$D$23,Рецепты!$H$6:$H$85,0)+3)=Меню!$D$23,FALSE),INDEX(Рецепты!$N$6:$N$85,MATCH(Меню!$D$23,Рецепты!$H$6:$H$85,0)+3),""),"")</f>
        <v/>
      </c>
    </row>
    <row r="435" spans="1:15">
      <c r="A435" s="3" t="str">
        <f>IF($E435="","",Меню!$A$23)</f>
        <v/>
      </c>
      <c r="B435" s="3" t="str">
        <f>IF($E435="","",Меню!$B$23)</f>
        <v/>
      </c>
      <c r="C435" s="3" t="str">
        <f>IF($E435="","",Меню!$C$23)</f>
        <v/>
      </c>
      <c r="D435" s="3" t="str">
        <f>IF($E435="","",Меню!$D$23)</f>
        <v/>
      </c>
      <c r="E435" s="3" t="str">
        <f>IFERROR(IF(IFERROR(INDEX(Рецепты!$H$6:$H$85,MATCH(Меню!$D$23,Рецепты!$H$6:$H$85,0)+4)=Меню!$D$23,FALSE),INDEX(Рецепты!$J$6:$J$85,MATCH(Меню!$D$23,Рецепты!$H$6:$H$85,0)+4),""),"")</f>
        <v/>
      </c>
      <c r="F435" s="3" t="str">
        <f>IF($E435="","",INDEX(Рецепты!$K$6:$K$85,MATCH(Меню!$D$23,Рецепты!$H$6:$H$85,0)+4))</f>
        <v/>
      </c>
      <c r="G435" s="3" t="str">
        <f>IF($E435="","",INDEX(Рецепты!$M$6:$M$85,MATCH(Меню!$D$23,Рецепты!$H$6:$H$85,0)+4))</f>
        <v/>
      </c>
      <c r="H435" s="12">
        <f>IFERROR(IF(IFERROR(INDEX(Рецепты!$H$6:$H$85,MATCH(Меню!$D$23,Рецепты!$H$6:$H$85,0)+4)=Меню!$D$23,FALSE),INDEX(Рецепты!$L$6:$L$85,MATCH(Меню!$D$23,Рецепты!$H$6:$H$85,0)+4),0),0)</f>
        <v>0</v>
      </c>
      <c r="I435" s="12" t="str">
        <f>IF($F435="","",Меню!$E$23)</f>
        <v/>
      </c>
      <c r="J435" s="12">
        <f t="shared" si="6"/>
        <v>0</v>
      </c>
      <c r="K435" s="12">
        <f>IFERROR($J435/100*INDEX(Продукты!$G$6:$G$66,MATCH($E435,Продукты!$A$6:$A$66,0)),0)</f>
        <v>0</v>
      </c>
      <c r="L435" s="12">
        <f>IFERROR($J435/100*INDEX(Продукты!$H$6:$H$66,MATCH($E435,Продукты!$A$6:$A$66,0)),0)</f>
        <v>0</v>
      </c>
      <c r="M435" s="12">
        <f>IFERROR($J435/100*INDEX(Продукты!$I$6:$I$66,MATCH($E435,Продукты!$A$6:$A$66,0)),0)</f>
        <v>0</v>
      </c>
      <c r="N435" s="12">
        <f>IFERROR($J435/100*INDEX(Продукты!$J$6:$J$66,MATCH($E435,Продукты!$A$6:$A$66,0)),0)</f>
        <v>0</v>
      </c>
      <c r="O435" s="3" t="str">
        <f>IFERROR(IF(IFERROR(INDEX(Рецепты!$H$6:$H$85,MATCH(Меню!$D$23,Рецепты!$H$6:$H$85,0)+4)=Меню!$D$23,FALSE),INDEX(Рецепты!$N$6:$N$85,MATCH(Меню!$D$23,Рецепты!$H$6:$H$85,0)+4),""),"")</f>
        <v/>
      </c>
    </row>
    <row r="436" spans="1:15">
      <c r="A436" s="3" t="str">
        <f>IF($E436="","",Меню!$A$23)</f>
        <v/>
      </c>
      <c r="B436" s="3" t="str">
        <f>IF($E436="","",Меню!$B$23)</f>
        <v/>
      </c>
      <c r="C436" s="3" t="str">
        <f>IF($E436="","",Меню!$C$23)</f>
        <v/>
      </c>
      <c r="D436" s="3" t="str">
        <f>IF($E436="","",Меню!$D$23)</f>
        <v/>
      </c>
      <c r="E436" s="3" t="str">
        <f>IFERROR(IF(IFERROR(INDEX(Рецепты!$H$6:$H$85,MATCH(Меню!$D$23,Рецепты!$H$6:$H$85,0)+5)=Меню!$D$23,FALSE),INDEX(Рецепты!$J$6:$J$85,MATCH(Меню!$D$23,Рецепты!$H$6:$H$85,0)+5),""),"")</f>
        <v/>
      </c>
      <c r="F436" s="3" t="str">
        <f>IF($E436="","",INDEX(Рецепты!$K$6:$K$85,MATCH(Меню!$D$23,Рецепты!$H$6:$H$85,0)+5))</f>
        <v/>
      </c>
      <c r="G436" s="3" t="str">
        <f>IF($E436="","",INDEX(Рецепты!$M$6:$M$85,MATCH(Меню!$D$23,Рецепты!$H$6:$H$85,0)+5))</f>
        <v/>
      </c>
      <c r="H436" s="12">
        <f>IFERROR(IF(IFERROR(INDEX(Рецепты!$H$6:$H$85,MATCH(Меню!$D$23,Рецепты!$H$6:$H$85,0)+5)=Меню!$D$23,FALSE),INDEX(Рецепты!$L$6:$L$85,MATCH(Меню!$D$23,Рецепты!$H$6:$H$85,0)+5),0),0)</f>
        <v>0</v>
      </c>
      <c r="I436" s="12" t="str">
        <f>IF($F436="","",Меню!$E$23)</f>
        <v/>
      </c>
      <c r="J436" s="12">
        <f t="shared" si="6"/>
        <v>0</v>
      </c>
      <c r="K436" s="12">
        <f>IFERROR($J436/100*INDEX(Продукты!$G$6:$G$66,MATCH($E436,Продукты!$A$6:$A$66,0)),0)</f>
        <v>0</v>
      </c>
      <c r="L436" s="12">
        <f>IFERROR($J436/100*INDEX(Продукты!$H$6:$H$66,MATCH($E436,Продукты!$A$6:$A$66,0)),0)</f>
        <v>0</v>
      </c>
      <c r="M436" s="12">
        <f>IFERROR($J436/100*INDEX(Продукты!$I$6:$I$66,MATCH($E436,Продукты!$A$6:$A$66,0)),0)</f>
        <v>0</v>
      </c>
      <c r="N436" s="12">
        <f>IFERROR($J436/100*INDEX(Продукты!$J$6:$J$66,MATCH($E436,Продукты!$A$6:$A$66,0)),0)</f>
        <v>0</v>
      </c>
      <c r="O436" s="3" t="str">
        <f>IFERROR(IF(IFERROR(INDEX(Рецепты!$H$6:$H$85,MATCH(Меню!$D$23,Рецепты!$H$6:$H$85,0)+5)=Меню!$D$23,FALSE),INDEX(Рецепты!$N$6:$N$85,MATCH(Меню!$D$23,Рецепты!$H$6:$H$85,0)+5),""),"")</f>
        <v/>
      </c>
    </row>
    <row r="437" spans="1:15">
      <c r="A437" s="3" t="str">
        <f>IF($E437="","",Меню!$A$23)</f>
        <v/>
      </c>
      <c r="B437" s="3" t="str">
        <f>IF($E437="","",Меню!$B$23)</f>
        <v/>
      </c>
      <c r="C437" s="3" t="str">
        <f>IF($E437="","",Меню!$C$23)</f>
        <v/>
      </c>
      <c r="D437" s="3" t="str">
        <f>IF($E437="","",Меню!$D$23)</f>
        <v/>
      </c>
      <c r="E437" s="3" t="str">
        <f>IFERROR(IF(IFERROR(INDEX(Рецепты!$H$6:$H$85,MATCH(Меню!$D$23,Рецепты!$H$6:$H$85,0)+6)=Меню!$D$23,FALSE),INDEX(Рецепты!$J$6:$J$85,MATCH(Меню!$D$23,Рецепты!$H$6:$H$85,0)+6),""),"")</f>
        <v/>
      </c>
      <c r="F437" s="3" t="str">
        <f>IF($E437="","",INDEX(Рецепты!$K$6:$K$85,MATCH(Меню!$D$23,Рецепты!$H$6:$H$85,0)+6))</f>
        <v/>
      </c>
      <c r="G437" s="3" t="str">
        <f>IF($E437="","",INDEX(Рецепты!$M$6:$M$85,MATCH(Меню!$D$23,Рецепты!$H$6:$H$85,0)+6))</f>
        <v/>
      </c>
      <c r="H437" s="12">
        <f>IFERROR(IF(IFERROR(INDEX(Рецепты!$H$6:$H$85,MATCH(Меню!$D$23,Рецепты!$H$6:$H$85,0)+6)=Меню!$D$23,FALSE),INDEX(Рецепты!$L$6:$L$85,MATCH(Меню!$D$23,Рецепты!$H$6:$H$85,0)+6),0),0)</f>
        <v>0</v>
      </c>
      <c r="I437" s="12" t="str">
        <f>IF($F437="","",Меню!$E$23)</f>
        <v/>
      </c>
      <c r="J437" s="12">
        <f t="shared" si="6"/>
        <v>0</v>
      </c>
      <c r="K437" s="12">
        <f>IFERROR($J437/100*INDEX(Продукты!$G$6:$G$66,MATCH($E437,Продукты!$A$6:$A$66,0)),0)</f>
        <v>0</v>
      </c>
      <c r="L437" s="12">
        <f>IFERROR($J437/100*INDEX(Продукты!$H$6:$H$66,MATCH($E437,Продукты!$A$6:$A$66,0)),0)</f>
        <v>0</v>
      </c>
      <c r="M437" s="12">
        <f>IFERROR($J437/100*INDEX(Продукты!$I$6:$I$66,MATCH($E437,Продукты!$A$6:$A$66,0)),0)</f>
        <v>0</v>
      </c>
      <c r="N437" s="12">
        <f>IFERROR($J437/100*INDEX(Продукты!$J$6:$J$66,MATCH($E437,Продукты!$A$6:$A$66,0)),0)</f>
        <v>0</v>
      </c>
      <c r="O437" s="3" t="str">
        <f>IFERROR(IF(IFERROR(INDEX(Рецепты!$H$6:$H$85,MATCH(Меню!$D$23,Рецепты!$H$6:$H$85,0)+6)=Меню!$D$23,FALSE),INDEX(Рецепты!$N$6:$N$85,MATCH(Меню!$D$23,Рецепты!$H$6:$H$85,0)+6),""),"")</f>
        <v/>
      </c>
    </row>
    <row r="438" spans="1:15">
      <c r="A438" s="3" t="str">
        <f>IF($E438="","",Меню!$A$23)</f>
        <v/>
      </c>
      <c r="B438" s="3" t="str">
        <f>IF($E438="","",Меню!$B$23)</f>
        <v/>
      </c>
      <c r="C438" s="3" t="str">
        <f>IF($E438="","",Меню!$C$23)</f>
        <v/>
      </c>
      <c r="D438" s="3" t="str">
        <f>IF($E438="","",Меню!$D$23)</f>
        <v/>
      </c>
      <c r="E438" s="3" t="str">
        <f>IFERROR(IF(IFERROR(INDEX(Рецепты!$H$6:$H$85,MATCH(Меню!$D$23,Рецепты!$H$6:$H$85,0)+7)=Меню!$D$23,FALSE),INDEX(Рецепты!$J$6:$J$85,MATCH(Меню!$D$23,Рецепты!$H$6:$H$85,0)+7),""),"")</f>
        <v/>
      </c>
      <c r="F438" s="3" t="str">
        <f>IF($E438="","",INDEX(Рецепты!$K$6:$K$85,MATCH(Меню!$D$23,Рецепты!$H$6:$H$85,0)+7))</f>
        <v/>
      </c>
      <c r="G438" s="3" t="str">
        <f>IF($E438="","",INDEX(Рецепты!$M$6:$M$85,MATCH(Меню!$D$23,Рецепты!$H$6:$H$85,0)+7))</f>
        <v/>
      </c>
      <c r="H438" s="12">
        <f>IFERROR(IF(IFERROR(INDEX(Рецепты!$H$6:$H$85,MATCH(Меню!$D$23,Рецепты!$H$6:$H$85,0)+7)=Меню!$D$23,FALSE),INDEX(Рецепты!$L$6:$L$85,MATCH(Меню!$D$23,Рецепты!$H$6:$H$85,0)+7),0),0)</f>
        <v>0</v>
      </c>
      <c r="I438" s="12" t="str">
        <f>IF($F438="","",Меню!$E$23)</f>
        <v/>
      </c>
      <c r="J438" s="12">
        <f t="shared" si="6"/>
        <v>0</v>
      </c>
      <c r="K438" s="12">
        <f>IFERROR($J438/100*INDEX(Продукты!$G$6:$G$66,MATCH($E438,Продукты!$A$6:$A$66,0)),0)</f>
        <v>0</v>
      </c>
      <c r="L438" s="12">
        <f>IFERROR($J438/100*INDEX(Продукты!$H$6:$H$66,MATCH($E438,Продукты!$A$6:$A$66,0)),0)</f>
        <v>0</v>
      </c>
      <c r="M438" s="12">
        <f>IFERROR($J438/100*INDEX(Продукты!$I$6:$I$66,MATCH($E438,Продукты!$A$6:$A$66,0)),0)</f>
        <v>0</v>
      </c>
      <c r="N438" s="12">
        <f>IFERROR($J438/100*INDEX(Продукты!$J$6:$J$66,MATCH($E438,Продукты!$A$6:$A$66,0)),0)</f>
        <v>0</v>
      </c>
      <c r="O438" s="3" t="str">
        <f>IFERROR(IF(IFERROR(INDEX(Рецепты!$H$6:$H$85,MATCH(Меню!$D$23,Рецепты!$H$6:$H$85,0)+7)=Меню!$D$23,FALSE),INDEX(Рецепты!$N$6:$N$85,MATCH(Меню!$D$23,Рецепты!$H$6:$H$85,0)+7),""),"")</f>
        <v/>
      </c>
    </row>
    <row r="439" spans="1:15">
      <c r="A439" s="3" t="str">
        <f>IF($E439="","",Меню!$A$23)</f>
        <v/>
      </c>
      <c r="B439" s="3" t="str">
        <f>IF($E439="","",Меню!$B$23)</f>
        <v/>
      </c>
      <c r="C439" s="3" t="str">
        <f>IF($E439="","",Меню!$C$23)</f>
        <v/>
      </c>
      <c r="D439" s="3" t="str">
        <f>IF($E439="","",Меню!$D$23)</f>
        <v/>
      </c>
      <c r="E439" s="3" t="str">
        <f>IFERROR(IF(IFERROR(INDEX(Рецепты!$H$6:$H$85,MATCH(Меню!$D$23,Рецепты!$H$6:$H$85,0)+8)=Меню!$D$23,FALSE),INDEX(Рецепты!$J$6:$J$85,MATCH(Меню!$D$23,Рецепты!$H$6:$H$85,0)+8),""),"")</f>
        <v/>
      </c>
      <c r="F439" s="3" t="str">
        <f>IF($E439="","",INDEX(Рецепты!$K$6:$K$85,MATCH(Меню!$D$23,Рецепты!$H$6:$H$85,0)+8))</f>
        <v/>
      </c>
      <c r="G439" s="3" t="str">
        <f>IF($E439="","",INDEX(Рецепты!$M$6:$M$85,MATCH(Меню!$D$23,Рецепты!$H$6:$H$85,0)+8))</f>
        <v/>
      </c>
      <c r="H439" s="12">
        <f>IFERROR(IF(IFERROR(INDEX(Рецепты!$H$6:$H$85,MATCH(Меню!$D$23,Рецепты!$H$6:$H$85,0)+8)=Меню!$D$23,FALSE),INDEX(Рецепты!$L$6:$L$85,MATCH(Меню!$D$23,Рецепты!$H$6:$H$85,0)+8),0),0)</f>
        <v>0</v>
      </c>
      <c r="I439" s="12" t="str">
        <f>IF($F439="","",Меню!$E$23)</f>
        <v/>
      </c>
      <c r="J439" s="12">
        <f t="shared" si="6"/>
        <v>0</v>
      </c>
      <c r="K439" s="12">
        <f>IFERROR($J439/100*INDEX(Продукты!$G$6:$G$66,MATCH($E439,Продукты!$A$6:$A$66,0)),0)</f>
        <v>0</v>
      </c>
      <c r="L439" s="12">
        <f>IFERROR($J439/100*INDEX(Продукты!$H$6:$H$66,MATCH($E439,Продукты!$A$6:$A$66,0)),0)</f>
        <v>0</v>
      </c>
      <c r="M439" s="12">
        <f>IFERROR($J439/100*INDEX(Продукты!$I$6:$I$66,MATCH($E439,Продукты!$A$6:$A$66,0)),0)</f>
        <v>0</v>
      </c>
      <c r="N439" s="12">
        <f>IFERROR($J439/100*INDEX(Продукты!$J$6:$J$66,MATCH($E439,Продукты!$A$6:$A$66,0)),0)</f>
        <v>0</v>
      </c>
      <c r="O439" s="3" t="str">
        <f>IFERROR(IF(IFERROR(INDEX(Рецепты!$H$6:$H$85,MATCH(Меню!$D$23,Рецепты!$H$6:$H$85,0)+8)=Меню!$D$23,FALSE),INDEX(Рецепты!$N$6:$N$85,MATCH(Меню!$D$23,Рецепты!$H$6:$H$85,0)+8),""),"")</f>
        <v/>
      </c>
    </row>
    <row r="440" spans="1:15">
      <c r="A440" s="3" t="str">
        <f>IF($E440="","",Меню!$A$23)</f>
        <v/>
      </c>
      <c r="B440" s="3" t="str">
        <f>IF($E440="","",Меню!$B$23)</f>
        <v/>
      </c>
      <c r="C440" s="3" t="str">
        <f>IF($E440="","",Меню!$C$23)</f>
        <v/>
      </c>
      <c r="D440" s="3" t="str">
        <f>IF($E440="","",Меню!$D$23)</f>
        <v/>
      </c>
      <c r="E440" s="3" t="str">
        <f>IFERROR(IF(IFERROR(INDEX(Рецепты!$H$6:$H$85,MATCH(Меню!$D$23,Рецепты!$H$6:$H$85,0)+9)=Меню!$D$23,FALSE),INDEX(Рецепты!$J$6:$J$85,MATCH(Меню!$D$23,Рецепты!$H$6:$H$85,0)+9),""),"")</f>
        <v/>
      </c>
      <c r="F440" s="3" t="str">
        <f>IF($E440="","",INDEX(Рецепты!$K$6:$K$85,MATCH(Меню!$D$23,Рецепты!$H$6:$H$85,0)+9))</f>
        <v/>
      </c>
      <c r="G440" s="3" t="str">
        <f>IF($E440="","",INDEX(Рецепты!$M$6:$M$85,MATCH(Меню!$D$23,Рецепты!$H$6:$H$85,0)+9))</f>
        <v/>
      </c>
      <c r="H440" s="12">
        <f>IFERROR(IF(IFERROR(INDEX(Рецепты!$H$6:$H$85,MATCH(Меню!$D$23,Рецепты!$H$6:$H$85,0)+9)=Меню!$D$23,FALSE),INDEX(Рецепты!$L$6:$L$85,MATCH(Меню!$D$23,Рецепты!$H$6:$H$85,0)+9),0),0)</f>
        <v>0</v>
      </c>
      <c r="I440" s="12" t="str">
        <f>IF($F440="","",Меню!$E$23)</f>
        <v/>
      </c>
      <c r="J440" s="12">
        <f t="shared" si="6"/>
        <v>0</v>
      </c>
      <c r="K440" s="12">
        <f>IFERROR($J440/100*INDEX(Продукты!$G$6:$G$66,MATCH($E440,Продукты!$A$6:$A$66,0)),0)</f>
        <v>0</v>
      </c>
      <c r="L440" s="12">
        <f>IFERROR($J440/100*INDEX(Продукты!$H$6:$H$66,MATCH($E440,Продукты!$A$6:$A$66,0)),0)</f>
        <v>0</v>
      </c>
      <c r="M440" s="12">
        <f>IFERROR($J440/100*INDEX(Продукты!$I$6:$I$66,MATCH($E440,Продукты!$A$6:$A$66,0)),0)</f>
        <v>0</v>
      </c>
      <c r="N440" s="12">
        <f>IFERROR($J440/100*INDEX(Продукты!$J$6:$J$66,MATCH($E440,Продукты!$A$6:$A$66,0)),0)</f>
        <v>0</v>
      </c>
      <c r="O440" s="3" t="str">
        <f>IFERROR(IF(IFERROR(INDEX(Рецепты!$H$6:$H$85,MATCH(Меню!$D$23,Рецепты!$H$6:$H$85,0)+9)=Меню!$D$23,FALSE),INDEX(Рецепты!$N$6:$N$85,MATCH(Меню!$D$23,Рецепты!$H$6:$H$85,0)+9),""),"")</f>
        <v/>
      </c>
    </row>
    <row r="441" spans="1:15">
      <c r="A441" s="3" t="str">
        <f>IF($E441="","",Меню!$A$23)</f>
        <v/>
      </c>
      <c r="B441" s="3" t="str">
        <f>IF($E441="","",Меню!$B$23)</f>
        <v/>
      </c>
      <c r="C441" s="3" t="str">
        <f>IF($E441="","",Меню!$C$23)</f>
        <v/>
      </c>
      <c r="D441" s="3" t="str">
        <f>IF($E441="","",Меню!$D$23)</f>
        <v/>
      </c>
      <c r="E441" s="3" t="str">
        <f>IFERROR(IF(IFERROR(INDEX(Рецепты!$H$6:$H$85,MATCH(Меню!$D$23,Рецепты!$H$6:$H$85,0)+10)=Меню!$D$23,FALSE),INDEX(Рецепты!$J$6:$J$85,MATCH(Меню!$D$23,Рецепты!$H$6:$H$85,0)+10),""),"")</f>
        <v/>
      </c>
      <c r="F441" s="3" t="str">
        <f>IF($E441="","",INDEX(Рецепты!$K$6:$K$85,MATCH(Меню!$D$23,Рецепты!$H$6:$H$85,0)+10))</f>
        <v/>
      </c>
      <c r="G441" s="3" t="str">
        <f>IF($E441="","",INDEX(Рецепты!$M$6:$M$85,MATCH(Меню!$D$23,Рецепты!$H$6:$H$85,0)+10))</f>
        <v/>
      </c>
      <c r="H441" s="12">
        <f>IFERROR(IF(IFERROR(INDEX(Рецепты!$H$6:$H$85,MATCH(Меню!$D$23,Рецепты!$H$6:$H$85,0)+10)=Меню!$D$23,FALSE),INDEX(Рецепты!$L$6:$L$85,MATCH(Меню!$D$23,Рецепты!$H$6:$H$85,0)+10),0),0)</f>
        <v>0</v>
      </c>
      <c r="I441" s="12" t="str">
        <f>IF($F441="","",Меню!$E$23)</f>
        <v/>
      </c>
      <c r="J441" s="12">
        <f t="shared" si="6"/>
        <v>0</v>
      </c>
      <c r="K441" s="12">
        <f>IFERROR($J441/100*INDEX(Продукты!$G$6:$G$66,MATCH($E441,Продукты!$A$6:$A$66,0)),0)</f>
        <v>0</v>
      </c>
      <c r="L441" s="12">
        <f>IFERROR($J441/100*INDEX(Продукты!$H$6:$H$66,MATCH($E441,Продукты!$A$6:$A$66,0)),0)</f>
        <v>0</v>
      </c>
      <c r="M441" s="12">
        <f>IFERROR($J441/100*INDEX(Продукты!$I$6:$I$66,MATCH($E441,Продукты!$A$6:$A$66,0)),0)</f>
        <v>0</v>
      </c>
      <c r="N441" s="12">
        <f>IFERROR($J441/100*INDEX(Продукты!$J$6:$J$66,MATCH($E441,Продукты!$A$6:$A$66,0)),0)</f>
        <v>0</v>
      </c>
      <c r="O441" s="3" t="str">
        <f>IFERROR(IF(IFERROR(INDEX(Рецепты!$H$6:$H$85,MATCH(Меню!$D$23,Рецепты!$H$6:$H$85,0)+10)=Меню!$D$23,FALSE),INDEX(Рецепты!$N$6:$N$85,MATCH(Меню!$D$23,Рецепты!$H$6:$H$85,0)+10),""),"")</f>
        <v/>
      </c>
    </row>
    <row r="442" spans="1:15">
      <c r="A442" s="3" t="str">
        <f>IF($E442="","",Меню!$A$23)</f>
        <v/>
      </c>
      <c r="B442" s="3" t="str">
        <f>IF($E442="","",Меню!$B$23)</f>
        <v/>
      </c>
      <c r="C442" s="3" t="str">
        <f>IF($E442="","",Меню!$C$23)</f>
        <v/>
      </c>
      <c r="D442" s="3" t="str">
        <f>IF($E442="","",Меню!$D$23)</f>
        <v/>
      </c>
      <c r="E442" s="3" t="str">
        <f>IFERROR(IF(IFERROR(INDEX(Рецепты!$H$6:$H$85,MATCH(Меню!$D$23,Рецепты!$H$6:$H$85,0)+11)=Меню!$D$23,FALSE),INDEX(Рецепты!$J$6:$J$85,MATCH(Меню!$D$23,Рецепты!$H$6:$H$85,0)+11),""),"")</f>
        <v/>
      </c>
      <c r="F442" s="3" t="str">
        <f>IF($E442="","",INDEX(Рецепты!$K$6:$K$85,MATCH(Меню!$D$23,Рецепты!$H$6:$H$85,0)+11))</f>
        <v/>
      </c>
      <c r="G442" s="3" t="str">
        <f>IF($E442="","",INDEX(Рецепты!$M$6:$M$85,MATCH(Меню!$D$23,Рецепты!$H$6:$H$85,0)+11))</f>
        <v/>
      </c>
      <c r="H442" s="12">
        <f>IFERROR(IF(IFERROR(INDEX(Рецепты!$H$6:$H$85,MATCH(Меню!$D$23,Рецепты!$H$6:$H$85,0)+11)=Меню!$D$23,FALSE),INDEX(Рецепты!$L$6:$L$85,MATCH(Меню!$D$23,Рецепты!$H$6:$H$85,0)+11),0),0)</f>
        <v>0</v>
      </c>
      <c r="I442" s="12" t="str">
        <f>IF($F442="","",Меню!$E$23)</f>
        <v/>
      </c>
      <c r="J442" s="12">
        <f t="shared" si="6"/>
        <v>0</v>
      </c>
      <c r="K442" s="12">
        <f>IFERROR($J442/100*INDEX(Продукты!$G$6:$G$66,MATCH($E442,Продукты!$A$6:$A$66,0)),0)</f>
        <v>0</v>
      </c>
      <c r="L442" s="12">
        <f>IFERROR($J442/100*INDEX(Продукты!$H$6:$H$66,MATCH($E442,Продукты!$A$6:$A$66,0)),0)</f>
        <v>0</v>
      </c>
      <c r="M442" s="12">
        <f>IFERROR($J442/100*INDEX(Продукты!$I$6:$I$66,MATCH($E442,Продукты!$A$6:$A$66,0)),0)</f>
        <v>0</v>
      </c>
      <c r="N442" s="12">
        <f>IFERROR($J442/100*INDEX(Продукты!$J$6:$J$66,MATCH($E442,Продукты!$A$6:$A$66,0)),0)</f>
        <v>0</v>
      </c>
      <c r="O442" s="3" t="str">
        <f>IFERROR(IF(IFERROR(INDEX(Рецепты!$H$6:$H$85,MATCH(Меню!$D$23,Рецепты!$H$6:$H$85,0)+11)=Меню!$D$23,FALSE),INDEX(Рецепты!$N$6:$N$85,MATCH(Меню!$D$23,Рецепты!$H$6:$H$85,0)+11),""),"")</f>
        <v/>
      </c>
    </row>
    <row r="443" spans="1:15">
      <c r="A443" s="3" t="str">
        <f>IF($E443="","",Меню!$A$23)</f>
        <v/>
      </c>
      <c r="B443" s="3" t="str">
        <f>IF($E443="","",Меню!$B$23)</f>
        <v/>
      </c>
      <c r="C443" s="3" t="str">
        <f>IF($E443="","",Меню!$C$23)</f>
        <v/>
      </c>
      <c r="D443" s="3" t="str">
        <f>IF($E443="","",Меню!$D$23)</f>
        <v/>
      </c>
      <c r="E443" s="3" t="str">
        <f>IFERROR(IF(IFERROR(INDEX(Рецепты!$H$6:$H$85,MATCH(Меню!$D$23,Рецепты!$H$6:$H$85,0)+12)=Меню!$D$23,FALSE),INDEX(Рецепты!$J$6:$J$85,MATCH(Меню!$D$23,Рецепты!$H$6:$H$85,0)+12),""),"")</f>
        <v/>
      </c>
      <c r="F443" s="3" t="str">
        <f>IF($E443="","",INDEX(Рецепты!$K$6:$K$85,MATCH(Меню!$D$23,Рецепты!$H$6:$H$85,0)+12))</f>
        <v/>
      </c>
      <c r="G443" s="3" t="str">
        <f>IF($E443="","",INDEX(Рецепты!$M$6:$M$85,MATCH(Меню!$D$23,Рецепты!$H$6:$H$85,0)+12))</f>
        <v/>
      </c>
      <c r="H443" s="12">
        <f>IFERROR(IF(IFERROR(INDEX(Рецепты!$H$6:$H$85,MATCH(Меню!$D$23,Рецепты!$H$6:$H$85,0)+12)=Меню!$D$23,FALSE),INDEX(Рецепты!$L$6:$L$85,MATCH(Меню!$D$23,Рецепты!$H$6:$H$85,0)+12),0),0)</f>
        <v>0</v>
      </c>
      <c r="I443" s="12" t="str">
        <f>IF($F443="","",Меню!$E$23)</f>
        <v/>
      </c>
      <c r="J443" s="12">
        <f t="shared" si="6"/>
        <v>0</v>
      </c>
      <c r="K443" s="12">
        <f>IFERROR($J443/100*INDEX(Продукты!$G$6:$G$66,MATCH($E443,Продукты!$A$6:$A$66,0)),0)</f>
        <v>0</v>
      </c>
      <c r="L443" s="12">
        <f>IFERROR($J443/100*INDEX(Продукты!$H$6:$H$66,MATCH($E443,Продукты!$A$6:$A$66,0)),0)</f>
        <v>0</v>
      </c>
      <c r="M443" s="12">
        <f>IFERROR($J443/100*INDEX(Продукты!$I$6:$I$66,MATCH($E443,Продукты!$A$6:$A$66,0)),0)</f>
        <v>0</v>
      </c>
      <c r="N443" s="12">
        <f>IFERROR($J443/100*INDEX(Продукты!$J$6:$J$66,MATCH($E443,Продукты!$A$6:$A$66,0)),0)</f>
        <v>0</v>
      </c>
      <c r="O443" s="3" t="str">
        <f>IFERROR(IF(IFERROR(INDEX(Рецепты!$H$6:$H$85,MATCH(Меню!$D$23,Рецепты!$H$6:$H$85,0)+12)=Меню!$D$23,FALSE),INDEX(Рецепты!$N$6:$N$85,MATCH(Меню!$D$23,Рецепты!$H$6:$H$85,0)+12),""),"")</f>
        <v/>
      </c>
    </row>
    <row r="444" spans="1:15">
      <c r="A444" s="3" t="str">
        <f>IF($E444="","",Меню!$A$23)</f>
        <v/>
      </c>
      <c r="B444" s="3" t="str">
        <f>IF($E444="","",Меню!$B$23)</f>
        <v/>
      </c>
      <c r="C444" s="3" t="str">
        <f>IF($E444="","",Меню!$C$23)</f>
        <v/>
      </c>
      <c r="D444" s="3" t="str">
        <f>IF($E444="","",Меню!$D$23)</f>
        <v/>
      </c>
      <c r="E444" s="3" t="str">
        <f>IFERROR(IF(IFERROR(INDEX(Рецепты!$H$6:$H$85,MATCH(Меню!$D$23,Рецепты!$H$6:$H$85,0)+13)=Меню!$D$23,FALSE),INDEX(Рецепты!$J$6:$J$85,MATCH(Меню!$D$23,Рецепты!$H$6:$H$85,0)+13),""),"")</f>
        <v/>
      </c>
      <c r="F444" s="3" t="str">
        <f>IF($E444="","",INDEX(Рецепты!$K$6:$K$85,MATCH(Меню!$D$23,Рецепты!$H$6:$H$85,0)+13))</f>
        <v/>
      </c>
      <c r="G444" s="3" t="str">
        <f>IF($E444="","",INDEX(Рецепты!$M$6:$M$85,MATCH(Меню!$D$23,Рецепты!$H$6:$H$85,0)+13))</f>
        <v/>
      </c>
      <c r="H444" s="12">
        <f>IFERROR(IF(IFERROR(INDEX(Рецепты!$H$6:$H$85,MATCH(Меню!$D$23,Рецепты!$H$6:$H$85,0)+13)=Меню!$D$23,FALSE),INDEX(Рецепты!$L$6:$L$85,MATCH(Меню!$D$23,Рецепты!$H$6:$H$85,0)+13),0),0)</f>
        <v>0</v>
      </c>
      <c r="I444" s="12" t="str">
        <f>IF($F444="","",Меню!$E$23)</f>
        <v/>
      </c>
      <c r="J444" s="12">
        <f t="shared" si="6"/>
        <v>0</v>
      </c>
      <c r="K444" s="12">
        <f>IFERROR($J444/100*INDEX(Продукты!$G$6:$G$66,MATCH($E444,Продукты!$A$6:$A$66,0)),0)</f>
        <v>0</v>
      </c>
      <c r="L444" s="12">
        <f>IFERROR($J444/100*INDEX(Продукты!$H$6:$H$66,MATCH($E444,Продукты!$A$6:$A$66,0)),0)</f>
        <v>0</v>
      </c>
      <c r="M444" s="12">
        <f>IFERROR($J444/100*INDEX(Продукты!$I$6:$I$66,MATCH($E444,Продукты!$A$6:$A$66,0)),0)</f>
        <v>0</v>
      </c>
      <c r="N444" s="12">
        <f>IFERROR($J444/100*INDEX(Продукты!$J$6:$J$66,MATCH($E444,Продукты!$A$6:$A$66,0)),0)</f>
        <v>0</v>
      </c>
      <c r="O444" s="3" t="str">
        <f>IFERROR(IF(IFERROR(INDEX(Рецепты!$H$6:$H$85,MATCH(Меню!$D$23,Рецепты!$H$6:$H$85,0)+13)=Меню!$D$23,FALSE),INDEX(Рецепты!$N$6:$N$85,MATCH(Меню!$D$23,Рецепты!$H$6:$H$85,0)+13),""),"")</f>
        <v/>
      </c>
    </row>
    <row r="445" spans="1:15">
      <c r="A445" s="3" t="str">
        <f>IF($E445="","",Меню!$A$23)</f>
        <v/>
      </c>
      <c r="B445" s="3" t="str">
        <f>IF($E445="","",Меню!$B$23)</f>
        <v/>
      </c>
      <c r="C445" s="3" t="str">
        <f>IF($E445="","",Меню!$C$23)</f>
        <v/>
      </c>
      <c r="D445" s="3" t="str">
        <f>IF($E445="","",Меню!$D$23)</f>
        <v/>
      </c>
      <c r="E445" s="3" t="str">
        <f>IFERROR(IF(IFERROR(INDEX(Рецепты!$H$6:$H$85,MATCH(Меню!$D$23,Рецепты!$H$6:$H$85,0)+14)=Меню!$D$23,FALSE),INDEX(Рецепты!$J$6:$J$85,MATCH(Меню!$D$23,Рецепты!$H$6:$H$85,0)+14),""),"")</f>
        <v/>
      </c>
      <c r="F445" s="3" t="str">
        <f>IF($E445="","",INDEX(Рецепты!$K$6:$K$85,MATCH(Меню!$D$23,Рецепты!$H$6:$H$85,0)+14))</f>
        <v/>
      </c>
      <c r="G445" s="3" t="str">
        <f>IF($E445="","",INDEX(Рецепты!$M$6:$M$85,MATCH(Меню!$D$23,Рецепты!$H$6:$H$85,0)+14))</f>
        <v/>
      </c>
      <c r="H445" s="12">
        <f>IFERROR(IF(IFERROR(INDEX(Рецепты!$H$6:$H$85,MATCH(Меню!$D$23,Рецепты!$H$6:$H$85,0)+14)=Меню!$D$23,FALSE),INDEX(Рецепты!$L$6:$L$85,MATCH(Меню!$D$23,Рецепты!$H$6:$H$85,0)+14),0),0)</f>
        <v>0</v>
      </c>
      <c r="I445" s="12" t="str">
        <f>IF($F445="","",Меню!$E$23)</f>
        <v/>
      </c>
      <c r="J445" s="12">
        <f t="shared" si="6"/>
        <v>0</v>
      </c>
      <c r="K445" s="12">
        <f>IFERROR($J445/100*INDEX(Продукты!$G$6:$G$66,MATCH($E445,Продукты!$A$6:$A$66,0)),0)</f>
        <v>0</v>
      </c>
      <c r="L445" s="12">
        <f>IFERROR($J445/100*INDEX(Продукты!$H$6:$H$66,MATCH($E445,Продукты!$A$6:$A$66,0)),0)</f>
        <v>0</v>
      </c>
      <c r="M445" s="12">
        <f>IFERROR($J445/100*INDEX(Продукты!$I$6:$I$66,MATCH($E445,Продукты!$A$6:$A$66,0)),0)</f>
        <v>0</v>
      </c>
      <c r="N445" s="12">
        <f>IFERROR($J445/100*INDEX(Продукты!$J$6:$J$66,MATCH($E445,Продукты!$A$6:$A$66,0)),0)</f>
        <v>0</v>
      </c>
      <c r="O445" s="3" t="str">
        <f>IFERROR(IF(IFERROR(INDEX(Рецепты!$H$6:$H$85,MATCH(Меню!$D$23,Рецепты!$H$6:$H$85,0)+14)=Меню!$D$23,FALSE),INDEX(Рецепты!$N$6:$N$85,MATCH(Меню!$D$23,Рецепты!$H$6:$H$85,0)+14),""),"")</f>
        <v/>
      </c>
    </row>
    <row r="446" spans="1:15">
      <c r="A446" s="3" t="str">
        <f>IF($E446="","",Меню!$A$23)</f>
        <v/>
      </c>
      <c r="B446" s="3" t="str">
        <f>IF($E446="","",Меню!$B$23)</f>
        <v/>
      </c>
      <c r="C446" s="3" t="str">
        <f>IF($E446="","",Меню!$C$23)</f>
        <v/>
      </c>
      <c r="D446" s="3" t="str">
        <f>IF($E446="","",Меню!$D$23)</f>
        <v/>
      </c>
      <c r="E446" s="3" t="str">
        <f>IFERROR(IF(IFERROR(INDEX(Рецепты!$H$6:$H$85,MATCH(Меню!$D$23,Рецепты!$H$6:$H$85,0)+15)=Меню!$D$23,FALSE),INDEX(Рецепты!$J$6:$J$85,MATCH(Меню!$D$23,Рецепты!$H$6:$H$85,0)+15),""),"")</f>
        <v/>
      </c>
      <c r="F446" s="3" t="str">
        <f>IF($E446="","",INDEX(Рецепты!$K$6:$K$85,MATCH(Меню!$D$23,Рецепты!$H$6:$H$85,0)+15))</f>
        <v/>
      </c>
      <c r="G446" s="3" t="str">
        <f>IF($E446="","",INDEX(Рецепты!$M$6:$M$85,MATCH(Меню!$D$23,Рецепты!$H$6:$H$85,0)+15))</f>
        <v/>
      </c>
      <c r="H446" s="12">
        <f>IFERROR(IF(IFERROR(INDEX(Рецепты!$H$6:$H$85,MATCH(Меню!$D$23,Рецепты!$H$6:$H$85,0)+15)=Меню!$D$23,FALSE),INDEX(Рецепты!$L$6:$L$85,MATCH(Меню!$D$23,Рецепты!$H$6:$H$85,0)+15),0),0)</f>
        <v>0</v>
      </c>
      <c r="I446" s="12" t="str">
        <f>IF($F446="","",Меню!$E$23)</f>
        <v/>
      </c>
      <c r="J446" s="12">
        <f t="shared" si="6"/>
        <v>0</v>
      </c>
      <c r="K446" s="12">
        <f>IFERROR($J446/100*INDEX(Продукты!$G$6:$G$66,MATCH($E446,Продукты!$A$6:$A$66,0)),0)</f>
        <v>0</v>
      </c>
      <c r="L446" s="12">
        <f>IFERROR($J446/100*INDEX(Продукты!$H$6:$H$66,MATCH($E446,Продукты!$A$6:$A$66,0)),0)</f>
        <v>0</v>
      </c>
      <c r="M446" s="12">
        <f>IFERROR($J446/100*INDEX(Продукты!$I$6:$I$66,MATCH($E446,Продукты!$A$6:$A$66,0)),0)</f>
        <v>0</v>
      </c>
      <c r="N446" s="12">
        <f>IFERROR($J446/100*INDEX(Продукты!$J$6:$J$66,MATCH($E446,Продукты!$A$6:$A$66,0)),0)</f>
        <v>0</v>
      </c>
      <c r="O446" s="3" t="str">
        <f>IFERROR(IF(IFERROR(INDEX(Рецепты!$H$6:$H$85,MATCH(Меню!$D$23,Рецепты!$H$6:$H$85,0)+15)=Меню!$D$23,FALSE),INDEX(Рецепты!$N$6:$N$85,MATCH(Меню!$D$23,Рецепты!$H$6:$H$85,0)+15),""),"")</f>
        <v/>
      </c>
    </row>
    <row r="447" spans="1:15">
      <c r="A447" s="3" t="str">
        <f>IF($E447="","",Меню!$A$23)</f>
        <v/>
      </c>
      <c r="B447" s="3" t="str">
        <f>IF($E447="","",Меню!$B$23)</f>
        <v/>
      </c>
      <c r="C447" s="3" t="str">
        <f>IF($E447="","",Меню!$C$23)</f>
        <v/>
      </c>
      <c r="D447" s="3" t="str">
        <f>IF($E447="","",Меню!$D$23)</f>
        <v/>
      </c>
      <c r="E447" s="3" t="str">
        <f>IFERROR(IF(IFERROR(INDEX(Рецепты!$H$6:$H$85,MATCH(Меню!$D$23,Рецепты!$H$6:$H$85,0)+16)=Меню!$D$23,FALSE),INDEX(Рецепты!$J$6:$J$85,MATCH(Меню!$D$23,Рецепты!$H$6:$H$85,0)+16),""),"")</f>
        <v/>
      </c>
      <c r="F447" s="3" t="str">
        <f>IF($E447="","",INDEX(Рецепты!$K$6:$K$85,MATCH(Меню!$D$23,Рецепты!$H$6:$H$85,0)+16))</f>
        <v/>
      </c>
      <c r="G447" s="3" t="str">
        <f>IF($E447="","",INDEX(Рецепты!$M$6:$M$85,MATCH(Меню!$D$23,Рецепты!$H$6:$H$85,0)+16))</f>
        <v/>
      </c>
      <c r="H447" s="12">
        <f>IFERROR(IF(IFERROR(INDEX(Рецепты!$H$6:$H$85,MATCH(Меню!$D$23,Рецепты!$H$6:$H$85,0)+16)=Меню!$D$23,FALSE),INDEX(Рецепты!$L$6:$L$85,MATCH(Меню!$D$23,Рецепты!$H$6:$H$85,0)+16),0),0)</f>
        <v>0</v>
      </c>
      <c r="I447" s="12" t="str">
        <f>IF($F447="","",Меню!$E$23)</f>
        <v/>
      </c>
      <c r="J447" s="12">
        <f t="shared" si="6"/>
        <v>0</v>
      </c>
      <c r="K447" s="12">
        <f>IFERROR($J447/100*INDEX(Продукты!$G$6:$G$66,MATCH($E447,Продукты!$A$6:$A$66,0)),0)</f>
        <v>0</v>
      </c>
      <c r="L447" s="12">
        <f>IFERROR($J447/100*INDEX(Продукты!$H$6:$H$66,MATCH($E447,Продукты!$A$6:$A$66,0)),0)</f>
        <v>0</v>
      </c>
      <c r="M447" s="12">
        <f>IFERROR($J447/100*INDEX(Продукты!$I$6:$I$66,MATCH($E447,Продукты!$A$6:$A$66,0)),0)</f>
        <v>0</v>
      </c>
      <c r="N447" s="12">
        <f>IFERROR($J447/100*INDEX(Продукты!$J$6:$J$66,MATCH($E447,Продукты!$A$6:$A$66,0)),0)</f>
        <v>0</v>
      </c>
      <c r="O447" s="3" t="str">
        <f>IFERROR(IF(IFERROR(INDEX(Рецепты!$H$6:$H$85,MATCH(Меню!$D$23,Рецепты!$H$6:$H$85,0)+16)=Меню!$D$23,FALSE),INDEX(Рецепты!$N$6:$N$85,MATCH(Меню!$D$23,Рецепты!$H$6:$H$85,0)+16),""),"")</f>
        <v/>
      </c>
    </row>
    <row r="448" spans="1:15">
      <c r="A448" s="3" t="str">
        <f>IF($E448="","",Меню!$A$23)</f>
        <v/>
      </c>
      <c r="B448" s="3" t="str">
        <f>IF($E448="","",Меню!$B$23)</f>
        <v/>
      </c>
      <c r="C448" s="3" t="str">
        <f>IF($E448="","",Меню!$C$23)</f>
        <v/>
      </c>
      <c r="D448" s="3" t="str">
        <f>IF($E448="","",Меню!$D$23)</f>
        <v/>
      </c>
      <c r="E448" s="3" t="str">
        <f>IFERROR(IF(IFERROR(INDEX(Рецепты!$H$6:$H$85,MATCH(Меню!$D$23,Рецепты!$H$6:$H$85,0)+17)=Меню!$D$23,FALSE),INDEX(Рецепты!$J$6:$J$85,MATCH(Меню!$D$23,Рецепты!$H$6:$H$85,0)+17),""),"")</f>
        <v/>
      </c>
      <c r="F448" s="3" t="str">
        <f>IF($E448="","",INDEX(Рецепты!$K$6:$K$85,MATCH(Меню!$D$23,Рецепты!$H$6:$H$85,0)+17))</f>
        <v/>
      </c>
      <c r="G448" s="3" t="str">
        <f>IF($E448="","",INDEX(Рецепты!$M$6:$M$85,MATCH(Меню!$D$23,Рецепты!$H$6:$H$85,0)+17))</f>
        <v/>
      </c>
      <c r="H448" s="12">
        <f>IFERROR(IF(IFERROR(INDEX(Рецепты!$H$6:$H$85,MATCH(Меню!$D$23,Рецепты!$H$6:$H$85,0)+17)=Меню!$D$23,FALSE),INDEX(Рецепты!$L$6:$L$85,MATCH(Меню!$D$23,Рецепты!$H$6:$H$85,0)+17),0),0)</f>
        <v>0</v>
      </c>
      <c r="I448" s="12" t="str">
        <f>IF($F448="","",Меню!$E$23)</f>
        <v/>
      </c>
      <c r="J448" s="12">
        <f t="shared" si="6"/>
        <v>0</v>
      </c>
      <c r="K448" s="12">
        <f>IFERROR($J448/100*INDEX(Продукты!$G$6:$G$66,MATCH($E448,Продукты!$A$6:$A$66,0)),0)</f>
        <v>0</v>
      </c>
      <c r="L448" s="12">
        <f>IFERROR($J448/100*INDEX(Продукты!$H$6:$H$66,MATCH($E448,Продукты!$A$6:$A$66,0)),0)</f>
        <v>0</v>
      </c>
      <c r="M448" s="12">
        <f>IFERROR($J448/100*INDEX(Продукты!$I$6:$I$66,MATCH($E448,Продукты!$A$6:$A$66,0)),0)</f>
        <v>0</v>
      </c>
      <c r="N448" s="12">
        <f>IFERROR($J448/100*INDEX(Продукты!$J$6:$J$66,MATCH($E448,Продукты!$A$6:$A$66,0)),0)</f>
        <v>0</v>
      </c>
      <c r="O448" s="3" t="str">
        <f>IFERROR(IF(IFERROR(INDEX(Рецепты!$H$6:$H$85,MATCH(Меню!$D$23,Рецепты!$H$6:$H$85,0)+17)=Меню!$D$23,FALSE),INDEX(Рецепты!$N$6:$N$85,MATCH(Меню!$D$23,Рецепты!$H$6:$H$85,0)+17),""),"")</f>
        <v/>
      </c>
    </row>
    <row r="449" spans="1:15">
      <c r="A449" s="3" t="str">
        <f>IF($E449="","",Меню!$A$23)</f>
        <v/>
      </c>
      <c r="B449" s="3" t="str">
        <f>IF($E449="","",Меню!$B$23)</f>
        <v/>
      </c>
      <c r="C449" s="3" t="str">
        <f>IF($E449="","",Меню!$C$23)</f>
        <v/>
      </c>
      <c r="D449" s="3" t="str">
        <f>IF($E449="","",Меню!$D$23)</f>
        <v/>
      </c>
      <c r="E449" s="3" t="str">
        <f>IFERROR(IF(IFERROR(INDEX(Рецепты!$H$6:$H$85,MATCH(Меню!$D$23,Рецепты!$H$6:$H$85,0)+18)=Меню!$D$23,FALSE),INDEX(Рецепты!$J$6:$J$85,MATCH(Меню!$D$23,Рецепты!$H$6:$H$85,0)+18),""),"")</f>
        <v/>
      </c>
      <c r="F449" s="3" t="str">
        <f>IF($E449="","",INDEX(Рецепты!$K$6:$K$85,MATCH(Меню!$D$23,Рецепты!$H$6:$H$85,0)+18))</f>
        <v/>
      </c>
      <c r="G449" s="3" t="str">
        <f>IF($E449="","",INDEX(Рецепты!$M$6:$M$85,MATCH(Меню!$D$23,Рецепты!$H$6:$H$85,0)+18))</f>
        <v/>
      </c>
      <c r="H449" s="12">
        <f>IFERROR(IF(IFERROR(INDEX(Рецепты!$H$6:$H$85,MATCH(Меню!$D$23,Рецепты!$H$6:$H$85,0)+18)=Меню!$D$23,FALSE),INDEX(Рецепты!$L$6:$L$85,MATCH(Меню!$D$23,Рецепты!$H$6:$H$85,0)+18),0),0)</f>
        <v>0</v>
      </c>
      <c r="I449" s="12" t="str">
        <f>IF($F449="","",Меню!$E$23)</f>
        <v/>
      </c>
      <c r="J449" s="12">
        <f t="shared" si="6"/>
        <v>0</v>
      </c>
      <c r="K449" s="12">
        <f>IFERROR($J449/100*INDEX(Продукты!$G$6:$G$66,MATCH($E449,Продукты!$A$6:$A$66,0)),0)</f>
        <v>0</v>
      </c>
      <c r="L449" s="12">
        <f>IFERROR($J449/100*INDEX(Продукты!$H$6:$H$66,MATCH($E449,Продукты!$A$6:$A$66,0)),0)</f>
        <v>0</v>
      </c>
      <c r="M449" s="12">
        <f>IFERROR($J449/100*INDEX(Продукты!$I$6:$I$66,MATCH($E449,Продукты!$A$6:$A$66,0)),0)</f>
        <v>0</v>
      </c>
      <c r="N449" s="12">
        <f>IFERROR($J449/100*INDEX(Продукты!$J$6:$J$66,MATCH($E449,Продукты!$A$6:$A$66,0)),0)</f>
        <v>0</v>
      </c>
      <c r="O449" s="3" t="str">
        <f>IFERROR(IF(IFERROR(INDEX(Рецепты!$H$6:$H$85,MATCH(Меню!$D$23,Рецепты!$H$6:$H$85,0)+18)=Меню!$D$23,FALSE),INDEX(Рецепты!$N$6:$N$85,MATCH(Меню!$D$23,Рецепты!$H$6:$H$85,0)+18),""),"")</f>
        <v/>
      </c>
    </row>
    <row r="450" spans="1:15">
      <c r="A450" s="3" t="str">
        <f>IF($E450="","",Меню!$A$23)</f>
        <v/>
      </c>
      <c r="B450" s="3" t="str">
        <f>IF($E450="","",Меню!$B$23)</f>
        <v/>
      </c>
      <c r="C450" s="3" t="str">
        <f>IF($E450="","",Меню!$C$23)</f>
        <v/>
      </c>
      <c r="D450" s="3" t="str">
        <f>IF($E450="","",Меню!$D$23)</f>
        <v/>
      </c>
      <c r="E450" s="3" t="str">
        <f>IFERROR(IF(IFERROR(INDEX(Рецепты!$H$6:$H$85,MATCH(Меню!$D$23,Рецепты!$H$6:$H$85,0)+19)=Меню!$D$23,FALSE),INDEX(Рецепты!$J$6:$J$85,MATCH(Меню!$D$23,Рецепты!$H$6:$H$85,0)+19),""),"")</f>
        <v/>
      </c>
      <c r="F450" s="3" t="str">
        <f>IF($E450="","",INDEX(Рецепты!$K$6:$K$85,MATCH(Меню!$D$23,Рецепты!$H$6:$H$85,0)+19))</f>
        <v/>
      </c>
      <c r="G450" s="3" t="str">
        <f>IF($E450="","",INDEX(Рецепты!$M$6:$M$85,MATCH(Меню!$D$23,Рецепты!$H$6:$H$85,0)+19))</f>
        <v/>
      </c>
      <c r="H450" s="12">
        <f>IFERROR(IF(IFERROR(INDEX(Рецепты!$H$6:$H$85,MATCH(Меню!$D$23,Рецепты!$H$6:$H$85,0)+19)=Меню!$D$23,FALSE),INDEX(Рецепты!$L$6:$L$85,MATCH(Меню!$D$23,Рецепты!$H$6:$H$85,0)+19),0),0)</f>
        <v>0</v>
      </c>
      <c r="I450" s="12" t="str">
        <f>IF($F450="","",Меню!$E$23)</f>
        <v/>
      </c>
      <c r="J450" s="12">
        <f t="shared" si="6"/>
        <v>0</v>
      </c>
      <c r="K450" s="12">
        <f>IFERROR($J450/100*INDEX(Продукты!$G$6:$G$66,MATCH($E450,Продукты!$A$6:$A$66,0)),0)</f>
        <v>0</v>
      </c>
      <c r="L450" s="12">
        <f>IFERROR($J450/100*INDEX(Продукты!$H$6:$H$66,MATCH($E450,Продукты!$A$6:$A$66,0)),0)</f>
        <v>0</v>
      </c>
      <c r="M450" s="12">
        <f>IFERROR($J450/100*INDEX(Продукты!$I$6:$I$66,MATCH($E450,Продукты!$A$6:$A$66,0)),0)</f>
        <v>0</v>
      </c>
      <c r="N450" s="12">
        <f>IFERROR($J450/100*INDEX(Продукты!$J$6:$J$66,MATCH($E450,Продукты!$A$6:$A$66,0)),0)</f>
        <v>0</v>
      </c>
      <c r="O450" s="3" t="str">
        <f>IFERROR(IF(IFERROR(INDEX(Рецепты!$H$6:$H$85,MATCH(Меню!$D$23,Рецепты!$H$6:$H$85,0)+19)=Меню!$D$23,FALSE),INDEX(Рецепты!$N$6:$N$85,MATCH(Меню!$D$23,Рецепты!$H$6:$H$85,0)+19),""),"")</f>
        <v/>
      </c>
    </row>
    <row r="451" spans="1:15">
      <c r="A451" s="3" t="str">
        <f>IF($E451="","",Меню!$A$23)</f>
        <v/>
      </c>
      <c r="B451" s="3" t="str">
        <f>IF($E451="","",Меню!$B$23)</f>
        <v/>
      </c>
      <c r="C451" s="3" t="str">
        <f>IF($E451="","",Меню!$C$23)</f>
        <v/>
      </c>
      <c r="D451" s="3" t="str">
        <f>IF($E451="","",Меню!$D$23)</f>
        <v/>
      </c>
      <c r="E451" s="3" t="str">
        <f>IFERROR(IF(IFERROR(INDEX(Рецепты!$H$6:$H$85,MATCH(Меню!$D$23,Рецепты!$H$6:$H$85,0)+20)=Меню!$D$23,FALSE),INDEX(Рецепты!$J$6:$J$85,MATCH(Меню!$D$23,Рецепты!$H$6:$H$85,0)+20),""),"")</f>
        <v/>
      </c>
      <c r="F451" s="3" t="str">
        <f>IF($E451="","",INDEX(Рецепты!$K$6:$K$85,MATCH(Меню!$D$23,Рецепты!$H$6:$H$85,0)+20))</f>
        <v/>
      </c>
      <c r="G451" s="3" t="str">
        <f>IF($E451="","",INDEX(Рецепты!$M$6:$M$85,MATCH(Меню!$D$23,Рецепты!$H$6:$H$85,0)+20))</f>
        <v/>
      </c>
      <c r="H451" s="12">
        <f>IFERROR(IF(IFERROR(INDEX(Рецепты!$H$6:$H$85,MATCH(Меню!$D$23,Рецепты!$H$6:$H$85,0)+20)=Меню!$D$23,FALSE),INDEX(Рецепты!$L$6:$L$85,MATCH(Меню!$D$23,Рецепты!$H$6:$H$85,0)+20),0),0)</f>
        <v>0</v>
      </c>
      <c r="I451" s="12" t="str">
        <f>IF($F451="","",Меню!$E$23)</f>
        <v/>
      </c>
      <c r="J451" s="12">
        <f t="shared" si="6"/>
        <v>0</v>
      </c>
      <c r="K451" s="12">
        <f>IFERROR($J451/100*INDEX(Продукты!$G$6:$G$66,MATCH($E451,Продукты!$A$6:$A$66,0)),0)</f>
        <v>0</v>
      </c>
      <c r="L451" s="12">
        <f>IFERROR($J451/100*INDEX(Продукты!$H$6:$H$66,MATCH($E451,Продукты!$A$6:$A$66,0)),0)</f>
        <v>0</v>
      </c>
      <c r="M451" s="12">
        <f>IFERROR($J451/100*INDEX(Продукты!$I$6:$I$66,MATCH($E451,Продукты!$A$6:$A$66,0)),0)</f>
        <v>0</v>
      </c>
      <c r="N451" s="12">
        <f>IFERROR($J451/100*INDEX(Продукты!$J$6:$J$66,MATCH($E451,Продукты!$A$6:$A$66,0)),0)</f>
        <v>0</v>
      </c>
      <c r="O451" s="3" t="str">
        <f>IFERROR(IF(IFERROR(INDEX(Рецепты!$H$6:$H$85,MATCH(Меню!$D$23,Рецепты!$H$6:$H$85,0)+20)=Меню!$D$23,FALSE),INDEX(Рецепты!$N$6:$N$85,MATCH(Меню!$D$23,Рецепты!$H$6:$H$85,0)+20),""),"")</f>
        <v/>
      </c>
    </row>
    <row r="452" spans="1:15">
      <c r="A452" s="3" t="str">
        <f>IF($E452="","",Меню!$A$23)</f>
        <v/>
      </c>
      <c r="B452" s="3" t="str">
        <f>IF($E452="","",Меню!$B$23)</f>
        <v/>
      </c>
      <c r="C452" s="3" t="str">
        <f>IF($E452="","",Меню!$C$23)</f>
        <v/>
      </c>
      <c r="D452" s="3" t="str">
        <f>IF($E452="","",Меню!$D$23)</f>
        <v/>
      </c>
      <c r="E452" s="3" t="str">
        <f>IFERROR(IF(IFERROR(INDEX(Рецепты!$H$6:$H$85,MATCH(Меню!$D$23,Рецепты!$H$6:$H$85,0)+21)=Меню!$D$23,FALSE),INDEX(Рецепты!$J$6:$J$85,MATCH(Меню!$D$23,Рецепты!$H$6:$H$85,0)+21),""),"")</f>
        <v/>
      </c>
      <c r="F452" s="3" t="str">
        <f>IF($E452="","",INDEX(Рецепты!$K$6:$K$85,MATCH(Меню!$D$23,Рецепты!$H$6:$H$85,0)+21))</f>
        <v/>
      </c>
      <c r="G452" s="3" t="str">
        <f>IF($E452="","",INDEX(Рецепты!$M$6:$M$85,MATCH(Меню!$D$23,Рецепты!$H$6:$H$85,0)+21))</f>
        <v/>
      </c>
      <c r="H452" s="12">
        <f>IFERROR(IF(IFERROR(INDEX(Рецепты!$H$6:$H$85,MATCH(Меню!$D$23,Рецепты!$H$6:$H$85,0)+21)=Меню!$D$23,FALSE),INDEX(Рецепты!$L$6:$L$85,MATCH(Меню!$D$23,Рецепты!$H$6:$H$85,0)+21),0),0)</f>
        <v>0</v>
      </c>
      <c r="I452" s="12" t="str">
        <f>IF($F452="","",Меню!$E$23)</f>
        <v/>
      </c>
      <c r="J452" s="12">
        <f t="shared" si="6"/>
        <v>0</v>
      </c>
      <c r="K452" s="12">
        <f>IFERROR($J452/100*INDEX(Продукты!$G$6:$G$66,MATCH($E452,Продукты!$A$6:$A$66,0)),0)</f>
        <v>0</v>
      </c>
      <c r="L452" s="12">
        <f>IFERROR($J452/100*INDEX(Продукты!$H$6:$H$66,MATCH($E452,Продукты!$A$6:$A$66,0)),0)</f>
        <v>0</v>
      </c>
      <c r="M452" s="12">
        <f>IFERROR($J452/100*INDEX(Продукты!$I$6:$I$66,MATCH($E452,Продукты!$A$6:$A$66,0)),0)</f>
        <v>0</v>
      </c>
      <c r="N452" s="12">
        <f>IFERROR($J452/100*INDEX(Продукты!$J$6:$J$66,MATCH($E452,Продукты!$A$6:$A$66,0)),0)</f>
        <v>0</v>
      </c>
      <c r="O452" s="3" t="str">
        <f>IFERROR(IF(IFERROR(INDEX(Рецепты!$H$6:$H$85,MATCH(Меню!$D$23,Рецепты!$H$6:$H$85,0)+21)=Меню!$D$23,FALSE),INDEX(Рецепты!$N$6:$N$85,MATCH(Меню!$D$23,Рецепты!$H$6:$H$85,0)+21),""),"")</f>
        <v/>
      </c>
    </row>
    <row r="453" spans="1:15">
      <c r="A453" s="3" t="str">
        <f>IF($E453="","",Меню!$A$23)</f>
        <v/>
      </c>
      <c r="B453" s="3" t="str">
        <f>IF($E453="","",Меню!$B$23)</f>
        <v/>
      </c>
      <c r="C453" s="3" t="str">
        <f>IF($E453="","",Меню!$C$23)</f>
        <v/>
      </c>
      <c r="D453" s="3" t="str">
        <f>IF($E453="","",Меню!$D$23)</f>
        <v/>
      </c>
      <c r="E453" s="3" t="str">
        <f>IFERROR(IF(IFERROR(INDEX(Рецепты!$H$6:$H$85,MATCH(Меню!$D$23,Рецепты!$H$6:$H$85,0)+22)=Меню!$D$23,FALSE),INDEX(Рецепты!$J$6:$J$85,MATCH(Меню!$D$23,Рецепты!$H$6:$H$85,0)+22),""),"")</f>
        <v/>
      </c>
      <c r="F453" s="3" t="str">
        <f>IF($E453="","",INDEX(Рецепты!$K$6:$K$85,MATCH(Меню!$D$23,Рецепты!$H$6:$H$85,0)+22))</f>
        <v/>
      </c>
      <c r="G453" s="3" t="str">
        <f>IF($E453="","",INDEX(Рецепты!$M$6:$M$85,MATCH(Меню!$D$23,Рецепты!$H$6:$H$85,0)+22))</f>
        <v/>
      </c>
      <c r="H453" s="12">
        <f>IFERROR(IF(IFERROR(INDEX(Рецепты!$H$6:$H$85,MATCH(Меню!$D$23,Рецепты!$H$6:$H$85,0)+22)=Меню!$D$23,FALSE),INDEX(Рецепты!$L$6:$L$85,MATCH(Меню!$D$23,Рецепты!$H$6:$H$85,0)+22),0),0)</f>
        <v>0</v>
      </c>
      <c r="I453" s="12" t="str">
        <f>IF($F453="","",Меню!$E$23)</f>
        <v/>
      </c>
      <c r="J453" s="12">
        <f t="shared" si="6"/>
        <v>0</v>
      </c>
      <c r="K453" s="12">
        <f>IFERROR($J453/100*INDEX(Продукты!$G$6:$G$66,MATCH($E453,Продукты!$A$6:$A$66,0)),0)</f>
        <v>0</v>
      </c>
      <c r="L453" s="12">
        <f>IFERROR($J453/100*INDEX(Продукты!$H$6:$H$66,MATCH($E453,Продукты!$A$6:$A$66,0)),0)</f>
        <v>0</v>
      </c>
      <c r="M453" s="12">
        <f>IFERROR($J453/100*INDEX(Продукты!$I$6:$I$66,MATCH($E453,Продукты!$A$6:$A$66,0)),0)</f>
        <v>0</v>
      </c>
      <c r="N453" s="12">
        <f>IFERROR($J453/100*INDEX(Продукты!$J$6:$J$66,MATCH($E453,Продукты!$A$6:$A$66,0)),0)</f>
        <v>0</v>
      </c>
      <c r="O453" s="3" t="str">
        <f>IFERROR(IF(IFERROR(INDEX(Рецепты!$H$6:$H$85,MATCH(Меню!$D$23,Рецепты!$H$6:$H$85,0)+22)=Меню!$D$23,FALSE),INDEX(Рецепты!$N$6:$N$85,MATCH(Меню!$D$23,Рецепты!$H$6:$H$85,0)+22),""),"")</f>
        <v/>
      </c>
    </row>
    <row r="454" spans="1:15">
      <c r="A454" s="3" t="str">
        <f>IF($E454="","",Меню!$A$23)</f>
        <v/>
      </c>
      <c r="B454" s="3" t="str">
        <f>IF($E454="","",Меню!$B$23)</f>
        <v/>
      </c>
      <c r="C454" s="3" t="str">
        <f>IF($E454="","",Меню!$C$23)</f>
        <v/>
      </c>
      <c r="D454" s="3" t="str">
        <f>IF($E454="","",Меню!$D$23)</f>
        <v/>
      </c>
      <c r="E454" s="3" t="str">
        <f>IFERROR(IF(IFERROR(INDEX(Рецепты!$H$6:$H$85,MATCH(Меню!$D$23,Рецепты!$H$6:$H$85,0)+23)=Меню!$D$23,FALSE),INDEX(Рецепты!$J$6:$J$85,MATCH(Меню!$D$23,Рецепты!$H$6:$H$85,0)+23),""),"")</f>
        <v/>
      </c>
      <c r="F454" s="3" t="str">
        <f>IF($E454="","",INDEX(Рецепты!$K$6:$K$85,MATCH(Меню!$D$23,Рецепты!$H$6:$H$85,0)+23))</f>
        <v/>
      </c>
      <c r="G454" s="3" t="str">
        <f>IF($E454="","",INDEX(Рецепты!$M$6:$M$85,MATCH(Меню!$D$23,Рецепты!$H$6:$H$85,0)+23))</f>
        <v/>
      </c>
      <c r="H454" s="12">
        <f>IFERROR(IF(IFERROR(INDEX(Рецепты!$H$6:$H$85,MATCH(Меню!$D$23,Рецепты!$H$6:$H$85,0)+23)=Меню!$D$23,FALSE),INDEX(Рецепты!$L$6:$L$85,MATCH(Меню!$D$23,Рецепты!$H$6:$H$85,0)+23),0),0)</f>
        <v>0</v>
      </c>
      <c r="I454" s="12" t="str">
        <f>IF($F454="","",Меню!$E$23)</f>
        <v/>
      </c>
      <c r="J454" s="12">
        <f t="shared" ref="J454:J517" si="7">IFERROR($H454*$I454,0)</f>
        <v>0</v>
      </c>
      <c r="K454" s="12">
        <f>IFERROR($J454/100*INDEX(Продукты!$G$6:$G$66,MATCH($E454,Продукты!$A$6:$A$66,0)),0)</f>
        <v>0</v>
      </c>
      <c r="L454" s="12">
        <f>IFERROR($J454/100*INDEX(Продукты!$H$6:$H$66,MATCH($E454,Продукты!$A$6:$A$66,0)),0)</f>
        <v>0</v>
      </c>
      <c r="M454" s="12">
        <f>IFERROR($J454/100*INDEX(Продукты!$I$6:$I$66,MATCH($E454,Продукты!$A$6:$A$66,0)),0)</f>
        <v>0</v>
      </c>
      <c r="N454" s="12">
        <f>IFERROR($J454/100*INDEX(Продукты!$J$6:$J$66,MATCH($E454,Продукты!$A$6:$A$66,0)),0)</f>
        <v>0</v>
      </c>
      <c r="O454" s="3" t="str">
        <f>IFERROR(IF(IFERROR(INDEX(Рецепты!$H$6:$H$85,MATCH(Меню!$D$23,Рецепты!$H$6:$H$85,0)+23)=Меню!$D$23,FALSE),INDEX(Рецепты!$N$6:$N$85,MATCH(Меню!$D$23,Рецепты!$H$6:$H$85,0)+23),""),"")</f>
        <v/>
      </c>
    </row>
    <row r="455" spans="1:15">
      <c r="A455" s="3" t="str">
        <f>IF($E455="","",Меню!$A$23)</f>
        <v/>
      </c>
      <c r="B455" s="3" t="str">
        <f>IF($E455="","",Меню!$B$23)</f>
        <v/>
      </c>
      <c r="C455" s="3" t="str">
        <f>IF($E455="","",Меню!$C$23)</f>
        <v/>
      </c>
      <c r="D455" s="3" t="str">
        <f>IF($E455="","",Меню!$D$23)</f>
        <v/>
      </c>
      <c r="E455" s="3" t="str">
        <f>IFERROR(IF(IFERROR(INDEX(Рецепты!$H$6:$H$85,MATCH(Меню!$D$23,Рецепты!$H$6:$H$85,0)+24)=Меню!$D$23,FALSE),INDEX(Рецепты!$J$6:$J$85,MATCH(Меню!$D$23,Рецепты!$H$6:$H$85,0)+24),""),"")</f>
        <v/>
      </c>
      <c r="F455" s="3" t="str">
        <f>IF($E455="","",INDEX(Рецепты!$K$6:$K$85,MATCH(Меню!$D$23,Рецепты!$H$6:$H$85,0)+24))</f>
        <v/>
      </c>
      <c r="G455" s="3" t="str">
        <f>IF($E455="","",INDEX(Рецепты!$M$6:$M$85,MATCH(Меню!$D$23,Рецепты!$H$6:$H$85,0)+24))</f>
        <v/>
      </c>
      <c r="H455" s="12">
        <f>IFERROR(IF(IFERROR(INDEX(Рецепты!$H$6:$H$85,MATCH(Меню!$D$23,Рецепты!$H$6:$H$85,0)+24)=Меню!$D$23,FALSE),INDEX(Рецепты!$L$6:$L$85,MATCH(Меню!$D$23,Рецепты!$H$6:$H$85,0)+24),0),0)</f>
        <v>0</v>
      </c>
      <c r="I455" s="12" t="str">
        <f>IF($F455="","",Меню!$E$23)</f>
        <v/>
      </c>
      <c r="J455" s="12">
        <f t="shared" si="7"/>
        <v>0</v>
      </c>
      <c r="K455" s="12">
        <f>IFERROR($J455/100*INDEX(Продукты!$G$6:$G$66,MATCH($E455,Продукты!$A$6:$A$66,0)),0)</f>
        <v>0</v>
      </c>
      <c r="L455" s="12">
        <f>IFERROR($J455/100*INDEX(Продукты!$H$6:$H$66,MATCH($E455,Продукты!$A$6:$A$66,0)),0)</f>
        <v>0</v>
      </c>
      <c r="M455" s="12">
        <f>IFERROR($J455/100*INDEX(Продукты!$I$6:$I$66,MATCH($E455,Продукты!$A$6:$A$66,0)),0)</f>
        <v>0</v>
      </c>
      <c r="N455" s="12">
        <f>IFERROR($J455/100*INDEX(Продукты!$J$6:$J$66,MATCH($E455,Продукты!$A$6:$A$66,0)),0)</f>
        <v>0</v>
      </c>
      <c r="O455" s="3" t="str">
        <f>IFERROR(IF(IFERROR(INDEX(Рецепты!$H$6:$H$85,MATCH(Меню!$D$23,Рецепты!$H$6:$H$85,0)+24)=Меню!$D$23,FALSE),INDEX(Рецепты!$N$6:$N$85,MATCH(Меню!$D$23,Рецепты!$H$6:$H$85,0)+24),""),"")</f>
        <v/>
      </c>
    </row>
    <row r="456" spans="1:15">
      <c r="A456" s="3" t="str">
        <f>IF($E456="","",Меню!$A$24)</f>
        <v/>
      </c>
      <c r="B456" s="3" t="str">
        <f>IF($E456="","",Меню!$B$24)</f>
        <v/>
      </c>
      <c r="C456" s="3" t="str">
        <f>IF($E456="","",Меню!$C$24)</f>
        <v/>
      </c>
      <c r="D456" s="3" t="str">
        <f>IF($E456="","",Меню!$D$24)</f>
        <v/>
      </c>
      <c r="E456" s="3" t="str">
        <f>IFERROR(IF(IFERROR(INDEX(Рецепты!$H$6:$H$85,MATCH(Меню!$D$24,Рецепты!$H$6:$H$85,0)+0)=Меню!$D$24,FALSE),INDEX(Рецепты!$J$6:$J$85,MATCH(Меню!$D$24,Рецепты!$H$6:$H$85,0)+0),""),"")</f>
        <v/>
      </c>
      <c r="F456" s="3" t="str">
        <f>IF($E456="","",INDEX(Рецепты!$K$6:$K$85,MATCH(Меню!$D$24,Рецепты!$H$6:$H$85,0)+0))</f>
        <v/>
      </c>
      <c r="G456" s="3" t="str">
        <f>IF($E456="","",INDEX(Рецепты!$M$6:$M$85,MATCH(Меню!$D$24,Рецепты!$H$6:$H$85,0)+0))</f>
        <v/>
      </c>
      <c r="H456" s="12">
        <f>IFERROR(IF(IFERROR(INDEX(Рецепты!$H$6:$H$85,MATCH(Меню!$D$24,Рецепты!$H$6:$H$85,0)+0)=Меню!$D$24,FALSE),INDEX(Рецепты!$L$6:$L$85,MATCH(Меню!$D$24,Рецепты!$H$6:$H$85,0)+0),0),0)</f>
        <v>0</v>
      </c>
      <c r="I456" s="12" t="str">
        <f>IF($F456="","",Меню!$E$24)</f>
        <v/>
      </c>
      <c r="J456" s="12">
        <f t="shared" si="7"/>
        <v>0</v>
      </c>
      <c r="K456" s="12">
        <f>IFERROR($J456/100*INDEX(Продукты!$G$6:$G$66,MATCH($E456,Продукты!$A$6:$A$66,0)),0)</f>
        <v>0</v>
      </c>
      <c r="L456" s="12">
        <f>IFERROR($J456/100*INDEX(Продукты!$H$6:$H$66,MATCH($E456,Продукты!$A$6:$A$66,0)),0)</f>
        <v>0</v>
      </c>
      <c r="M456" s="12">
        <f>IFERROR($J456/100*INDEX(Продукты!$I$6:$I$66,MATCH($E456,Продукты!$A$6:$A$66,0)),0)</f>
        <v>0</v>
      </c>
      <c r="N456" s="12">
        <f>IFERROR($J456/100*INDEX(Продукты!$J$6:$J$66,MATCH($E456,Продукты!$A$6:$A$66,0)),0)</f>
        <v>0</v>
      </c>
      <c r="O456" s="3" t="str">
        <f>IFERROR(IF(IFERROR(INDEX(Рецепты!$H$6:$H$85,MATCH(Меню!$D$24,Рецепты!$H$6:$H$85,0)+0)=Меню!$D$24,FALSE),INDEX(Рецепты!$N$6:$N$85,MATCH(Меню!$D$24,Рецепты!$H$6:$H$85,0)+0),""),"")</f>
        <v/>
      </c>
    </row>
    <row r="457" spans="1:15">
      <c r="A457" s="3" t="str">
        <f>IF($E457="","",Меню!$A$24)</f>
        <v/>
      </c>
      <c r="B457" s="3" t="str">
        <f>IF($E457="","",Меню!$B$24)</f>
        <v/>
      </c>
      <c r="C457" s="3" t="str">
        <f>IF($E457="","",Меню!$C$24)</f>
        <v/>
      </c>
      <c r="D457" s="3" t="str">
        <f>IF($E457="","",Меню!$D$24)</f>
        <v/>
      </c>
      <c r="E457" s="3" t="str">
        <f>IFERROR(IF(IFERROR(INDEX(Рецепты!$H$6:$H$85,MATCH(Меню!$D$24,Рецепты!$H$6:$H$85,0)+1)=Меню!$D$24,FALSE),INDEX(Рецепты!$J$6:$J$85,MATCH(Меню!$D$24,Рецепты!$H$6:$H$85,0)+1),""),"")</f>
        <v/>
      </c>
      <c r="F457" s="3" t="str">
        <f>IF($E457="","",INDEX(Рецепты!$K$6:$K$85,MATCH(Меню!$D$24,Рецепты!$H$6:$H$85,0)+1))</f>
        <v/>
      </c>
      <c r="G457" s="3" t="str">
        <f>IF($E457="","",INDEX(Рецепты!$M$6:$M$85,MATCH(Меню!$D$24,Рецепты!$H$6:$H$85,0)+1))</f>
        <v/>
      </c>
      <c r="H457" s="12">
        <f>IFERROR(IF(IFERROR(INDEX(Рецепты!$H$6:$H$85,MATCH(Меню!$D$24,Рецепты!$H$6:$H$85,0)+1)=Меню!$D$24,FALSE),INDEX(Рецепты!$L$6:$L$85,MATCH(Меню!$D$24,Рецепты!$H$6:$H$85,0)+1),0),0)</f>
        <v>0</v>
      </c>
      <c r="I457" s="12" t="str">
        <f>IF($F457="","",Меню!$E$24)</f>
        <v/>
      </c>
      <c r="J457" s="12">
        <f t="shared" si="7"/>
        <v>0</v>
      </c>
      <c r="K457" s="12">
        <f>IFERROR($J457/100*INDEX(Продукты!$G$6:$G$66,MATCH($E457,Продукты!$A$6:$A$66,0)),0)</f>
        <v>0</v>
      </c>
      <c r="L457" s="12">
        <f>IFERROR($J457/100*INDEX(Продукты!$H$6:$H$66,MATCH($E457,Продукты!$A$6:$A$66,0)),0)</f>
        <v>0</v>
      </c>
      <c r="M457" s="12">
        <f>IFERROR($J457/100*INDEX(Продукты!$I$6:$I$66,MATCH($E457,Продукты!$A$6:$A$66,0)),0)</f>
        <v>0</v>
      </c>
      <c r="N457" s="12">
        <f>IFERROR($J457/100*INDEX(Продукты!$J$6:$J$66,MATCH($E457,Продукты!$A$6:$A$66,0)),0)</f>
        <v>0</v>
      </c>
      <c r="O457" s="3" t="str">
        <f>IFERROR(IF(IFERROR(INDEX(Рецепты!$H$6:$H$85,MATCH(Меню!$D$24,Рецепты!$H$6:$H$85,0)+1)=Меню!$D$24,FALSE),INDEX(Рецепты!$N$6:$N$85,MATCH(Меню!$D$24,Рецепты!$H$6:$H$85,0)+1),""),"")</f>
        <v/>
      </c>
    </row>
    <row r="458" spans="1:15">
      <c r="A458" s="3" t="str">
        <f>IF($E458="","",Меню!$A$24)</f>
        <v/>
      </c>
      <c r="B458" s="3" t="str">
        <f>IF($E458="","",Меню!$B$24)</f>
        <v/>
      </c>
      <c r="C458" s="3" t="str">
        <f>IF($E458="","",Меню!$C$24)</f>
        <v/>
      </c>
      <c r="D458" s="3" t="str">
        <f>IF($E458="","",Меню!$D$24)</f>
        <v/>
      </c>
      <c r="E458" s="3" t="str">
        <f>IFERROR(IF(IFERROR(INDEX(Рецепты!$H$6:$H$85,MATCH(Меню!$D$24,Рецепты!$H$6:$H$85,0)+2)=Меню!$D$24,FALSE),INDEX(Рецепты!$J$6:$J$85,MATCH(Меню!$D$24,Рецепты!$H$6:$H$85,0)+2),""),"")</f>
        <v/>
      </c>
      <c r="F458" s="3" t="str">
        <f>IF($E458="","",INDEX(Рецепты!$K$6:$K$85,MATCH(Меню!$D$24,Рецепты!$H$6:$H$85,0)+2))</f>
        <v/>
      </c>
      <c r="G458" s="3" t="str">
        <f>IF($E458="","",INDEX(Рецепты!$M$6:$M$85,MATCH(Меню!$D$24,Рецепты!$H$6:$H$85,0)+2))</f>
        <v/>
      </c>
      <c r="H458" s="12">
        <f>IFERROR(IF(IFERROR(INDEX(Рецепты!$H$6:$H$85,MATCH(Меню!$D$24,Рецепты!$H$6:$H$85,0)+2)=Меню!$D$24,FALSE),INDEX(Рецепты!$L$6:$L$85,MATCH(Меню!$D$24,Рецепты!$H$6:$H$85,0)+2),0),0)</f>
        <v>0</v>
      </c>
      <c r="I458" s="12" t="str">
        <f>IF($F458="","",Меню!$E$24)</f>
        <v/>
      </c>
      <c r="J458" s="12">
        <f t="shared" si="7"/>
        <v>0</v>
      </c>
      <c r="K458" s="12">
        <f>IFERROR($J458/100*INDEX(Продукты!$G$6:$G$66,MATCH($E458,Продукты!$A$6:$A$66,0)),0)</f>
        <v>0</v>
      </c>
      <c r="L458" s="12">
        <f>IFERROR($J458/100*INDEX(Продукты!$H$6:$H$66,MATCH($E458,Продукты!$A$6:$A$66,0)),0)</f>
        <v>0</v>
      </c>
      <c r="M458" s="12">
        <f>IFERROR($J458/100*INDEX(Продукты!$I$6:$I$66,MATCH($E458,Продукты!$A$6:$A$66,0)),0)</f>
        <v>0</v>
      </c>
      <c r="N458" s="12">
        <f>IFERROR($J458/100*INDEX(Продукты!$J$6:$J$66,MATCH($E458,Продукты!$A$6:$A$66,0)),0)</f>
        <v>0</v>
      </c>
      <c r="O458" s="3" t="str">
        <f>IFERROR(IF(IFERROR(INDEX(Рецепты!$H$6:$H$85,MATCH(Меню!$D$24,Рецепты!$H$6:$H$85,0)+2)=Меню!$D$24,FALSE),INDEX(Рецепты!$N$6:$N$85,MATCH(Меню!$D$24,Рецепты!$H$6:$H$85,0)+2),""),"")</f>
        <v/>
      </c>
    </row>
    <row r="459" spans="1:15">
      <c r="A459" s="3" t="str">
        <f>IF($E459="","",Меню!$A$24)</f>
        <v/>
      </c>
      <c r="B459" s="3" t="str">
        <f>IF($E459="","",Меню!$B$24)</f>
        <v/>
      </c>
      <c r="C459" s="3" t="str">
        <f>IF($E459="","",Меню!$C$24)</f>
        <v/>
      </c>
      <c r="D459" s="3" t="str">
        <f>IF($E459="","",Меню!$D$24)</f>
        <v/>
      </c>
      <c r="E459" s="3" t="str">
        <f>IFERROR(IF(IFERROR(INDEX(Рецепты!$H$6:$H$85,MATCH(Меню!$D$24,Рецепты!$H$6:$H$85,0)+3)=Меню!$D$24,FALSE),INDEX(Рецепты!$J$6:$J$85,MATCH(Меню!$D$24,Рецепты!$H$6:$H$85,0)+3),""),"")</f>
        <v/>
      </c>
      <c r="F459" s="3" t="str">
        <f>IF($E459="","",INDEX(Рецепты!$K$6:$K$85,MATCH(Меню!$D$24,Рецепты!$H$6:$H$85,0)+3))</f>
        <v/>
      </c>
      <c r="G459" s="3" t="str">
        <f>IF($E459="","",INDEX(Рецепты!$M$6:$M$85,MATCH(Меню!$D$24,Рецепты!$H$6:$H$85,0)+3))</f>
        <v/>
      </c>
      <c r="H459" s="12">
        <f>IFERROR(IF(IFERROR(INDEX(Рецепты!$H$6:$H$85,MATCH(Меню!$D$24,Рецепты!$H$6:$H$85,0)+3)=Меню!$D$24,FALSE),INDEX(Рецепты!$L$6:$L$85,MATCH(Меню!$D$24,Рецепты!$H$6:$H$85,0)+3),0),0)</f>
        <v>0</v>
      </c>
      <c r="I459" s="12" t="str">
        <f>IF($F459="","",Меню!$E$24)</f>
        <v/>
      </c>
      <c r="J459" s="12">
        <f t="shared" si="7"/>
        <v>0</v>
      </c>
      <c r="K459" s="12">
        <f>IFERROR($J459/100*INDEX(Продукты!$G$6:$G$66,MATCH($E459,Продукты!$A$6:$A$66,0)),0)</f>
        <v>0</v>
      </c>
      <c r="L459" s="12">
        <f>IFERROR($J459/100*INDEX(Продукты!$H$6:$H$66,MATCH($E459,Продукты!$A$6:$A$66,0)),0)</f>
        <v>0</v>
      </c>
      <c r="M459" s="12">
        <f>IFERROR($J459/100*INDEX(Продукты!$I$6:$I$66,MATCH($E459,Продукты!$A$6:$A$66,0)),0)</f>
        <v>0</v>
      </c>
      <c r="N459" s="12">
        <f>IFERROR($J459/100*INDEX(Продукты!$J$6:$J$66,MATCH($E459,Продукты!$A$6:$A$66,0)),0)</f>
        <v>0</v>
      </c>
      <c r="O459" s="3" t="str">
        <f>IFERROR(IF(IFERROR(INDEX(Рецепты!$H$6:$H$85,MATCH(Меню!$D$24,Рецепты!$H$6:$H$85,0)+3)=Меню!$D$24,FALSE),INDEX(Рецепты!$N$6:$N$85,MATCH(Меню!$D$24,Рецепты!$H$6:$H$85,0)+3),""),"")</f>
        <v/>
      </c>
    </row>
    <row r="460" spans="1:15">
      <c r="A460" s="3" t="str">
        <f>IF($E460="","",Меню!$A$24)</f>
        <v/>
      </c>
      <c r="B460" s="3" t="str">
        <f>IF($E460="","",Меню!$B$24)</f>
        <v/>
      </c>
      <c r="C460" s="3" t="str">
        <f>IF($E460="","",Меню!$C$24)</f>
        <v/>
      </c>
      <c r="D460" s="3" t="str">
        <f>IF($E460="","",Меню!$D$24)</f>
        <v/>
      </c>
      <c r="E460" s="3" t="str">
        <f>IFERROR(IF(IFERROR(INDEX(Рецепты!$H$6:$H$85,MATCH(Меню!$D$24,Рецепты!$H$6:$H$85,0)+4)=Меню!$D$24,FALSE),INDEX(Рецепты!$J$6:$J$85,MATCH(Меню!$D$24,Рецепты!$H$6:$H$85,0)+4),""),"")</f>
        <v/>
      </c>
      <c r="F460" s="3" t="str">
        <f>IF($E460="","",INDEX(Рецепты!$K$6:$K$85,MATCH(Меню!$D$24,Рецепты!$H$6:$H$85,0)+4))</f>
        <v/>
      </c>
      <c r="G460" s="3" t="str">
        <f>IF($E460="","",INDEX(Рецепты!$M$6:$M$85,MATCH(Меню!$D$24,Рецепты!$H$6:$H$85,0)+4))</f>
        <v/>
      </c>
      <c r="H460" s="12">
        <f>IFERROR(IF(IFERROR(INDEX(Рецепты!$H$6:$H$85,MATCH(Меню!$D$24,Рецепты!$H$6:$H$85,0)+4)=Меню!$D$24,FALSE),INDEX(Рецепты!$L$6:$L$85,MATCH(Меню!$D$24,Рецепты!$H$6:$H$85,0)+4),0),0)</f>
        <v>0</v>
      </c>
      <c r="I460" s="12" t="str">
        <f>IF($F460="","",Меню!$E$24)</f>
        <v/>
      </c>
      <c r="J460" s="12">
        <f t="shared" si="7"/>
        <v>0</v>
      </c>
      <c r="K460" s="12">
        <f>IFERROR($J460/100*INDEX(Продукты!$G$6:$G$66,MATCH($E460,Продукты!$A$6:$A$66,0)),0)</f>
        <v>0</v>
      </c>
      <c r="L460" s="12">
        <f>IFERROR($J460/100*INDEX(Продукты!$H$6:$H$66,MATCH($E460,Продукты!$A$6:$A$66,0)),0)</f>
        <v>0</v>
      </c>
      <c r="M460" s="12">
        <f>IFERROR($J460/100*INDEX(Продукты!$I$6:$I$66,MATCH($E460,Продукты!$A$6:$A$66,0)),0)</f>
        <v>0</v>
      </c>
      <c r="N460" s="12">
        <f>IFERROR($J460/100*INDEX(Продукты!$J$6:$J$66,MATCH($E460,Продукты!$A$6:$A$66,0)),0)</f>
        <v>0</v>
      </c>
      <c r="O460" s="3" t="str">
        <f>IFERROR(IF(IFERROR(INDEX(Рецепты!$H$6:$H$85,MATCH(Меню!$D$24,Рецепты!$H$6:$H$85,0)+4)=Меню!$D$24,FALSE),INDEX(Рецепты!$N$6:$N$85,MATCH(Меню!$D$24,Рецепты!$H$6:$H$85,0)+4),""),"")</f>
        <v/>
      </c>
    </row>
    <row r="461" spans="1:15">
      <c r="A461" s="3" t="str">
        <f>IF($E461="","",Меню!$A$24)</f>
        <v/>
      </c>
      <c r="B461" s="3" t="str">
        <f>IF($E461="","",Меню!$B$24)</f>
        <v/>
      </c>
      <c r="C461" s="3" t="str">
        <f>IF($E461="","",Меню!$C$24)</f>
        <v/>
      </c>
      <c r="D461" s="3" t="str">
        <f>IF($E461="","",Меню!$D$24)</f>
        <v/>
      </c>
      <c r="E461" s="3" t="str">
        <f>IFERROR(IF(IFERROR(INDEX(Рецепты!$H$6:$H$85,MATCH(Меню!$D$24,Рецепты!$H$6:$H$85,0)+5)=Меню!$D$24,FALSE),INDEX(Рецепты!$J$6:$J$85,MATCH(Меню!$D$24,Рецепты!$H$6:$H$85,0)+5),""),"")</f>
        <v/>
      </c>
      <c r="F461" s="3" t="str">
        <f>IF($E461="","",INDEX(Рецепты!$K$6:$K$85,MATCH(Меню!$D$24,Рецепты!$H$6:$H$85,0)+5))</f>
        <v/>
      </c>
      <c r="G461" s="3" t="str">
        <f>IF($E461="","",INDEX(Рецепты!$M$6:$M$85,MATCH(Меню!$D$24,Рецепты!$H$6:$H$85,0)+5))</f>
        <v/>
      </c>
      <c r="H461" s="12">
        <f>IFERROR(IF(IFERROR(INDEX(Рецепты!$H$6:$H$85,MATCH(Меню!$D$24,Рецепты!$H$6:$H$85,0)+5)=Меню!$D$24,FALSE),INDEX(Рецепты!$L$6:$L$85,MATCH(Меню!$D$24,Рецепты!$H$6:$H$85,0)+5),0),0)</f>
        <v>0</v>
      </c>
      <c r="I461" s="12" t="str">
        <f>IF($F461="","",Меню!$E$24)</f>
        <v/>
      </c>
      <c r="J461" s="12">
        <f t="shared" si="7"/>
        <v>0</v>
      </c>
      <c r="K461" s="12">
        <f>IFERROR($J461/100*INDEX(Продукты!$G$6:$G$66,MATCH($E461,Продукты!$A$6:$A$66,0)),0)</f>
        <v>0</v>
      </c>
      <c r="L461" s="12">
        <f>IFERROR($J461/100*INDEX(Продукты!$H$6:$H$66,MATCH($E461,Продукты!$A$6:$A$66,0)),0)</f>
        <v>0</v>
      </c>
      <c r="M461" s="12">
        <f>IFERROR($J461/100*INDEX(Продукты!$I$6:$I$66,MATCH($E461,Продукты!$A$6:$A$66,0)),0)</f>
        <v>0</v>
      </c>
      <c r="N461" s="12">
        <f>IFERROR($J461/100*INDEX(Продукты!$J$6:$J$66,MATCH($E461,Продукты!$A$6:$A$66,0)),0)</f>
        <v>0</v>
      </c>
      <c r="O461" s="3" t="str">
        <f>IFERROR(IF(IFERROR(INDEX(Рецепты!$H$6:$H$85,MATCH(Меню!$D$24,Рецепты!$H$6:$H$85,0)+5)=Меню!$D$24,FALSE),INDEX(Рецепты!$N$6:$N$85,MATCH(Меню!$D$24,Рецепты!$H$6:$H$85,0)+5),""),"")</f>
        <v/>
      </c>
    </row>
    <row r="462" spans="1:15">
      <c r="A462" s="3" t="str">
        <f>IF($E462="","",Меню!$A$24)</f>
        <v/>
      </c>
      <c r="B462" s="3" t="str">
        <f>IF($E462="","",Меню!$B$24)</f>
        <v/>
      </c>
      <c r="C462" s="3" t="str">
        <f>IF($E462="","",Меню!$C$24)</f>
        <v/>
      </c>
      <c r="D462" s="3" t="str">
        <f>IF($E462="","",Меню!$D$24)</f>
        <v/>
      </c>
      <c r="E462" s="3" t="str">
        <f>IFERROR(IF(IFERROR(INDEX(Рецепты!$H$6:$H$85,MATCH(Меню!$D$24,Рецепты!$H$6:$H$85,0)+6)=Меню!$D$24,FALSE),INDEX(Рецепты!$J$6:$J$85,MATCH(Меню!$D$24,Рецепты!$H$6:$H$85,0)+6),""),"")</f>
        <v/>
      </c>
      <c r="F462" s="3" t="str">
        <f>IF($E462="","",INDEX(Рецепты!$K$6:$K$85,MATCH(Меню!$D$24,Рецепты!$H$6:$H$85,0)+6))</f>
        <v/>
      </c>
      <c r="G462" s="3" t="str">
        <f>IF($E462="","",INDEX(Рецепты!$M$6:$M$85,MATCH(Меню!$D$24,Рецепты!$H$6:$H$85,0)+6))</f>
        <v/>
      </c>
      <c r="H462" s="12">
        <f>IFERROR(IF(IFERROR(INDEX(Рецепты!$H$6:$H$85,MATCH(Меню!$D$24,Рецепты!$H$6:$H$85,0)+6)=Меню!$D$24,FALSE),INDEX(Рецепты!$L$6:$L$85,MATCH(Меню!$D$24,Рецепты!$H$6:$H$85,0)+6),0),0)</f>
        <v>0</v>
      </c>
      <c r="I462" s="12" t="str">
        <f>IF($F462="","",Меню!$E$24)</f>
        <v/>
      </c>
      <c r="J462" s="12">
        <f t="shared" si="7"/>
        <v>0</v>
      </c>
      <c r="K462" s="12">
        <f>IFERROR($J462/100*INDEX(Продукты!$G$6:$G$66,MATCH($E462,Продукты!$A$6:$A$66,0)),0)</f>
        <v>0</v>
      </c>
      <c r="L462" s="12">
        <f>IFERROR($J462/100*INDEX(Продукты!$H$6:$H$66,MATCH($E462,Продукты!$A$6:$A$66,0)),0)</f>
        <v>0</v>
      </c>
      <c r="M462" s="12">
        <f>IFERROR($J462/100*INDEX(Продукты!$I$6:$I$66,MATCH($E462,Продукты!$A$6:$A$66,0)),0)</f>
        <v>0</v>
      </c>
      <c r="N462" s="12">
        <f>IFERROR($J462/100*INDEX(Продукты!$J$6:$J$66,MATCH($E462,Продукты!$A$6:$A$66,0)),0)</f>
        <v>0</v>
      </c>
      <c r="O462" s="3" t="str">
        <f>IFERROR(IF(IFERROR(INDEX(Рецепты!$H$6:$H$85,MATCH(Меню!$D$24,Рецепты!$H$6:$H$85,0)+6)=Меню!$D$24,FALSE),INDEX(Рецепты!$N$6:$N$85,MATCH(Меню!$D$24,Рецепты!$H$6:$H$85,0)+6),""),"")</f>
        <v/>
      </c>
    </row>
    <row r="463" spans="1:15">
      <c r="A463" s="3" t="str">
        <f>IF($E463="","",Меню!$A$24)</f>
        <v/>
      </c>
      <c r="B463" s="3" t="str">
        <f>IF($E463="","",Меню!$B$24)</f>
        <v/>
      </c>
      <c r="C463" s="3" t="str">
        <f>IF($E463="","",Меню!$C$24)</f>
        <v/>
      </c>
      <c r="D463" s="3" t="str">
        <f>IF($E463="","",Меню!$D$24)</f>
        <v/>
      </c>
      <c r="E463" s="3" t="str">
        <f>IFERROR(IF(IFERROR(INDEX(Рецепты!$H$6:$H$85,MATCH(Меню!$D$24,Рецепты!$H$6:$H$85,0)+7)=Меню!$D$24,FALSE),INDEX(Рецепты!$J$6:$J$85,MATCH(Меню!$D$24,Рецепты!$H$6:$H$85,0)+7),""),"")</f>
        <v/>
      </c>
      <c r="F463" s="3" t="str">
        <f>IF($E463="","",INDEX(Рецепты!$K$6:$K$85,MATCH(Меню!$D$24,Рецепты!$H$6:$H$85,0)+7))</f>
        <v/>
      </c>
      <c r="G463" s="3" t="str">
        <f>IF($E463="","",INDEX(Рецепты!$M$6:$M$85,MATCH(Меню!$D$24,Рецепты!$H$6:$H$85,0)+7))</f>
        <v/>
      </c>
      <c r="H463" s="12">
        <f>IFERROR(IF(IFERROR(INDEX(Рецепты!$H$6:$H$85,MATCH(Меню!$D$24,Рецепты!$H$6:$H$85,0)+7)=Меню!$D$24,FALSE),INDEX(Рецепты!$L$6:$L$85,MATCH(Меню!$D$24,Рецепты!$H$6:$H$85,0)+7),0),0)</f>
        <v>0</v>
      </c>
      <c r="I463" s="12" t="str">
        <f>IF($F463="","",Меню!$E$24)</f>
        <v/>
      </c>
      <c r="J463" s="12">
        <f t="shared" si="7"/>
        <v>0</v>
      </c>
      <c r="K463" s="12">
        <f>IFERROR($J463/100*INDEX(Продукты!$G$6:$G$66,MATCH($E463,Продукты!$A$6:$A$66,0)),0)</f>
        <v>0</v>
      </c>
      <c r="L463" s="12">
        <f>IFERROR($J463/100*INDEX(Продукты!$H$6:$H$66,MATCH($E463,Продукты!$A$6:$A$66,0)),0)</f>
        <v>0</v>
      </c>
      <c r="M463" s="12">
        <f>IFERROR($J463/100*INDEX(Продукты!$I$6:$I$66,MATCH($E463,Продукты!$A$6:$A$66,0)),0)</f>
        <v>0</v>
      </c>
      <c r="N463" s="12">
        <f>IFERROR($J463/100*INDEX(Продукты!$J$6:$J$66,MATCH($E463,Продукты!$A$6:$A$66,0)),0)</f>
        <v>0</v>
      </c>
      <c r="O463" s="3" t="str">
        <f>IFERROR(IF(IFERROR(INDEX(Рецепты!$H$6:$H$85,MATCH(Меню!$D$24,Рецепты!$H$6:$H$85,0)+7)=Меню!$D$24,FALSE),INDEX(Рецепты!$N$6:$N$85,MATCH(Меню!$D$24,Рецепты!$H$6:$H$85,0)+7),""),"")</f>
        <v/>
      </c>
    </row>
    <row r="464" spans="1:15">
      <c r="A464" s="3" t="str">
        <f>IF($E464="","",Меню!$A$24)</f>
        <v/>
      </c>
      <c r="B464" s="3" t="str">
        <f>IF($E464="","",Меню!$B$24)</f>
        <v/>
      </c>
      <c r="C464" s="3" t="str">
        <f>IF($E464="","",Меню!$C$24)</f>
        <v/>
      </c>
      <c r="D464" s="3" t="str">
        <f>IF($E464="","",Меню!$D$24)</f>
        <v/>
      </c>
      <c r="E464" s="3" t="str">
        <f>IFERROR(IF(IFERROR(INDEX(Рецепты!$H$6:$H$85,MATCH(Меню!$D$24,Рецепты!$H$6:$H$85,0)+8)=Меню!$D$24,FALSE),INDEX(Рецепты!$J$6:$J$85,MATCH(Меню!$D$24,Рецепты!$H$6:$H$85,0)+8),""),"")</f>
        <v/>
      </c>
      <c r="F464" s="3" t="str">
        <f>IF($E464="","",INDEX(Рецепты!$K$6:$K$85,MATCH(Меню!$D$24,Рецепты!$H$6:$H$85,0)+8))</f>
        <v/>
      </c>
      <c r="G464" s="3" t="str">
        <f>IF($E464="","",INDEX(Рецепты!$M$6:$M$85,MATCH(Меню!$D$24,Рецепты!$H$6:$H$85,0)+8))</f>
        <v/>
      </c>
      <c r="H464" s="12">
        <f>IFERROR(IF(IFERROR(INDEX(Рецепты!$H$6:$H$85,MATCH(Меню!$D$24,Рецепты!$H$6:$H$85,0)+8)=Меню!$D$24,FALSE),INDEX(Рецепты!$L$6:$L$85,MATCH(Меню!$D$24,Рецепты!$H$6:$H$85,0)+8),0),0)</f>
        <v>0</v>
      </c>
      <c r="I464" s="12" t="str">
        <f>IF($F464="","",Меню!$E$24)</f>
        <v/>
      </c>
      <c r="J464" s="12">
        <f t="shared" si="7"/>
        <v>0</v>
      </c>
      <c r="K464" s="12">
        <f>IFERROR($J464/100*INDEX(Продукты!$G$6:$G$66,MATCH($E464,Продукты!$A$6:$A$66,0)),0)</f>
        <v>0</v>
      </c>
      <c r="L464" s="12">
        <f>IFERROR($J464/100*INDEX(Продукты!$H$6:$H$66,MATCH($E464,Продукты!$A$6:$A$66,0)),0)</f>
        <v>0</v>
      </c>
      <c r="M464" s="12">
        <f>IFERROR($J464/100*INDEX(Продукты!$I$6:$I$66,MATCH($E464,Продукты!$A$6:$A$66,0)),0)</f>
        <v>0</v>
      </c>
      <c r="N464" s="12">
        <f>IFERROR($J464/100*INDEX(Продукты!$J$6:$J$66,MATCH($E464,Продукты!$A$6:$A$66,0)),0)</f>
        <v>0</v>
      </c>
      <c r="O464" s="3" t="str">
        <f>IFERROR(IF(IFERROR(INDEX(Рецепты!$H$6:$H$85,MATCH(Меню!$D$24,Рецепты!$H$6:$H$85,0)+8)=Меню!$D$24,FALSE),INDEX(Рецепты!$N$6:$N$85,MATCH(Меню!$D$24,Рецепты!$H$6:$H$85,0)+8),""),"")</f>
        <v/>
      </c>
    </row>
    <row r="465" spans="1:15">
      <c r="A465" s="3" t="str">
        <f>IF($E465="","",Меню!$A$24)</f>
        <v/>
      </c>
      <c r="B465" s="3" t="str">
        <f>IF($E465="","",Меню!$B$24)</f>
        <v/>
      </c>
      <c r="C465" s="3" t="str">
        <f>IF($E465="","",Меню!$C$24)</f>
        <v/>
      </c>
      <c r="D465" s="3" t="str">
        <f>IF($E465="","",Меню!$D$24)</f>
        <v/>
      </c>
      <c r="E465" s="3" t="str">
        <f>IFERROR(IF(IFERROR(INDEX(Рецепты!$H$6:$H$85,MATCH(Меню!$D$24,Рецепты!$H$6:$H$85,0)+9)=Меню!$D$24,FALSE),INDEX(Рецепты!$J$6:$J$85,MATCH(Меню!$D$24,Рецепты!$H$6:$H$85,0)+9),""),"")</f>
        <v/>
      </c>
      <c r="F465" s="3" t="str">
        <f>IF($E465="","",INDEX(Рецепты!$K$6:$K$85,MATCH(Меню!$D$24,Рецепты!$H$6:$H$85,0)+9))</f>
        <v/>
      </c>
      <c r="G465" s="3" t="str">
        <f>IF($E465="","",INDEX(Рецепты!$M$6:$M$85,MATCH(Меню!$D$24,Рецепты!$H$6:$H$85,0)+9))</f>
        <v/>
      </c>
      <c r="H465" s="12">
        <f>IFERROR(IF(IFERROR(INDEX(Рецепты!$H$6:$H$85,MATCH(Меню!$D$24,Рецепты!$H$6:$H$85,0)+9)=Меню!$D$24,FALSE),INDEX(Рецепты!$L$6:$L$85,MATCH(Меню!$D$24,Рецепты!$H$6:$H$85,0)+9),0),0)</f>
        <v>0</v>
      </c>
      <c r="I465" s="12" t="str">
        <f>IF($F465="","",Меню!$E$24)</f>
        <v/>
      </c>
      <c r="J465" s="12">
        <f t="shared" si="7"/>
        <v>0</v>
      </c>
      <c r="K465" s="12">
        <f>IFERROR($J465/100*INDEX(Продукты!$G$6:$G$66,MATCH($E465,Продукты!$A$6:$A$66,0)),0)</f>
        <v>0</v>
      </c>
      <c r="L465" s="12">
        <f>IFERROR($J465/100*INDEX(Продукты!$H$6:$H$66,MATCH($E465,Продукты!$A$6:$A$66,0)),0)</f>
        <v>0</v>
      </c>
      <c r="M465" s="12">
        <f>IFERROR($J465/100*INDEX(Продукты!$I$6:$I$66,MATCH($E465,Продукты!$A$6:$A$66,0)),0)</f>
        <v>0</v>
      </c>
      <c r="N465" s="12">
        <f>IFERROR($J465/100*INDEX(Продукты!$J$6:$J$66,MATCH($E465,Продукты!$A$6:$A$66,0)),0)</f>
        <v>0</v>
      </c>
      <c r="O465" s="3" t="str">
        <f>IFERROR(IF(IFERROR(INDEX(Рецепты!$H$6:$H$85,MATCH(Меню!$D$24,Рецепты!$H$6:$H$85,0)+9)=Меню!$D$24,FALSE),INDEX(Рецепты!$N$6:$N$85,MATCH(Меню!$D$24,Рецепты!$H$6:$H$85,0)+9),""),"")</f>
        <v/>
      </c>
    </row>
    <row r="466" spans="1:15">
      <c r="A466" s="3" t="str">
        <f>IF($E466="","",Меню!$A$24)</f>
        <v/>
      </c>
      <c r="B466" s="3" t="str">
        <f>IF($E466="","",Меню!$B$24)</f>
        <v/>
      </c>
      <c r="C466" s="3" t="str">
        <f>IF($E466="","",Меню!$C$24)</f>
        <v/>
      </c>
      <c r="D466" s="3" t="str">
        <f>IF($E466="","",Меню!$D$24)</f>
        <v/>
      </c>
      <c r="E466" s="3" t="str">
        <f>IFERROR(IF(IFERROR(INDEX(Рецепты!$H$6:$H$85,MATCH(Меню!$D$24,Рецепты!$H$6:$H$85,0)+10)=Меню!$D$24,FALSE),INDEX(Рецепты!$J$6:$J$85,MATCH(Меню!$D$24,Рецепты!$H$6:$H$85,0)+10),""),"")</f>
        <v/>
      </c>
      <c r="F466" s="3" t="str">
        <f>IF($E466="","",INDEX(Рецепты!$K$6:$K$85,MATCH(Меню!$D$24,Рецепты!$H$6:$H$85,0)+10))</f>
        <v/>
      </c>
      <c r="G466" s="3" t="str">
        <f>IF($E466="","",INDEX(Рецепты!$M$6:$M$85,MATCH(Меню!$D$24,Рецепты!$H$6:$H$85,0)+10))</f>
        <v/>
      </c>
      <c r="H466" s="12">
        <f>IFERROR(IF(IFERROR(INDEX(Рецепты!$H$6:$H$85,MATCH(Меню!$D$24,Рецепты!$H$6:$H$85,0)+10)=Меню!$D$24,FALSE),INDEX(Рецепты!$L$6:$L$85,MATCH(Меню!$D$24,Рецепты!$H$6:$H$85,0)+10),0),0)</f>
        <v>0</v>
      </c>
      <c r="I466" s="12" t="str">
        <f>IF($F466="","",Меню!$E$24)</f>
        <v/>
      </c>
      <c r="J466" s="12">
        <f t="shared" si="7"/>
        <v>0</v>
      </c>
      <c r="K466" s="12">
        <f>IFERROR($J466/100*INDEX(Продукты!$G$6:$G$66,MATCH($E466,Продукты!$A$6:$A$66,0)),0)</f>
        <v>0</v>
      </c>
      <c r="L466" s="12">
        <f>IFERROR($J466/100*INDEX(Продукты!$H$6:$H$66,MATCH($E466,Продукты!$A$6:$A$66,0)),0)</f>
        <v>0</v>
      </c>
      <c r="M466" s="12">
        <f>IFERROR($J466/100*INDEX(Продукты!$I$6:$I$66,MATCH($E466,Продукты!$A$6:$A$66,0)),0)</f>
        <v>0</v>
      </c>
      <c r="N466" s="12">
        <f>IFERROR($J466/100*INDEX(Продукты!$J$6:$J$66,MATCH($E466,Продукты!$A$6:$A$66,0)),0)</f>
        <v>0</v>
      </c>
      <c r="O466" s="3" t="str">
        <f>IFERROR(IF(IFERROR(INDEX(Рецепты!$H$6:$H$85,MATCH(Меню!$D$24,Рецепты!$H$6:$H$85,0)+10)=Меню!$D$24,FALSE),INDEX(Рецепты!$N$6:$N$85,MATCH(Меню!$D$24,Рецепты!$H$6:$H$85,0)+10),""),"")</f>
        <v/>
      </c>
    </row>
    <row r="467" spans="1:15">
      <c r="A467" s="3" t="str">
        <f>IF($E467="","",Меню!$A$24)</f>
        <v/>
      </c>
      <c r="B467" s="3" t="str">
        <f>IF($E467="","",Меню!$B$24)</f>
        <v/>
      </c>
      <c r="C467" s="3" t="str">
        <f>IF($E467="","",Меню!$C$24)</f>
        <v/>
      </c>
      <c r="D467" s="3" t="str">
        <f>IF($E467="","",Меню!$D$24)</f>
        <v/>
      </c>
      <c r="E467" s="3" t="str">
        <f>IFERROR(IF(IFERROR(INDEX(Рецепты!$H$6:$H$85,MATCH(Меню!$D$24,Рецепты!$H$6:$H$85,0)+11)=Меню!$D$24,FALSE),INDEX(Рецепты!$J$6:$J$85,MATCH(Меню!$D$24,Рецепты!$H$6:$H$85,0)+11),""),"")</f>
        <v/>
      </c>
      <c r="F467" s="3" t="str">
        <f>IF($E467="","",INDEX(Рецепты!$K$6:$K$85,MATCH(Меню!$D$24,Рецепты!$H$6:$H$85,0)+11))</f>
        <v/>
      </c>
      <c r="G467" s="3" t="str">
        <f>IF($E467="","",INDEX(Рецепты!$M$6:$M$85,MATCH(Меню!$D$24,Рецепты!$H$6:$H$85,0)+11))</f>
        <v/>
      </c>
      <c r="H467" s="12">
        <f>IFERROR(IF(IFERROR(INDEX(Рецепты!$H$6:$H$85,MATCH(Меню!$D$24,Рецепты!$H$6:$H$85,0)+11)=Меню!$D$24,FALSE),INDEX(Рецепты!$L$6:$L$85,MATCH(Меню!$D$24,Рецепты!$H$6:$H$85,0)+11),0),0)</f>
        <v>0</v>
      </c>
      <c r="I467" s="12" t="str">
        <f>IF($F467="","",Меню!$E$24)</f>
        <v/>
      </c>
      <c r="J467" s="12">
        <f t="shared" si="7"/>
        <v>0</v>
      </c>
      <c r="K467" s="12">
        <f>IFERROR($J467/100*INDEX(Продукты!$G$6:$G$66,MATCH($E467,Продукты!$A$6:$A$66,0)),0)</f>
        <v>0</v>
      </c>
      <c r="L467" s="12">
        <f>IFERROR($J467/100*INDEX(Продукты!$H$6:$H$66,MATCH($E467,Продукты!$A$6:$A$66,0)),0)</f>
        <v>0</v>
      </c>
      <c r="M467" s="12">
        <f>IFERROR($J467/100*INDEX(Продукты!$I$6:$I$66,MATCH($E467,Продукты!$A$6:$A$66,0)),0)</f>
        <v>0</v>
      </c>
      <c r="N467" s="12">
        <f>IFERROR($J467/100*INDEX(Продукты!$J$6:$J$66,MATCH($E467,Продукты!$A$6:$A$66,0)),0)</f>
        <v>0</v>
      </c>
      <c r="O467" s="3" t="str">
        <f>IFERROR(IF(IFERROR(INDEX(Рецепты!$H$6:$H$85,MATCH(Меню!$D$24,Рецепты!$H$6:$H$85,0)+11)=Меню!$D$24,FALSE),INDEX(Рецепты!$N$6:$N$85,MATCH(Меню!$D$24,Рецепты!$H$6:$H$85,0)+11),""),"")</f>
        <v/>
      </c>
    </row>
    <row r="468" spans="1:15">
      <c r="A468" s="3" t="str">
        <f>IF($E468="","",Меню!$A$24)</f>
        <v/>
      </c>
      <c r="B468" s="3" t="str">
        <f>IF($E468="","",Меню!$B$24)</f>
        <v/>
      </c>
      <c r="C468" s="3" t="str">
        <f>IF($E468="","",Меню!$C$24)</f>
        <v/>
      </c>
      <c r="D468" s="3" t="str">
        <f>IF($E468="","",Меню!$D$24)</f>
        <v/>
      </c>
      <c r="E468" s="3" t="str">
        <f>IFERROR(IF(IFERROR(INDEX(Рецепты!$H$6:$H$85,MATCH(Меню!$D$24,Рецепты!$H$6:$H$85,0)+12)=Меню!$D$24,FALSE),INDEX(Рецепты!$J$6:$J$85,MATCH(Меню!$D$24,Рецепты!$H$6:$H$85,0)+12),""),"")</f>
        <v/>
      </c>
      <c r="F468" s="3" t="str">
        <f>IF($E468="","",INDEX(Рецепты!$K$6:$K$85,MATCH(Меню!$D$24,Рецепты!$H$6:$H$85,0)+12))</f>
        <v/>
      </c>
      <c r="G468" s="3" t="str">
        <f>IF($E468="","",INDEX(Рецепты!$M$6:$M$85,MATCH(Меню!$D$24,Рецепты!$H$6:$H$85,0)+12))</f>
        <v/>
      </c>
      <c r="H468" s="12">
        <f>IFERROR(IF(IFERROR(INDEX(Рецепты!$H$6:$H$85,MATCH(Меню!$D$24,Рецепты!$H$6:$H$85,0)+12)=Меню!$D$24,FALSE),INDEX(Рецепты!$L$6:$L$85,MATCH(Меню!$D$24,Рецепты!$H$6:$H$85,0)+12),0),0)</f>
        <v>0</v>
      </c>
      <c r="I468" s="12" t="str">
        <f>IF($F468="","",Меню!$E$24)</f>
        <v/>
      </c>
      <c r="J468" s="12">
        <f t="shared" si="7"/>
        <v>0</v>
      </c>
      <c r="K468" s="12">
        <f>IFERROR($J468/100*INDEX(Продукты!$G$6:$G$66,MATCH($E468,Продукты!$A$6:$A$66,0)),0)</f>
        <v>0</v>
      </c>
      <c r="L468" s="12">
        <f>IFERROR($J468/100*INDEX(Продукты!$H$6:$H$66,MATCH($E468,Продукты!$A$6:$A$66,0)),0)</f>
        <v>0</v>
      </c>
      <c r="M468" s="12">
        <f>IFERROR($J468/100*INDEX(Продукты!$I$6:$I$66,MATCH($E468,Продукты!$A$6:$A$66,0)),0)</f>
        <v>0</v>
      </c>
      <c r="N468" s="12">
        <f>IFERROR($J468/100*INDEX(Продукты!$J$6:$J$66,MATCH($E468,Продукты!$A$6:$A$66,0)),0)</f>
        <v>0</v>
      </c>
      <c r="O468" s="3" t="str">
        <f>IFERROR(IF(IFERROR(INDEX(Рецепты!$H$6:$H$85,MATCH(Меню!$D$24,Рецепты!$H$6:$H$85,0)+12)=Меню!$D$24,FALSE),INDEX(Рецепты!$N$6:$N$85,MATCH(Меню!$D$24,Рецепты!$H$6:$H$85,0)+12),""),"")</f>
        <v/>
      </c>
    </row>
    <row r="469" spans="1:15">
      <c r="A469" s="3" t="str">
        <f>IF($E469="","",Меню!$A$24)</f>
        <v/>
      </c>
      <c r="B469" s="3" t="str">
        <f>IF($E469="","",Меню!$B$24)</f>
        <v/>
      </c>
      <c r="C469" s="3" t="str">
        <f>IF($E469="","",Меню!$C$24)</f>
        <v/>
      </c>
      <c r="D469" s="3" t="str">
        <f>IF($E469="","",Меню!$D$24)</f>
        <v/>
      </c>
      <c r="E469" s="3" t="str">
        <f>IFERROR(IF(IFERROR(INDEX(Рецепты!$H$6:$H$85,MATCH(Меню!$D$24,Рецепты!$H$6:$H$85,0)+13)=Меню!$D$24,FALSE),INDEX(Рецепты!$J$6:$J$85,MATCH(Меню!$D$24,Рецепты!$H$6:$H$85,0)+13),""),"")</f>
        <v/>
      </c>
      <c r="F469" s="3" t="str">
        <f>IF($E469="","",INDEX(Рецепты!$K$6:$K$85,MATCH(Меню!$D$24,Рецепты!$H$6:$H$85,0)+13))</f>
        <v/>
      </c>
      <c r="G469" s="3" t="str">
        <f>IF($E469="","",INDEX(Рецепты!$M$6:$M$85,MATCH(Меню!$D$24,Рецепты!$H$6:$H$85,0)+13))</f>
        <v/>
      </c>
      <c r="H469" s="12">
        <f>IFERROR(IF(IFERROR(INDEX(Рецепты!$H$6:$H$85,MATCH(Меню!$D$24,Рецепты!$H$6:$H$85,0)+13)=Меню!$D$24,FALSE),INDEX(Рецепты!$L$6:$L$85,MATCH(Меню!$D$24,Рецепты!$H$6:$H$85,0)+13),0),0)</f>
        <v>0</v>
      </c>
      <c r="I469" s="12" t="str">
        <f>IF($F469="","",Меню!$E$24)</f>
        <v/>
      </c>
      <c r="J469" s="12">
        <f t="shared" si="7"/>
        <v>0</v>
      </c>
      <c r="K469" s="12">
        <f>IFERROR($J469/100*INDEX(Продукты!$G$6:$G$66,MATCH($E469,Продукты!$A$6:$A$66,0)),0)</f>
        <v>0</v>
      </c>
      <c r="L469" s="12">
        <f>IFERROR($J469/100*INDEX(Продукты!$H$6:$H$66,MATCH($E469,Продукты!$A$6:$A$66,0)),0)</f>
        <v>0</v>
      </c>
      <c r="M469" s="12">
        <f>IFERROR($J469/100*INDEX(Продукты!$I$6:$I$66,MATCH($E469,Продукты!$A$6:$A$66,0)),0)</f>
        <v>0</v>
      </c>
      <c r="N469" s="12">
        <f>IFERROR($J469/100*INDEX(Продукты!$J$6:$J$66,MATCH($E469,Продукты!$A$6:$A$66,0)),0)</f>
        <v>0</v>
      </c>
      <c r="O469" s="3" t="str">
        <f>IFERROR(IF(IFERROR(INDEX(Рецепты!$H$6:$H$85,MATCH(Меню!$D$24,Рецепты!$H$6:$H$85,0)+13)=Меню!$D$24,FALSE),INDEX(Рецепты!$N$6:$N$85,MATCH(Меню!$D$24,Рецепты!$H$6:$H$85,0)+13),""),"")</f>
        <v/>
      </c>
    </row>
    <row r="470" spans="1:15">
      <c r="A470" s="3" t="str">
        <f>IF($E470="","",Меню!$A$24)</f>
        <v/>
      </c>
      <c r="B470" s="3" t="str">
        <f>IF($E470="","",Меню!$B$24)</f>
        <v/>
      </c>
      <c r="C470" s="3" t="str">
        <f>IF($E470="","",Меню!$C$24)</f>
        <v/>
      </c>
      <c r="D470" s="3" t="str">
        <f>IF($E470="","",Меню!$D$24)</f>
        <v/>
      </c>
      <c r="E470" s="3" t="str">
        <f>IFERROR(IF(IFERROR(INDEX(Рецепты!$H$6:$H$85,MATCH(Меню!$D$24,Рецепты!$H$6:$H$85,0)+14)=Меню!$D$24,FALSE),INDEX(Рецепты!$J$6:$J$85,MATCH(Меню!$D$24,Рецепты!$H$6:$H$85,0)+14),""),"")</f>
        <v/>
      </c>
      <c r="F470" s="3" t="str">
        <f>IF($E470="","",INDEX(Рецепты!$K$6:$K$85,MATCH(Меню!$D$24,Рецепты!$H$6:$H$85,0)+14))</f>
        <v/>
      </c>
      <c r="G470" s="3" t="str">
        <f>IF($E470="","",INDEX(Рецепты!$M$6:$M$85,MATCH(Меню!$D$24,Рецепты!$H$6:$H$85,0)+14))</f>
        <v/>
      </c>
      <c r="H470" s="12">
        <f>IFERROR(IF(IFERROR(INDEX(Рецепты!$H$6:$H$85,MATCH(Меню!$D$24,Рецепты!$H$6:$H$85,0)+14)=Меню!$D$24,FALSE),INDEX(Рецепты!$L$6:$L$85,MATCH(Меню!$D$24,Рецепты!$H$6:$H$85,0)+14),0),0)</f>
        <v>0</v>
      </c>
      <c r="I470" s="12" t="str">
        <f>IF($F470="","",Меню!$E$24)</f>
        <v/>
      </c>
      <c r="J470" s="12">
        <f t="shared" si="7"/>
        <v>0</v>
      </c>
      <c r="K470" s="12">
        <f>IFERROR($J470/100*INDEX(Продукты!$G$6:$G$66,MATCH($E470,Продукты!$A$6:$A$66,0)),0)</f>
        <v>0</v>
      </c>
      <c r="L470" s="12">
        <f>IFERROR($J470/100*INDEX(Продукты!$H$6:$H$66,MATCH($E470,Продукты!$A$6:$A$66,0)),0)</f>
        <v>0</v>
      </c>
      <c r="M470" s="12">
        <f>IFERROR($J470/100*INDEX(Продукты!$I$6:$I$66,MATCH($E470,Продукты!$A$6:$A$66,0)),0)</f>
        <v>0</v>
      </c>
      <c r="N470" s="12">
        <f>IFERROR($J470/100*INDEX(Продукты!$J$6:$J$66,MATCH($E470,Продукты!$A$6:$A$66,0)),0)</f>
        <v>0</v>
      </c>
      <c r="O470" s="3" t="str">
        <f>IFERROR(IF(IFERROR(INDEX(Рецепты!$H$6:$H$85,MATCH(Меню!$D$24,Рецепты!$H$6:$H$85,0)+14)=Меню!$D$24,FALSE),INDEX(Рецепты!$N$6:$N$85,MATCH(Меню!$D$24,Рецепты!$H$6:$H$85,0)+14),""),"")</f>
        <v/>
      </c>
    </row>
    <row r="471" spans="1:15">
      <c r="A471" s="3" t="str">
        <f>IF($E471="","",Меню!$A$24)</f>
        <v/>
      </c>
      <c r="B471" s="3" t="str">
        <f>IF($E471="","",Меню!$B$24)</f>
        <v/>
      </c>
      <c r="C471" s="3" t="str">
        <f>IF($E471="","",Меню!$C$24)</f>
        <v/>
      </c>
      <c r="D471" s="3" t="str">
        <f>IF($E471="","",Меню!$D$24)</f>
        <v/>
      </c>
      <c r="E471" s="3" t="str">
        <f>IFERROR(IF(IFERROR(INDEX(Рецепты!$H$6:$H$85,MATCH(Меню!$D$24,Рецепты!$H$6:$H$85,0)+15)=Меню!$D$24,FALSE),INDEX(Рецепты!$J$6:$J$85,MATCH(Меню!$D$24,Рецепты!$H$6:$H$85,0)+15),""),"")</f>
        <v/>
      </c>
      <c r="F471" s="3" t="str">
        <f>IF($E471="","",INDEX(Рецепты!$K$6:$K$85,MATCH(Меню!$D$24,Рецепты!$H$6:$H$85,0)+15))</f>
        <v/>
      </c>
      <c r="G471" s="3" t="str">
        <f>IF($E471="","",INDEX(Рецепты!$M$6:$M$85,MATCH(Меню!$D$24,Рецепты!$H$6:$H$85,0)+15))</f>
        <v/>
      </c>
      <c r="H471" s="12">
        <f>IFERROR(IF(IFERROR(INDEX(Рецепты!$H$6:$H$85,MATCH(Меню!$D$24,Рецепты!$H$6:$H$85,0)+15)=Меню!$D$24,FALSE),INDEX(Рецепты!$L$6:$L$85,MATCH(Меню!$D$24,Рецепты!$H$6:$H$85,0)+15),0),0)</f>
        <v>0</v>
      </c>
      <c r="I471" s="12" t="str">
        <f>IF($F471="","",Меню!$E$24)</f>
        <v/>
      </c>
      <c r="J471" s="12">
        <f t="shared" si="7"/>
        <v>0</v>
      </c>
      <c r="K471" s="12">
        <f>IFERROR($J471/100*INDEX(Продукты!$G$6:$G$66,MATCH($E471,Продукты!$A$6:$A$66,0)),0)</f>
        <v>0</v>
      </c>
      <c r="L471" s="12">
        <f>IFERROR($J471/100*INDEX(Продукты!$H$6:$H$66,MATCH($E471,Продукты!$A$6:$A$66,0)),0)</f>
        <v>0</v>
      </c>
      <c r="M471" s="12">
        <f>IFERROR($J471/100*INDEX(Продукты!$I$6:$I$66,MATCH($E471,Продукты!$A$6:$A$66,0)),0)</f>
        <v>0</v>
      </c>
      <c r="N471" s="12">
        <f>IFERROR($J471/100*INDEX(Продукты!$J$6:$J$66,MATCH($E471,Продукты!$A$6:$A$66,0)),0)</f>
        <v>0</v>
      </c>
      <c r="O471" s="3" t="str">
        <f>IFERROR(IF(IFERROR(INDEX(Рецепты!$H$6:$H$85,MATCH(Меню!$D$24,Рецепты!$H$6:$H$85,0)+15)=Меню!$D$24,FALSE),INDEX(Рецепты!$N$6:$N$85,MATCH(Меню!$D$24,Рецепты!$H$6:$H$85,0)+15),""),"")</f>
        <v/>
      </c>
    </row>
    <row r="472" spans="1:15">
      <c r="A472" s="3" t="str">
        <f>IF($E472="","",Меню!$A$24)</f>
        <v/>
      </c>
      <c r="B472" s="3" t="str">
        <f>IF($E472="","",Меню!$B$24)</f>
        <v/>
      </c>
      <c r="C472" s="3" t="str">
        <f>IF($E472="","",Меню!$C$24)</f>
        <v/>
      </c>
      <c r="D472" s="3" t="str">
        <f>IF($E472="","",Меню!$D$24)</f>
        <v/>
      </c>
      <c r="E472" s="3" t="str">
        <f>IFERROR(IF(IFERROR(INDEX(Рецепты!$H$6:$H$85,MATCH(Меню!$D$24,Рецепты!$H$6:$H$85,0)+16)=Меню!$D$24,FALSE),INDEX(Рецепты!$J$6:$J$85,MATCH(Меню!$D$24,Рецепты!$H$6:$H$85,0)+16),""),"")</f>
        <v/>
      </c>
      <c r="F472" s="3" t="str">
        <f>IF($E472="","",INDEX(Рецепты!$K$6:$K$85,MATCH(Меню!$D$24,Рецепты!$H$6:$H$85,0)+16))</f>
        <v/>
      </c>
      <c r="G472" s="3" t="str">
        <f>IF($E472="","",INDEX(Рецепты!$M$6:$M$85,MATCH(Меню!$D$24,Рецепты!$H$6:$H$85,0)+16))</f>
        <v/>
      </c>
      <c r="H472" s="12">
        <f>IFERROR(IF(IFERROR(INDEX(Рецепты!$H$6:$H$85,MATCH(Меню!$D$24,Рецепты!$H$6:$H$85,0)+16)=Меню!$D$24,FALSE),INDEX(Рецепты!$L$6:$L$85,MATCH(Меню!$D$24,Рецепты!$H$6:$H$85,0)+16),0),0)</f>
        <v>0</v>
      </c>
      <c r="I472" s="12" t="str">
        <f>IF($F472="","",Меню!$E$24)</f>
        <v/>
      </c>
      <c r="J472" s="12">
        <f t="shared" si="7"/>
        <v>0</v>
      </c>
      <c r="K472" s="12">
        <f>IFERROR($J472/100*INDEX(Продукты!$G$6:$G$66,MATCH($E472,Продукты!$A$6:$A$66,0)),0)</f>
        <v>0</v>
      </c>
      <c r="L472" s="12">
        <f>IFERROR($J472/100*INDEX(Продукты!$H$6:$H$66,MATCH($E472,Продукты!$A$6:$A$66,0)),0)</f>
        <v>0</v>
      </c>
      <c r="M472" s="12">
        <f>IFERROR($J472/100*INDEX(Продукты!$I$6:$I$66,MATCH($E472,Продукты!$A$6:$A$66,0)),0)</f>
        <v>0</v>
      </c>
      <c r="N472" s="12">
        <f>IFERROR($J472/100*INDEX(Продукты!$J$6:$J$66,MATCH($E472,Продукты!$A$6:$A$66,0)),0)</f>
        <v>0</v>
      </c>
      <c r="O472" s="3" t="str">
        <f>IFERROR(IF(IFERROR(INDEX(Рецепты!$H$6:$H$85,MATCH(Меню!$D$24,Рецепты!$H$6:$H$85,0)+16)=Меню!$D$24,FALSE),INDEX(Рецепты!$N$6:$N$85,MATCH(Меню!$D$24,Рецепты!$H$6:$H$85,0)+16),""),"")</f>
        <v/>
      </c>
    </row>
    <row r="473" spans="1:15">
      <c r="A473" s="3" t="str">
        <f>IF($E473="","",Меню!$A$24)</f>
        <v/>
      </c>
      <c r="B473" s="3" t="str">
        <f>IF($E473="","",Меню!$B$24)</f>
        <v/>
      </c>
      <c r="C473" s="3" t="str">
        <f>IF($E473="","",Меню!$C$24)</f>
        <v/>
      </c>
      <c r="D473" s="3" t="str">
        <f>IF($E473="","",Меню!$D$24)</f>
        <v/>
      </c>
      <c r="E473" s="3" t="str">
        <f>IFERROR(IF(IFERROR(INDEX(Рецепты!$H$6:$H$85,MATCH(Меню!$D$24,Рецепты!$H$6:$H$85,0)+17)=Меню!$D$24,FALSE),INDEX(Рецепты!$J$6:$J$85,MATCH(Меню!$D$24,Рецепты!$H$6:$H$85,0)+17),""),"")</f>
        <v/>
      </c>
      <c r="F473" s="3" t="str">
        <f>IF($E473="","",INDEX(Рецепты!$K$6:$K$85,MATCH(Меню!$D$24,Рецепты!$H$6:$H$85,0)+17))</f>
        <v/>
      </c>
      <c r="G473" s="3" t="str">
        <f>IF($E473="","",INDEX(Рецепты!$M$6:$M$85,MATCH(Меню!$D$24,Рецепты!$H$6:$H$85,0)+17))</f>
        <v/>
      </c>
      <c r="H473" s="12">
        <f>IFERROR(IF(IFERROR(INDEX(Рецепты!$H$6:$H$85,MATCH(Меню!$D$24,Рецепты!$H$6:$H$85,0)+17)=Меню!$D$24,FALSE),INDEX(Рецепты!$L$6:$L$85,MATCH(Меню!$D$24,Рецепты!$H$6:$H$85,0)+17),0),0)</f>
        <v>0</v>
      </c>
      <c r="I473" s="12" t="str">
        <f>IF($F473="","",Меню!$E$24)</f>
        <v/>
      </c>
      <c r="J473" s="12">
        <f t="shared" si="7"/>
        <v>0</v>
      </c>
      <c r="K473" s="12">
        <f>IFERROR($J473/100*INDEX(Продукты!$G$6:$G$66,MATCH($E473,Продукты!$A$6:$A$66,0)),0)</f>
        <v>0</v>
      </c>
      <c r="L473" s="12">
        <f>IFERROR($J473/100*INDEX(Продукты!$H$6:$H$66,MATCH($E473,Продукты!$A$6:$A$66,0)),0)</f>
        <v>0</v>
      </c>
      <c r="M473" s="12">
        <f>IFERROR($J473/100*INDEX(Продукты!$I$6:$I$66,MATCH($E473,Продукты!$A$6:$A$66,0)),0)</f>
        <v>0</v>
      </c>
      <c r="N473" s="12">
        <f>IFERROR($J473/100*INDEX(Продукты!$J$6:$J$66,MATCH($E473,Продукты!$A$6:$A$66,0)),0)</f>
        <v>0</v>
      </c>
      <c r="O473" s="3" t="str">
        <f>IFERROR(IF(IFERROR(INDEX(Рецепты!$H$6:$H$85,MATCH(Меню!$D$24,Рецепты!$H$6:$H$85,0)+17)=Меню!$D$24,FALSE),INDEX(Рецепты!$N$6:$N$85,MATCH(Меню!$D$24,Рецепты!$H$6:$H$85,0)+17),""),"")</f>
        <v/>
      </c>
    </row>
    <row r="474" spans="1:15">
      <c r="A474" s="3" t="str">
        <f>IF($E474="","",Меню!$A$24)</f>
        <v/>
      </c>
      <c r="B474" s="3" t="str">
        <f>IF($E474="","",Меню!$B$24)</f>
        <v/>
      </c>
      <c r="C474" s="3" t="str">
        <f>IF($E474="","",Меню!$C$24)</f>
        <v/>
      </c>
      <c r="D474" s="3" t="str">
        <f>IF($E474="","",Меню!$D$24)</f>
        <v/>
      </c>
      <c r="E474" s="3" t="str">
        <f>IFERROR(IF(IFERROR(INDEX(Рецепты!$H$6:$H$85,MATCH(Меню!$D$24,Рецепты!$H$6:$H$85,0)+18)=Меню!$D$24,FALSE),INDEX(Рецепты!$J$6:$J$85,MATCH(Меню!$D$24,Рецепты!$H$6:$H$85,0)+18),""),"")</f>
        <v/>
      </c>
      <c r="F474" s="3" t="str">
        <f>IF($E474="","",INDEX(Рецепты!$K$6:$K$85,MATCH(Меню!$D$24,Рецепты!$H$6:$H$85,0)+18))</f>
        <v/>
      </c>
      <c r="G474" s="3" t="str">
        <f>IF($E474="","",INDEX(Рецепты!$M$6:$M$85,MATCH(Меню!$D$24,Рецепты!$H$6:$H$85,0)+18))</f>
        <v/>
      </c>
      <c r="H474" s="12">
        <f>IFERROR(IF(IFERROR(INDEX(Рецепты!$H$6:$H$85,MATCH(Меню!$D$24,Рецепты!$H$6:$H$85,0)+18)=Меню!$D$24,FALSE),INDEX(Рецепты!$L$6:$L$85,MATCH(Меню!$D$24,Рецепты!$H$6:$H$85,0)+18),0),0)</f>
        <v>0</v>
      </c>
      <c r="I474" s="12" t="str">
        <f>IF($F474="","",Меню!$E$24)</f>
        <v/>
      </c>
      <c r="J474" s="12">
        <f t="shared" si="7"/>
        <v>0</v>
      </c>
      <c r="K474" s="12">
        <f>IFERROR($J474/100*INDEX(Продукты!$G$6:$G$66,MATCH($E474,Продукты!$A$6:$A$66,0)),0)</f>
        <v>0</v>
      </c>
      <c r="L474" s="12">
        <f>IFERROR($J474/100*INDEX(Продукты!$H$6:$H$66,MATCH($E474,Продукты!$A$6:$A$66,0)),0)</f>
        <v>0</v>
      </c>
      <c r="M474" s="12">
        <f>IFERROR($J474/100*INDEX(Продукты!$I$6:$I$66,MATCH($E474,Продукты!$A$6:$A$66,0)),0)</f>
        <v>0</v>
      </c>
      <c r="N474" s="12">
        <f>IFERROR($J474/100*INDEX(Продукты!$J$6:$J$66,MATCH($E474,Продукты!$A$6:$A$66,0)),0)</f>
        <v>0</v>
      </c>
      <c r="O474" s="3" t="str">
        <f>IFERROR(IF(IFERROR(INDEX(Рецепты!$H$6:$H$85,MATCH(Меню!$D$24,Рецепты!$H$6:$H$85,0)+18)=Меню!$D$24,FALSE),INDEX(Рецепты!$N$6:$N$85,MATCH(Меню!$D$24,Рецепты!$H$6:$H$85,0)+18),""),"")</f>
        <v/>
      </c>
    </row>
    <row r="475" spans="1:15">
      <c r="A475" s="3" t="str">
        <f>IF($E475="","",Меню!$A$24)</f>
        <v/>
      </c>
      <c r="B475" s="3" t="str">
        <f>IF($E475="","",Меню!$B$24)</f>
        <v/>
      </c>
      <c r="C475" s="3" t="str">
        <f>IF($E475="","",Меню!$C$24)</f>
        <v/>
      </c>
      <c r="D475" s="3" t="str">
        <f>IF($E475="","",Меню!$D$24)</f>
        <v/>
      </c>
      <c r="E475" s="3" t="str">
        <f>IFERROR(IF(IFERROR(INDEX(Рецепты!$H$6:$H$85,MATCH(Меню!$D$24,Рецепты!$H$6:$H$85,0)+19)=Меню!$D$24,FALSE),INDEX(Рецепты!$J$6:$J$85,MATCH(Меню!$D$24,Рецепты!$H$6:$H$85,0)+19),""),"")</f>
        <v/>
      </c>
      <c r="F475" s="3" t="str">
        <f>IF($E475="","",INDEX(Рецепты!$K$6:$K$85,MATCH(Меню!$D$24,Рецепты!$H$6:$H$85,0)+19))</f>
        <v/>
      </c>
      <c r="G475" s="3" t="str">
        <f>IF($E475="","",INDEX(Рецепты!$M$6:$M$85,MATCH(Меню!$D$24,Рецепты!$H$6:$H$85,0)+19))</f>
        <v/>
      </c>
      <c r="H475" s="12">
        <f>IFERROR(IF(IFERROR(INDEX(Рецепты!$H$6:$H$85,MATCH(Меню!$D$24,Рецепты!$H$6:$H$85,0)+19)=Меню!$D$24,FALSE),INDEX(Рецепты!$L$6:$L$85,MATCH(Меню!$D$24,Рецепты!$H$6:$H$85,0)+19),0),0)</f>
        <v>0</v>
      </c>
      <c r="I475" s="12" t="str">
        <f>IF($F475="","",Меню!$E$24)</f>
        <v/>
      </c>
      <c r="J475" s="12">
        <f t="shared" si="7"/>
        <v>0</v>
      </c>
      <c r="K475" s="12">
        <f>IFERROR($J475/100*INDEX(Продукты!$G$6:$G$66,MATCH($E475,Продукты!$A$6:$A$66,0)),0)</f>
        <v>0</v>
      </c>
      <c r="L475" s="12">
        <f>IFERROR($J475/100*INDEX(Продукты!$H$6:$H$66,MATCH($E475,Продукты!$A$6:$A$66,0)),0)</f>
        <v>0</v>
      </c>
      <c r="M475" s="12">
        <f>IFERROR($J475/100*INDEX(Продукты!$I$6:$I$66,MATCH($E475,Продукты!$A$6:$A$66,0)),0)</f>
        <v>0</v>
      </c>
      <c r="N475" s="12">
        <f>IFERROR($J475/100*INDEX(Продукты!$J$6:$J$66,MATCH($E475,Продукты!$A$6:$A$66,0)),0)</f>
        <v>0</v>
      </c>
      <c r="O475" s="3" t="str">
        <f>IFERROR(IF(IFERROR(INDEX(Рецепты!$H$6:$H$85,MATCH(Меню!$D$24,Рецепты!$H$6:$H$85,0)+19)=Меню!$D$24,FALSE),INDEX(Рецепты!$N$6:$N$85,MATCH(Меню!$D$24,Рецепты!$H$6:$H$85,0)+19),""),"")</f>
        <v/>
      </c>
    </row>
    <row r="476" spans="1:15">
      <c r="A476" s="3" t="str">
        <f>IF($E476="","",Меню!$A$24)</f>
        <v/>
      </c>
      <c r="B476" s="3" t="str">
        <f>IF($E476="","",Меню!$B$24)</f>
        <v/>
      </c>
      <c r="C476" s="3" t="str">
        <f>IF($E476="","",Меню!$C$24)</f>
        <v/>
      </c>
      <c r="D476" s="3" t="str">
        <f>IF($E476="","",Меню!$D$24)</f>
        <v/>
      </c>
      <c r="E476" s="3" t="str">
        <f>IFERROR(IF(IFERROR(INDEX(Рецепты!$H$6:$H$85,MATCH(Меню!$D$24,Рецепты!$H$6:$H$85,0)+20)=Меню!$D$24,FALSE),INDEX(Рецепты!$J$6:$J$85,MATCH(Меню!$D$24,Рецепты!$H$6:$H$85,0)+20),""),"")</f>
        <v/>
      </c>
      <c r="F476" s="3" t="str">
        <f>IF($E476="","",INDEX(Рецепты!$K$6:$K$85,MATCH(Меню!$D$24,Рецепты!$H$6:$H$85,0)+20))</f>
        <v/>
      </c>
      <c r="G476" s="3" t="str">
        <f>IF($E476="","",INDEX(Рецепты!$M$6:$M$85,MATCH(Меню!$D$24,Рецепты!$H$6:$H$85,0)+20))</f>
        <v/>
      </c>
      <c r="H476" s="12">
        <f>IFERROR(IF(IFERROR(INDEX(Рецепты!$H$6:$H$85,MATCH(Меню!$D$24,Рецепты!$H$6:$H$85,0)+20)=Меню!$D$24,FALSE),INDEX(Рецепты!$L$6:$L$85,MATCH(Меню!$D$24,Рецепты!$H$6:$H$85,0)+20),0),0)</f>
        <v>0</v>
      </c>
      <c r="I476" s="12" t="str">
        <f>IF($F476="","",Меню!$E$24)</f>
        <v/>
      </c>
      <c r="J476" s="12">
        <f t="shared" si="7"/>
        <v>0</v>
      </c>
      <c r="K476" s="12">
        <f>IFERROR($J476/100*INDEX(Продукты!$G$6:$G$66,MATCH($E476,Продукты!$A$6:$A$66,0)),0)</f>
        <v>0</v>
      </c>
      <c r="L476" s="12">
        <f>IFERROR($J476/100*INDEX(Продукты!$H$6:$H$66,MATCH($E476,Продукты!$A$6:$A$66,0)),0)</f>
        <v>0</v>
      </c>
      <c r="M476" s="12">
        <f>IFERROR($J476/100*INDEX(Продукты!$I$6:$I$66,MATCH($E476,Продукты!$A$6:$A$66,0)),0)</f>
        <v>0</v>
      </c>
      <c r="N476" s="12">
        <f>IFERROR($J476/100*INDEX(Продукты!$J$6:$J$66,MATCH($E476,Продукты!$A$6:$A$66,0)),0)</f>
        <v>0</v>
      </c>
      <c r="O476" s="3" t="str">
        <f>IFERROR(IF(IFERROR(INDEX(Рецепты!$H$6:$H$85,MATCH(Меню!$D$24,Рецепты!$H$6:$H$85,0)+20)=Меню!$D$24,FALSE),INDEX(Рецепты!$N$6:$N$85,MATCH(Меню!$D$24,Рецепты!$H$6:$H$85,0)+20),""),"")</f>
        <v/>
      </c>
    </row>
    <row r="477" spans="1:15">
      <c r="A477" s="3" t="str">
        <f>IF($E477="","",Меню!$A$24)</f>
        <v/>
      </c>
      <c r="B477" s="3" t="str">
        <f>IF($E477="","",Меню!$B$24)</f>
        <v/>
      </c>
      <c r="C477" s="3" t="str">
        <f>IF($E477="","",Меню!$C$24)</f>
        <v/>
      </c>
      <c r="D477" s="3" t="str">
        <f>IF($E477="","",Меню!$D$24)</f>
        <v/>
      </c>
      <c r="E477" s="3" t="str">
        <f>IFERROR(IF(IFERROR(INDEX(Рецепты!$H$6:$H$85,MATCH(Меню!$D$24,Рецепты!$H$6:$H$85,0)+21)=Меню!$D$24,FALSE),INDEX(Рецепты!$J$6:$J$85,MATCH(Меню!$D$24,Рецепты!$H$6:$H$85,0)+21),""),"")</f>
        <v/>
      </c>
      <c r="F477" s="3" t="str">
        <f>IF($E477="","",INDEX(Рецепты!$K$6:$K$85,MATCH(Меню!$D$24,Рецепты!$H$6:$H$85,0)+21))</f>
        <v/>
      </c>
      <c r="G477" s="3" t="str">
        <f>IF($E477="","",INDEX(Рецепты!$M$6:$M$85,MATCH(Меню!$D$24,Рецепты!$H$6:$H$85,0)+21))</f>
        <v/>
      </c>
      <c r="H477" s="12">
        <f>IFERROR(IF(IFERROR(INDEX(Рецепты!$H$6:$H$85,MATCH(Меню!$D$24,Рецепты!$H$6:$H$85,0)+21)=Меню!$D$24,FALSE),INDEX(Рецепты!$L$6:$L$85,MATCH(Меню!$D$24,Рецепты!$H$6:$H$85,0)+21),0),0)</f>
        <v>0</v>
      </c>
      <c r="I477" s="12" t="str">
        <f>IF($F477="","",Меню!$E$24)</f>
        <v/>
      </c>
      <c r="J477" s="12">
        <f t="shared" si="7"/>
        <v>0</v>
      </c>
      <c r="K477" s="12">
        <f>IFERROR($J477/100*INDEX(Продукты!$G$6:$G$66,MATCH($E477,Продукты!$A$6:$A$66,0)),0)</f>
        <v>0</v>
      </c>
      <c r="L477" s="12">
        <f>IFERROR($J477/100*INDEX(Продукты!$H$6:$H$66,MATCH($E477,Продукты!$A$6:$A$66,0)),0)</f>
        <v>0</v>
      </c>
      <c r="M477" s="12">
        <f>IFERROR($J477/100*INDEX(Продукты!$I$6:$I$66,MATCH($E477,Продукты!$A$6:$A$66,0)),0)</f>
        <v>0</v>
      </c>
      <c r="N477" s="12">
        <f>IFERROR($J477/100*INDEX(Продукты!$J$6:$J$66,MATCH($E477,Продукты!$A$6:$A$66,0)),0)</f>
        <v>0</v>
      </c>
      <c r="O477" s="3" t="str">
        <f>IFERROR(IF(IFERROR(INDEX(Рецепты!$H$6:$H$85,MATCH(Меню!$D$24,Рецепты!$H$6:$H$85,0)+21)=Меню!$D$24,FALSE),INDEX(Рецепты!$N$6:$N$85,MATCH(Меню!$D$24,Рецепты!$H$6:$H$85,0)+21),""),"")</f>
        <v/>
      </c>
    </row>
    <row r="478" spans="1:15">
      <c r="A478" s="3" t="str">
        <f>IF($E478="","",Меню!$A$24)</f>
        <v/>
      </c>
      <c r="B478" s="3" t="str">
        <f>IF($E478="","",Меню!$B$24)</f>
        <v/>
      </c>
      <c r="C478" s="3" t="str">
        <f>IF($E478="","",Меню!$C$24)</f>
        <v/>
      </c>
      <c r="D478" s="3" t="str">
        <f>IF($E478="","",Меню!$D$24)</f>
        <v/>
      </c>
      <c r="E478" s="3" t="str">
        <f>IFERROR(IF(IFERROR(INDEX(Рецепты!$H$6:$H$85,MATCH(Меню!$D$24,Рецепты!$H$6:$H$85,0)+22)=Меню!$D$24,FALSE),INDEX(Рецепты!$J$6:$J$85,MATCH(Меню!$D$24,Рецепты!$H$6:$H$85,0)+22),""),"")</f>
        <v/>
      </c>
      <c r="F478" s="3" t="str">
        <f>IF($E478="","",INDEX(Рецепты!$K$6:$K$85,MATCH(Меню!$D$24,Рецепты!$H$6:$H$85,0)+22))</f>
        <v/>
      </c>
      <c r="G478" s="3" t="str">
        <f>IF($E478="","",INDEX(Рецепты!$M$6:$M$85,MATCH(Меню!$D$24,Рецепты!$H$6:$H$85,0)+22))</f>
        <v/>
      </c>
      <c r="H478" s="12">
        <f>IFERROR(IF(IFERROR(INDEX(Рецепты!$H$6:$H$85,MATCH(Меню!$D$24,Рецепты!$H$6:$H$85,0)+22)=Меню!$D$24,FALSE),INDEX(Рецепты!$L$6:$L$85,MATCH(Меню!$D$24,Рецепты!$H$6:$H$85,0)+22),0),0)</f>
        <v>0</v>
      </c>
      <c r="I478" s="12" t="str">
        <f>IF($F478="","",Меню!$E$24)</f>
        <v/>
      </c>
      <c r="J478" s="12">
        <f t="shared" si="7"/>
        <v>0</v>
      </c>
      <c r="K478" s="12">
        <f>IFERROR($J478/100*INDEX(Продукты!$G$6:$G$66,MATCH($E478,Продукты!$A$6:$A$66,0)),0)</f>
        <v>0</v>
      </c>
      <c r="L478" s="12">
        <f>IFERROR($J478/100*INDEX(Продукты!$H$6:$H$66,MATCH($E478,Продукты!$A$6:$A$66,0)),0)</f>
        <v>0</v>
      </c>
      <c r="M478" s="12">
        <f>IFERROR($J478/100*INDEX(Продукты!$I$6:$I$66,MATCH($E478,Продукты!$A$6:$A$66,0)),0)</f>
        <v>0</v>
      </c>
      <c r="N478" s="12">
        <f>IFERROR($J478/100*INDEX(Продукты!$J$6:$J$66,MATCH($E478,Продукты!$A$6:$A$66,0)),0)</f>
        <v>0</v>
      </c>
      <c r="O478" s="3" t="str">
        <f>IFERROR(IF(IFERROR(INDEX(Рецепты!$H$6:$H$85,MATCH(Меню!$D$24,Рецепты!$H$6:$H$85,0)+22)=Меню!$D$24,FALSE),INDEX(Рецепты!$N$6:$N$85,MATCH(Меню!$D$24,Рецепты!$H$6:$H$85,0)+22),""),"")</f>
        <v/>
      </c>
    </row>
    <row r="479" spans="1:15">
      <c r="A479" s="3" t="str">
        <f>IF($E479="","",Меню!$A$24)</f>
        <v/>
      </c>
      <c r="B479" s="3" t="str">
        <f>IF($E479="","",Меню!$B$24)</f>
        <v/>
      </c>
      <c r="C479" s="3" t="str">
        <f>IF($E479="","",Меню!$C$24)</f>
        <v/>
      </c>
      <c r="D479" s="3" t="str">
        <f>IF($E479="","",Меню!$D$24)</f>
        <v/>
      </c>
      <c r="E479" s="3" t="str">
        <f>IFERROR(IF(IFERROR(INDEX(Рецепты!$H$6:$H$85,MATCH(Меню!$D$24,Рецепты!$H$6:$H$85,0)+23)=Меню!$D$24,FALSE),INDEX(Рецепты!$J$6:$J$85,MATCH(Меню!$D$24,Рецепты!$H$6:$H$85,0)+23),""),"")</f>
        <v/>
      </c>
      <c r="F479" s="3" t="str">
        <f>IF($E479="","",INDEX(Рецепты!$K$6:$K$85,MATCH(Меню!$D$24,Рецепты!$H$6:$H$85,0)+23))</f>
        <v/>
      </c>
      <c r="G479" s="3" t="str">
        <f>IF($E479="","",INDEX(Рецепты!$M$6:$M$85,MATCH(Меню!$D$24,Рецепты!$H$6:$H$85,0)+23))</f>
        <v/>
      </c>
      <c r="H479" s="12">
        <f>IFERROR(IF(IFERROR(INDEX(Рецепты!$H$6:$H$85,MATCH(Меню!$D$24,Рецепты!$H$6:$H$85,0)+23)=Меню!$D$24,FALSE),INDEX(Рецепты!$L$6:$L$85,MATCH(Меню!$D$24,Рецепты!$H$6:$H$85,0)+23),0),0)</f>
        <v>0</v>
      </c>
      <c r="I479" s="12" t="str">
        <f>IF($F479="","",Меню!$E$24)</f>
        <v/>
      </c>
      <c r="J479" s="12">
        <f t="shared" si="7"/>
        <v>0</v>
      </c>
      <c r="K479" s="12">
        <f>IFERROR($J479/100*INDEX(Продукты!$G$6:$G$66,MATCH($E479,Продукты!$A$6:$A$66,0)),0)</f>
        <v>0</v>
      </c>
      <c r="L479" s="12">
        <f>IFERROR($J479/100*INDEX(Продукты!$H$6:$H$66,MATCH($E479,Продукты!$A$6:$A$66,0)),0)</f>
        <v>0</v>
      </c>
      <c r="M479" s="12">
        <f>IFERROR($J479/100*INDEX(Продукты!$I$6:$I$66,MATCH($E479,Продукты!$A$6:$A$66,0)),0)</f>
        <v>0</v>
      </c>
      <c r="N479" s="12">
        <f>IFERROR($J479/100*INDEX(Продукты!$J$6:$J$66,MATCH($E479,Продукты!$A$6:$A$66,0)),0)</f>
        <v>0</v>
      </c>
      <c r="O479" s="3" t="str">
        <f>IFERROR(IF(IFERROR(INDEX(Рецепты!$H$6:$H$85,MATCH(Меню!$D$24,Рецепты!$H$6:$H$85,0)+23)=Меню!$D$24,FALSE),INDEX(Рецепты!$N$6:$N$85,MATCH(Меню!$D$24,Рецепты!$H$6:$H$85,0)+23),""),"")</f>
        <v/>
      </c>
    </row>
    <row r="480" spans="1:15">
      <c r="A480" s="3" t="str">
        <f>IF($E480="","",Меню!$A$24)</f>
        <v/>
      </c>
      <c r="B480" s="3" t="str">
        <f>IF($E480="","",Меню!$B$24)</f>
        <v/>
      </c>
      <c r="C480" s="3" t="str">
        <f>IF($E480="","",Меню!$C$24)</f>
        <v/>
      </c>
      <c r="D480" s="3" t="str">
        <f>IF($E480="","",Меню!$D$24)</f>
        <v/>
      </c>
      <c r="E480" s="3" t="str">
        <f>IFERROR(IF(IFERROR(INDEX(Рецепты!$H$6:$H$85,MATCH(Меню!$D$24,Рецепты!$H$6:$H$85,0)+24)=Меню!$D$24,FALSE),INDEX(Рецепты!$J$6:$J$85,MATCH(Меню!$D$24,Рецепты!$H$6:$H$85,0)+24),""),"")</f>
        <v/>
      </c>
      <c r="F480" s="3" t="str">
        <f>IF($E480="","",INDEX(Рецепты!$K$6:$K$85,MATCH(Меню!$D$24,Рецепты!$H$6:$H$85,0)+24))</f>
        <v/>
      </c>
      <c r="G480" s="3" t="str">
        <f>IF($E480="","",INDEX(Рецепты!$M$6:$M$85,MATCH(Меню!$D$24,Рецепты!$H$6:$H$85,0)+24))</f>
        <v/>
      </c>
      <c r="H480" s="12">
        <f>IFERROR(IF(IFERROR(INDEX(Рецепты!$H$6:$H$85,MATCH(Меню!$D$24,Рецепты!$H$6:$H$85,0)+24)=Меню!$D$24,FALSE),INDEX(Рецепты!$L$6:$L$85,MATCH(Меню!$D$24,Рецепты!$H$6:$H$85,0)+24),0),0)</f>
        <v>0</v>
      </c>
      <c r="I480" s="12" t="str">
        <f>IF($F480="","",Меню!$E$24)</f>
        <v/>
      </c>
      <c r="J480" s="12">
        <f t="shared" si="7"/>
        <v>0</v>
      </c>
      <c r="K480" s="12">
        <f>IFERROR($J480/100*INDEX(Продукты!$G$6:$G$66,MATCH($E480,Продукты!$A$6:$A$66,0)),0)</f>
        <v>0</v>
      </c>
      <c r="L480" s="12">
        <f>IFERROR($J480/100*INDEX(Продукты!$H$6:$H$66,MATCH($E480,Продукты!$A$6:$A$66,0)),0)</f>
        <v>0</v>
      </c>
      <c r="M480" s="12">
        <f>IFERROR($J480/100*INDEX(Продукты!$I$6:$I$66,MATCH($E480,Продукты!$A$6:$A$66,0)),0)</f>
        <v>0</v>
      </c>
      <c r="N480" s="12">
        <f>IFERROR($J480/100*INDEX(Продукты!$J$6:$J$66,MATCH($E480,Продукты!$A$6:$A$66,0)),0)</f>
        <v>0</v>
      </c>
      <c r="O480" s="3" t="str">
        <f>IFERROR(IF(IFERROR(INDEX(Рецепты!$H$6:$H$85,MATCH(Меню!$D$24,Рецепты!$H$6:$H$85,0)+24)=Меню!$D$24,FALSE),INDEX(Рецепты!$N$6:$N$85,MATCH(Меню!$D$24,Рецепты!$H$6:$H$85,0)+24),""),"")</f>
        <v/>
      </c>
    </row>
    <row r="481" spans="1:15">
      <c r="A481" s="3" t="str">
        <f>IF($E481="","",Меню!$A$25)</f>
        <v/>
      </c>
      <c r="B481" s="3" t="str">
        <f>IF($E481="","",Меню!$B$25)</f>
        <v/>
      </c>
      <c r="C481" s="3" t="str">
        <f>IF($E481="","",Меню!$C$25)</f>
        <v/>
      </c>
      <c r="D481" s="3" t="str">
        <f>IF($E481="","",Меню!$D$25)</f>
        <v/>
      </c>
      <c r="E481" s="3" t="str">
        <f>IFERROR(IF(IFERROR(INDEX(Рецепты!$H$6:$H$85,MATCH(Меню!$D$25,Рецепты!$H$6:$H$85,0)+0)=Меню!$D$25,FALSE),INDEX(Рецепты!$J$6:$J$85,MATCH(Меню!$D$25,Рецепты!$H$6:$H$85,0)+0),""),"")</f>
        <v/>
      </c>
      <c r="F481" s="3" t="str">
        <f>IF($E481="","",INDEX(Рецепты!$K$6:$K$85,MATCH(Меню!$D$25,Рецепты!$H$6:$H$85,0)+0))</f>
        <v/>
      </c>
      <c r="G481" s="3" t="str">
        <f>IF($E481="","",INDEX(Рецепты!$M$6:$M$85,MATCH(Меню!$D$25,Рецепты!$H$6:$H$85,0)+0))</f>
        <v/>
      </c>
      <c r="H481" s="12">
        <f>IFERROR(IF(IFERROR(INDEX(Рецепты!$H$6:$H$85,MATCH(Меню!$D$25,Рецепты!$H$6:$H$85,0)+0)=Меню!$D$25,FALSE),INDEX(Рецепты!$L$6:$L$85,MATCH(Меню!$D$25,Рецепты!$H$6:$H$85,0)+0),0),0)</f>
        <v>0</v>
      </c>
      <c r="I481" s="12" t="str">
        <f>IF($F481="","",Меню!$E$25)</f>
        <v/>
      </c>
      <c r="J481" s="12">
        <f t="shared" si="7"/>
        <v>0</v>
      </c>
      <c r="K481" s="12">
        <f>IFERROR($J481/100*INDEX(Продукты!$G$6:$G$66,MATCH($E481,Продукты!$A$6:$A$66,0)),0)</f>
        <v>0</v>
      </c>
      <c r="L481" s="12">
        <f>IFERROR($J481/100*INDEX(Продукты!$H$6:$H$66,MATCH($E481,Продукты!$A$6:$A$66,0)),0)</f>
        <v>0</v>
      </c>
      <c r="M481" s="12">
        <f>IFERROR($J481/100*INDEX(Продукты!$I$6:$I$66,MATCH($E481,Продукты!$A$6:$A$66,0)),0)</f>
        <v>0</v>
      </c>
      <c r="N481" s="12">
        <f>IFERROR($J481/100*INDEX(Продукты!$J$6:$J$66,MATCH($E481,Продукты!$A$6:$A$66,0)),0)</f>
        <v>0</v>
      </c>
      <c r="O481" s="3" t="str">
        <f>IFERROR(IF(IFERROR(INDEX(Рецепты!$H$6:$H$85,MATCH(Меню!$D$25,Рецепты!$H$6:$H$85,0)+0)=Меню!$D$25,FALSE),INDEX(Рецепты!$N$6:$N$85,MATCH(Меню!$D$25,Рецепты!$H$6:$H$85,0)+0),""),"")</f>
        <v/>
      </c>
    </row>
    <row r="482" spans="1:15">
      <c r="A482" s="3" t="str">
        <f>IF($E482="","",Меню!$A$25)</f>
        <v/>
      </c>
      <c r="B482" s="3" t="str">
        <f>IF($E482="","",Меню!$B$25)</f>
        <v/>
      </c>
      <c r="C482" s="3" t="str">
        <f>IF($E482="","",Меню!$C$25)</f>
        <v/>
      </c>
      <c r="D482" s="3" t="str">
        <f>IF($E482="","",Меню!$D$25)</f>
        <v/>
      </c>
      <c r="E482" s="3" t="str">
        <f>IFERROR(IF(IFERROR(INDEX(Рецепты!$H$6:$H$85,MATCH(Меню!$D$25,Рецепты!$H$6:$H$85,0)+1)=Меню!$D$25,FALSE),INDEX(Рецепты!$J$6:$J$85,MATCH(Меню!$D$25,Рецепты!$H$6:$H$85,0)+1),""),"")</f>
        <v/>
      </c>
      <c r="F482" s="3" t="str">
        <f>IF($E482="","",INDEX(Рецепты!$K$6:$K$85,MATCH(Меню!$D$25,Рецепты!$H$6:$H$85,0)+1))</f>
        <v/>
      </c>
      <c r="G482" s="3" t="str">
        <f>IF($E482="","",INDEX(Рецепты!$M$6:$M$85,MATCH(Меню!$D$25,Рецепты!$H$6:$H$85,0)+1))</f>
        <v/>
      </c>
      <c r="H482" s="12">
        <f>IFERROR(IF(IFERROR(INDEX(Рецепты!$H$6:$H$85,MATCH(Меню!$D$25,Рецепты!$H$6:$H$85,0)+1)=Меню!$D$25,FALSE),INDEX(Рецепты!$L$6:$L$85,MATCH(Меню!$D$25,Рецепты!$H$6:$H$85,0)+1),0),0)</f>
        <v>0</v>
      </c>
      <c r="I482" s="12" t="str">
        <f>IF($F482="","",Меню!$E$25)</f>
        <v/>
      </c>
      <c r="J482" s="12">
        <f t="shared" si="7"/>
        <v>0</v>
      </c>
      <c r="K482" s="12">
        <f>IFERROR($J482/100*INDEX(Продукты!$G$6:$G$66,MATCH($E482,Продукты!$A$6:$A$66,0)),0)</f>
        <v>0</v>
      </c>
      <c r="L482" s="12">
        <f>IFERROR($J482/100*INDEX(Продукты!$H$6:$H$66,MATCH($E482,Продукты!$A$6:$A$66,0)),0)</f>
        <v>0</v>
      </c>
      <c r="M482" s="12">
        <f>IFERROR($J482/100*INDEX(Продукты!$I$6:$I$66,MATCH($E482,Продукты!$A$6:$A$66,0)),0)</f>
        <v>0</v>
      </c>
      <c r="N482" s="12">
        <f>IFERROR($J482/100*INDEX(Продукты!$J$6:$J$66,MATCH($E482,Продукты!$A$6:$A$66,0)),0)</f>
        <v>0</v>
      </c>
      <c r="O482" s="3" t="str">
        <f>IFERROR(IF(IFERROR(INDEX(Рецепты!$H$6:$H$85,MATCH(Меню!$D$25,Рецепты!$H$6:$H$85,0)+1)=Меню!$D$25,FALSE),INDEX(Рецепты!$N$6:$N$85,MATCH(Меню!$D$25,Рецепты!$H$6:$H$85,0)+1),""),"")</f>
        <v/>
      </c>
    </row>
    <row r="483" spans="1:15">
      <c r="A483" s="3" t="str">
        <f>IF($E483="","",Меню!$A$25)</f>
        <v/>
      </c>
      <c r="B483" s="3" t="str">
        <f>IF($E483="","",Меню!$B$25)</f>
        <v/>
      </c>
      <c r="C483" s="3" t="str">
        <f>IF($E483="","",Меню!$C$25)</f>
        <v/>
      </c>
      <c r="D483" s="3" t="str">
        <f>IF($E483="","",Меню!$D$25)</f>
        <v/>
      </c>
      <c r="E483" s="3" t="str">
        <f>IFERROR(IF(IFERROR(INDEX(Рецепты!$H$6:$H$85,MATCH(Меню!$D$25,Рецепты!$H$6:$H$85,0)+2)=Меню!$D$25,FALSE),INDEX(Рецепты!$J$6:$J$85,MATCH(Меню!$D$25,Рецепты!$H$6:$H$85,0)+2),""),"")</f>
        <v/>
      </c>
      <c r="F483" s="3" t="str">
        <f>IF($E483="","",INDEX(Рецепты!$K$6:$K$85,MATCH(Меню!$D$25,Рецепты!$H$6:$H$85,0)+2))</f>
        <v/>
      </c>
      <c r="G483" s="3" t="str">
        <f>IF($E483="","",INDEX(Рецепты!$M$6:$M$85,MATCH(Меню!$D$25,Рецепты!$H$6:$H$85,0)+2))</f>
        <v/>
      </c>
      <c r="H483" s="12">
        <f>IFERROR(IF(IFERROR(INDEX(Рецепты!$H$6:$H$85,MATCH(Меню!$D$25,Рецепты!$H$6:$H$85,0)+2)=Меню!$D$25,FALSE),INDEX(Рецепты!$L$6:$L$85,MATCH(Меню!$D$25,Рецепты!$H$6:$H$85,0)+2),0),0)</f>
        <v>0</v>
      </c>
      <c r="I483" s="12" t="str">
        <f>IF($F483="","",Меню!$E$25)</f>
        <v/>
      </c>
      <c r="J483" s="12">
        <f t="shared" si="7"/>
        <v>0</v>
      </c>
      <c r="K483" s="12">
        <f>IFERROR($J483/100*INDEX(Продукты!$G$6:$G$66,MATCH($E483,Продукты!$A$6:$A$66,0)),0)</f>
        <v>0</v>
      </c>
      <c r="L483" s="12">
        <f>IFERROR($J483/100*INDEX(Продукты!$H$6:$H$66,MATCH($E483,Продукты!$A$6:$A$66,0)),0)</f>
        <v>0</v>
      </c>
      <c r="M483" s="12">
        <f>IFERROR($J483/100*INDEX(Продукты!$I$6:$I$66,MATCH($E483,Продукты!$A$6:$A$66,0)),0)</f>
        <v>0</v>
      </c>
      <c r="N483" s="12">
        <f>IFERROR($J483/100*INDEX(Продукты!$J$6:$J$66,MATCH($E483,Продукты!$A$6:$A$66,0)),0)</f>
        <v>0</v>
      </c>
      <c r="O483" s="3" t="str">
        <f>IFERROR(IF(IFERROR(INDEX(Рецепты!$H$6:$H$85,MATCH(Меню!$D$25,Рецепты!$H$6:$H$85,0)+2)=Меню!$D$25,FALSE),INDEX(Рецепты!$N$6:$N$85,MATCH(Меню!$D$25,Рецепты!$H$6:$H$85,0)+2),""),"")</f>
        <v/>
      </c>
    </row>
    <row r="484" spans="1:15">
      <c r="A484" s="3" t="str">
        <f>IF($E484="","",Меню!$A$25)</f>
        <v/>
      </c>
      <c r="B484" s="3" t="str">
        <f>IF($E484="","",Меню!$B$25)</f>
        <v/>
      </c>
      <c r="C484" s="3" t="str">
        <f>IF($E484="","",Меню!$C$25)</f>
        <v/>
      </c>
      <c r="D484" s="3" t="str">
        <f>IF($E484="","",Меню!$D$25)</f>
        <v/>
      </c>
      <c r="E484" s="3" t="str">
        <f>IFERROR(IF(IFERROR(INDEX(Рецепты!$H$6:$H$85,MATCH(Меню!$D$25,Рецепты!$H$6:$H$85,0)+3)=Меню!$D$25,FALSE),INDEX(Рецепты!$J$6:$J$85,MATCH(Меню!$D$25,Рецепты!$H$6:$H$85,0)+3),""),"")</f>
        <v/>
      </c>
      <c r="F484" s="3" t="str">
        <f>IF($E484="","",INDEX(Рецепты!$K$6:$K$85,MATCH(Меню!$D$25,Рецепты!$H$6:$H$85,0)+3))</f>
        <v/>
      </c>
      <c r="G484" s="3" t="str">
        <f>IF($E484="","",INDEX(Рецепты!$M$6:$M$85,MATCH(Меню!$D$25,Рецепты!$H$6:$H$85,0)+3))</f>
        <v/>
      </c>
      <c r="H484" s="12">
        <f>IFERROR(IF(IFERROR(INDEX(Рецепты!$H$6:$H$85,MATCH(Меню!$D$25,Рецепты!$H$6:$H$85,0)+3)=Меню!$D$25,FALSE),INDEX(Рецепты!$L$6:$L$85,MATCH(Меню!$D$25,Рецепты!$H$6:$H$85,0)+3),0),0)</f>
        <v>0</v>
      </c>
      <c r="I484" s="12" t="str">
        <f>IF($F484="","",Меню!$E$25)</f>
        <v/>
      </c>
      <c r="J484" s="12">
        <f t="shared" si="7"/>
        <v>0</v>
      </c>
      <c r="K484" s="12">
        <f>IFERROR($J484/100*INDEX(Продукты!$G$6:$G$66,MATCH($E484,Продукты!$A$6:$A$66,0)),0)</f>
        <v>0</v>
      </c>
      <c r="L484" s="12">
        <f>IFERROR($J484/100*INDEX(Продукты!$H$6:$H$66,MATCH($E484,Продукты!$A$6:$A$66,0)),0)</f>
        <v>0</v>
      </c>
      <c r="M484" s="12">
        <f>IFERROR($J484/100*INDEX(Продукты!$I$6:$I$66,MATCH($E484,Продукты!$A$6:$A$66,0)),0)</f>
        <v>0</v>
      </c>
      <c r="N484" s="12">
        <f>IFERROR($J484/100*INDEX(Продукты!$J$6:$J$66,MATCH($E484,Продукты!$A$6:$A$66,0)),0)</f>
        <v>0</v>
      </c>
      <c r="O484" s="3" t="str">
        <f>IFERROR(IF(IFERROR(INDEX(Рецепты!$H$6:$H$85,MATCH(Меню!$D$25,Рецепты!$H$6:$H$85,0)+3)=Меню!$D$25,FALSE),INDEX(Рецепты!$N$6:$N$85,MATCH(Меню!$D$25,Рецепты!$H$6:$H$85,0)+3),""),"")</f>
        <v/>
      </c>
    </row>
    <row r="485" spans="1:15">
      <c r="A485" s="3" t="str">
        <f>IF($E485="","",Меню!$A$25)</f>
        <v/>
      </c>
      <c r="B485" s="3" t="str">
        <f>IF($E485="","",Меню!$B$25)</f>
        <v/>
      </c>
      <c r="C485" s="3" t="str">
        <f>IF($E485="","",Меню!$C$25)</f>
        <v/>
      </c>
      <c r="D485" s="3" t="str">
        <f>IF($E485="","",Меню!$D$25)</f>
        <v/>
      </c>
      <c r="E485" s="3" t="str">
        <f>IFERROR(IF(IFERROR(INDEX(Рецепты!$H$6:$H$85,MATCH(Меню!$D$25,Рецепты!$H$6:$H$85,0)+4)=Меню!$D$25,FALSE),INDEX(Рецепты!$J$6:$J$85,MATCH(Меню!$D$25,Рецепты!$H$6:$H$85,0)+4),""),"")</f>
        <v/>
      </c>
      <c r="F485" s="3" t="str">
        <f>IF($E485="","",INDEX(Рецепты!$K$6:$K$85,MATCH(Меню!$D$25,Рецепты!$H$6:$H$85,0)+4))</f>
        <v/>
      </c>
      <c r="G485" s="3" t="str">
        <f>IF($E485="","",INDEX(Рецепты!$M$6:$M$85,MATCH(Меню!$D$25,Рецепты!$H$6:$H$85,0)+4))</f>
        <v/>
      </c>
      <c r="H485" s="12">
        <f>IFERROR(IF(IFERROR(INDEX(Рецепты!$H$6:$H$85,MATCH(Меню!$D$25,Рецепты!$H$6:$H$85,0)+4)=Меню!$D$25,FALSE),INDEX(Рецепты!$L$6:$L$85,MATCH(Меню!$D$25,Рецепты!$H$6:$H$85,0)+4),0),0)</f>
        <v>0</v>
      </c>
      <c r="I485" s="12" t="str">
        <f>IF($F485="","",Меню!$E$25)</f>
        <v/>
      </c>
      <c r="J485" s="12">
        <f t="shared" si="7"/>
        <v>0</v>
      </c>
      <c r="K485" s="12">
        <f>IFERROR($J485/100*INDEX(Продукты!$G$6:$G$66,MATCH($E485,Продукты!$A$6:$A$66,0)),0)</f>
        <v>0</v>
      </c>
      <c r="L485" s="12">
        <f>IFERROR($J485/100*INDEX(Продукты!$H$6:$H$66,MATCH($E485,Продукты!$A$6:$A$66,0)),0)</f>
        <v>0</v>
      </c>
      <c r="M485" s="12">
        <f>IFERROR($J485/100*INDEX(Продукты!$I$6:$I$66,MATCH($E485,Продукты!$A$6:$A$66,0)),0)</f>
        <v>0</v>
      </c>
      <c r="N485" s="12">
        <f>IFERROR($J485/100*INDEX(Продукты!$J$6:$J$66,MATCH($E485,Продукты!$A$6:$A$66,0)),0)</f>
        <v>0</v>
      </c>
      <c r="O485" s="3" t="str">
        <f>IFERROR(IF(IFERROR(INDEX(Рецепты!$H$6:$H$85,MATCH(Меню!$D$25,Рецепты!$H$6:$H$85,0)+4)=Меню!$D$25,FALSE),INDEX(Рецепты!$N$6:$N$85,MATCH(Меню!$D$25,Рецепты!$H$6:$H$85,0)+4),""),"")</f>
        <v/>
      </c>
    </row>
    <row r="486" spans="1:15">
      <c r="A486" s="3" t="str">
        <f>IF($E486="","",Меню!$A$25)</f>
        <v/>
      </c>
      <c r="B486" s="3" t="str">
        <f>IF($E486="","",Меню!$B$25)</f>
        <v/>
      </c>
      <c r="C486" s="3" t="str">
        <f>IF($E486="","",Меню!$C$25)</f>
        <v/>
      </c>
      <c r="D486" s="3" t="str">
        <f>IF($E486="","",Меню!$D$25)</f>
        <v/>
      </c>
      <c r="E486" s="3" t="str">
        <f>IFERROR(IF(IFERROR(INDEX(Рецепты!$H$6:$H$85,MATCH(Меню!$D$25,Рецепты!$H$6:$H$85,0)+5)=Меню!$D$25,FALSE),INDEX(Рецепты!$J$6:$J$85,MATCH(Меню!$D$25,Рецепты!$H$6:$H$85,0)+5),""),"")</f>
        <v/>
      </c>
      <c r="F486" s="3" t="str">
        <f>IF($E486="","",INDEX(Рецепты!$K$6:$K$85,MATCH(Меню!$D$25,Рецепты!$H$6:$H$85,0)+5))</f>
        <v/>
      </c>
      <c r="G486" s="3" t="str">
        <f>IF($E486="","",INDEX(Рецепты!$M$6:$M$85,MATCH(Меню!$D$25,Рецепты!$H$6:$H$85,0)+5))</f>
        <v/>
      </c>
      <c r="H486" s="12">
        <f>IFERROR(IF(IFERROR(INDEX(Рецепты!$H$6:$H$85,MATCH(Меню!$D$25,Рецепты!$H$6:$H$85,0)+5)=Меню!$D$25,FALSE),INDEX(Рецепты!$L$6:$L$85,MATCH(Меню!$D$25,Рецепты!$H$6:$H$85,0)+5),0),0)</f>
        <v>0</v>
      </c>
      <c r="I486" s="12" t="str">
        <f>IF($F486="","",Меню!$E$25)</f>
        <v/>
      </c>
      <c r="J486" s="12">
        <f t="shared" si="7"/>
        <v>0</v>
      </c>
      <c r="K486" s="12">
        <f>IFERROR($J486/100*INDEX(Продукты!$G$6:$G$66,MATCH($E486,Продукты!$A$6:$A$66,0)),0)</f>
        <v>0</v>
      </c>
      <c r="L486" s="12">
        <f>IFERROR($J486/100*INDEX(Продукты!$H$6:$H$66,MATCH($E486,Продукты!$A$6:$A$66,0)),0)</f>
        <v>0</v>
      </c>
      <c r="M486" s="12">
        <f>IFERROR($J486/100*INDEX(Продукты!$I$6:$I$66,MATCH($E486,Продукты!$A$6:$A$66,0)),0)</f>
        <v>0</v>
      </c>
      <c r="N486" s="12">
        <f>IFERROR($J486/100*INDEX(Продукты!$J$6:$J$66,MATCH($E486,Продукты!$A$6:$A$66,0)),0)</f>
        <v>0</v>
      </c>
      <c r="O486" s="3" t="str">
        <f>IFERROR(IF(IFERROR(INDEX(Рецепты!$H$6:$H$85,MATCH(Меню!$D$25,Рецепты!$H$6:$H$85,0)+5)=Меню!$D$25,FALSE),INDEX(Рецепты!$N$6:$N$85,MATCH(Меню!$D$25,Рецепты!$H$6:$H$85,0)+5),""),"")</f>
        <v/>
      </c>
    </row>
    <row r="487" spans="1:15">
      <c r="A487" s="3" t="str">
        <f>IF($E487="","",Меню!$A$25)</f>
        <v/>
      </c>
      <c r="B487" s="3" t="str">
        <f>IF($E487="","",Меню!$B$25)</f>
        <v/>
      </c>
      <c r="C487" s="3" t="str">
        <f>IF($E487="","",Меню!$C$25)</f>
        <v/>
      </c>
      <c r="D487" s="3" t="str">
        <f>IF($E487="","",Меню!$D$25)</f>
        <v/>
      </c>
      <c r="E487" s="3" t="str">
        <f>IFERROR(IF(IFERROR(INDEX(Рецепты!$H$6:$H$85,MATCH(Меню!$D$25,Рецепты!$H$6:$H$85,0)+6)=Меню!$D$25,FALSE),INDEX(Рецепты!$J$6:$J$85,MATCH(Меню!$D$25,Рецепты!$H$6:$H$85,0)+6),""),"")</f>
        <v/>
      </c>
      <c r="F487" s="3" t="str">
        <f>IF($E487="","",INDEX(Рецепты!$K$6:$K$85,MATCH(Меню!$D$25,Рецепты!$H$6:$H$85,0)+6))</f>
        <v/>
      </c>
      <c r="G487" s="3" t="str">
        <f>IF($E487="","",INDEX(Рецепты!$M$6:$M$85,MATCH(Меню!$D$25,Рецепты!$H$6:$H$85,0)+6))</f>
        <v/>
      </c>
      <c r="H487" s="12">
        <f>IFERROR(IF(IFERROR(INDEX(Рецепты!$H$6:$H$85,MATCH(Меню!$D$25,Рецепты!$H$6:$H$85,0)+6)=Меню!$D$25,FALSE),INDEX(Рецепты!$L$6:$L$85,MATCH(Меню!$D$25,Рецепты!$H$6:$H$85,0)+6),0),0)</f>
        <v>0</v>
      </c>
      <c r="I487" s="12" t="str">
        <f>IF($F487="","",Меню!$E$25)</f>
        <v/>
      </c>
      <c r="J487" s="12">
        <f t="shared" si="7"/>
        <v>0</v>
      </c>
      <c r="K487" s="12">
        <f>IFERROR($J487/100*INDEX(Продукты!$G$6:$G$66,MATCH($E487,Продукты!$A$6:$A$66,0)),0)</f>
        <v>0</v>
      </c>
      <c r="L487" s="12">
        <f>IFERROR($J487/100*INDEX(Продукты!$H$6:$H$66,MATCH($E487,Продукты!$A$6:$A$66,0)),0)</f>
        <v>0</v>
      </c>
      <c r="M487" s="12">
        <f>IFERROR($J487/100*INDEX(Продукты!$I$6:$I$66,MATCH($E487,Продукты!$A$6:$A$66,0)),0)</f>
        <v>0</v>
      </c>
      <c r="N487" s="12">
        <f>IFERROR($J487/100*INDEX(Продукты!$J$6:$J$66,MATCH($E487,Продукты!$A$6:$A$66,0)),0)</f>
        <v>0</v>
      </c>
      <c r="O487" s="3" t="str">
        <f>IFERROR(IF(IFERROR(INDEX(Рецепты!$H$6:$H$85,MATCH(Меню!$D$25,Рецепты!$H$6:$H$85,0)+6)=Меню!$D$25,FALSE),INDEX(Рецепты!$N$6:$N$85,MATCH(Меню!$D$25,Рецепты!$H$6:$H$85,0)+6),""),"")</f>
        <v/>
      </c>
    </row>
    <row r="488" spans="1:15">
      <c r="A488" s="3" t="str">
        <f>IF($E488="","",Меню!$A$25)</f>
        <v/>
      </c>
      <c r="B488" s="3" t="str">
        <f>IF($E488="","",Меню!$B$25)</f>
        <v/>
      </c>
      <c r="C488" s="3" t="str">
        <f>IF($E488="","",Меню!$C$25)</f>
        <v/>
      </c>
      <c r="D488" s="3" t="str">
        <f>IF($E488="","",Меню!$D$25)</f>
        <v/>
      </c>
      <c r="E488" s="3" t="str">
        <f>IFERROR(IF(IFERROR(INDEX(Рецепты!$H$6:$H$85,MATCH(Меню!$D$25,Рецепты!$H$6:$H$85,0)+7)=Меню!$D$25,FALSE),INDEX(Рецепты!$J$6:$J$85,MATCH(Меню!$D$25,Рецепты!$H$6:$H$85,0)+7),""),"")</f>
        <v/>
      </c>
      <c r="F488" s="3" t="str">
        <f>IF($E488="","",INDEX(Рецепты!$K$6:$K$85,MATCH(Меню!$D$25,Рецепты!$H$6:$H$85,0)+7))</f>
        <v/>
      </c>
      <c r="G488" s="3" t="str">
        <f>IF($E488="","",INDEX(Рецепты!$M$6:$M$85,MATCH(Меню!$D$25,Рецепты!$H$6:$H$85,0)+7))</f>
        <v/>
      </c>
      <c r="H488" s="12">
        <f>IFERROR(IF(IFERROR(INDEX(Рецепты!$H$6:$H$85,MATCH(Меню!$D$25,Рецепты!$H$6:$H$85,0)+7)=Меню!$D$25,FALSE),INDEX(Рецепты!$L$6:$L$85,MATCH(Меню!$D$25,Рецепты!$H$6:$H$85,0)+7),0),0)</f>
        <v>0</v>
      </c>
      <c r="I488" s="12" t="str">
        <f>IF($F488="","",Меню!$E$25)</f>
        <v/>
      </c>
      <c r="J488" s="12">
        <f t="shared" si="7"/>
        <v>0</v>
      </c>
      <c r="K488" s="12">
        <f>IFERROR($J488/100*INDEX(Продукты!$G$6:$G$66,MATCH($E488,Продукты!$A$6:$A$66,0)),0)</f>
        <v>0</v>
      </c>
      <c r="L488" s="12">
        <f>IFERROR($J488/100*INDEX(Продукты!$H$6:$H$66,MATCH($E488,Продукты!$A$6:$A$66,0)),0)</f>
        <v>0</v>
      </c>
      <c r="M488" s="12">
        <f>IFERROR($J488/100*INDEX(Продукты!$I$6:$I$66,MATCH($E488,Продукты!$A$6:$A$66,0)),0)</f>
        <v>0</v>
      </c>
      <c r="N488" s="12">
        <f>IFERROR($J488/100*INDEX(Продукты!$J$6:$J$66,MATCH($E488,Продукты!$A$6:$A$66,0)),0)</f>
        <v>0</v>
      </c>
      <c r="O488" s="3" t="str">
        <f>IFERROR(IF(IFERROR(INDEX(Рецепты!$H$6:$H$85,MATCH(Меню!$D$25,Рецепты!$H$6:$H$85,0)+7)=Меню!$D$25,FALSE),INDEX(Рецепты!$N$6:$N$85,MATCH(Меню!$D$25,Рецепты!$H$6:$H$85,0)+7),""),"")</f>
        <v/>
      </c>
    </row>
    <row r="489" spans="1:15">
      <c r="A489" s="3" t="str">
        <f>IF($E489="","",Меню!$A$25)</f>
        <v/>
      </c>
      <c r="B489" s="3" t="str">
        <f>IF($E489="","",Меню!$B$25)</f>
        <v/>
      </c>
      <c r="C489" s="3" t="str">
        <f>IF($E489="","",Меню!$C$25)</f>
        <v/>
      </c>
      <c r="D489" s="3" t="str">
        <f>IF($E489="","",Меню!$D$25)</f>
        <v/>
      </c>
      <c r="E489" s="3" t="str">
        <f>IFERROR(IF(IFERROR(INDEX(Рецепты!$H$6:$H$85,MATCH(Меню!$D$25,Рецепты!$H$6:$H$85,0)+8)=Меню!$D$25,FALSE),INDEX(Рецепты!$J$6:$J$85,MATCH(Меню!$D$25,Рецепты!$H$6:$H$85,0)+8),""),"")</f>
        <v/>
      </c>
      <c r="F489" s="3" t="str">
        <f>IF($E489="","",INDEX(Рецепты!$K$6:$K$85,MATCH(Меню!$D$25,Рецепты!$H$6:$H$85,0)+8))</f>
        <v/>
      </c>
      <c r="G489" s="3" t="str">
        <f>IF($E489="","",INDEX(Рецепты!$M$6:$M$85,MATCH(Меню!$D$25,Рецепты!$H$6:$H$85,0)+8))</f>
        <v/>
      </c>
      <c r="H489" s="12">
        <f>IFERROR(IF(IFERROR(INDEX(Рецепты!$H$6:$H$85,MATCH(Меню!$D$25,Рецепты!$H$6:$H$85,0)+8)=Меню!$D$25,FALSE),INDEX(Рецепты!$L$6:$L$85,MATCH(Меню!$D$25,Рецепты!$H$6:$H$85,0)+8),0),0)</f>
        <v>0</v>
      </c>
      <c r="I489" s="12" t="str">
        <f>IF($F489="","",Меню!$E$25)</f>
        <v/>
      </c>
      <c r="J489" s="12">
        <f t="shared" si="7"/>
        <v>0</v>
      </c>
      <c r="K489" s="12">
        <f>IFERROR($J489/100*INDEX(Продукты!$G$6:$G$66,MATCH($E489,Продукты!$A$6:$A$66,0)),0)</f>
        <v>0</v>
      </c>
      <c r="L489" s="12">
        <f>IFERROR($J489/100*INDEX(Продукты!$H$6:$H$66,MATCH($E489,Продукты!$A$6:$A$66,0)),0)</f>
        <v>0</v>
      </c>
      <c r="M489" s="12">
        <f>IFERROR($J489/100*INDEX(Продукты!$I$6:$I$66,MATCH($E489,Продукты!$A$6:$A$66,0)),0)</f>
        <v>0</v>
      </c>
      <c r="N489" s="12">
        <f>IFERROR($J489/100*INDEX(Продукты!$J$6:$J$66,MATCH($E489,Продукты!$A$6:$A$66,0)),0)</f>
        <v>0</v>
      </c>
      <c r="O489" s="3" t="str">
        <f>IFERROR(IF(IFERROR(INDEX(Рецепты!$H$6:$H$85,MATCH(Меню!$D$25,Рецепты!$H$6:$H$85,0)+8)=Меню!$D$25,FALSE),INDEX(Рецепты!$N$6:$N$85,MATCH(Меню!$D$25,Рецепты!$H$6:$H$85,0)+8),""),"")</f>
        <v/>
      </c>
    </row>
    <row r="490" spans="1:15">
      <c r="A490" s="3" t="str">
        <f>IF($E490="","",Меню!$A$25)</f>
        <v/>
      </c>
      <c r="B490" s="3" t="str">
        <f>IF($E490="","",Меню!$B$25)</f>
        <v/>
      </c>
      <c r="C490" s="3" t="str">
        <f>IF($E490="","",Меню!$C$25)</f>
        <v/>
      </c>
      <c r="D490" s="3" t="str">
        <f>IF($E490="","",Меню!$D$25)</f>
        <v/>
      </c>
      <c r="E490" s="3" t="str">
        <f>IFERROR(IF(IFERROR(INDEX(Рецепты!$H$6:$H$85,MATCH(Меню!$D$25,Рецепты!$H$6:$H$85,0)+9)=Меню!$D$25,FALSE),INDEX(Рецепты!$J$6:$J$85,MATCH(Меню!$D$25,Рецепты!$H$6:$H$85,0)+9),""),"")</f>
        <v/>
      </c>
      <c r="F490" s="3" t="str">
        <f>IF($E490="","",INDEX(Рецепты!$K$6:$K$85,MATCH(Меню!$D$25,Рецепты!$H$6:$H$85,0)+9))</f>
        <v/>
      </c>
      <c r="G490" s="3" t="str">
        <f>IF($E490="","",INDEX(Рецепты!$M$6:$M$85,MATCH(Меню!$D$25,Рецепты!$H$6:$H$85,0)+9))</f>
        <v/>
      </c>
      <c r="H490" s="12">
        <f>IFERROR(IF(IFERROR(INDEX(Рецепты!$H$6:$H$85,MATCH(Меню!$D$25,Рецепты!$H$6:$H$85,0)+9)=Меню!$D$25,FALSE),INDEX(Рецепты!$L$6:$L$85,MATCH(Меню!$D$25,Рецепты!$H$6:$H$85,0)+9),0),0)</f>
        <v>0</v>
      </c>
      <c r="I490" s="12" t="str">
        <f>IF($F490="","",Меню!$E$25)</f>
        <v/>
      </c>
      <c r="J490" s="12">
        <f t="shared" si="7"/>
        <v>0</v>
      </c>
      <c r="K490" s="12">
        <f>IFERROR($J490/100*INDEX(Продукты!$G$6:$G$66,MATCH($E490,Продукты!$A$6:$A$66,0)),0)</f>
        <v>0</v>
      </c>
      <c r="L490" s="12">
        <f>IFERROR($J490/100*INDEX(Продукты!$H$6:$H$66,MATCH($E490,Продукты!$A$6:$A$66,0)),0)</f>
        <v>0</v>
      </c>
      <c r="M490" s="12">
        <f>IFERROR($J490/100*INDEX(Продукты!$I$6:$I$66,MATCH($E490,Продукты!$A$6:$A$66,0)),0)</f>
        <v>0</v>
      </c>
      <c r="N490" s="12">
        <f>IFERROR($J490/100*INDEX(Продукты!$J$6:$J$66,MATCH($E490,Продукты!$A$6:$A$66,0)),0)</f>
        <v>0</v>
      </c>
      <c r="O490" s="3" t="str">
        <f>IFERROR(IF(IFERROR(INDEX(Рецепты!$H$6:$H$85,MATCH(Меню!$D$25,Рецепты!$H$6:$H$85,0)+9)=Меню!$D$25,FALSE),INDEX(Рецепты!$N$6:$N$85,MATCH(Меню!$D$25,Рецепты!$H$6:$H$85,0)+9),""),"")</f>
        <v/>
      </c>
    </row>
    <row r="491" spans="1:15">
      <c r="A491" s="3" t="str">
        <f>IF($E491="","",Меню!$A$25)</f>
        <v/>
      </c>
      <c r="B491" s="3" t="str">
        <f>IF($E491="","",Меню!$B$25)</f>
        <v/>
      </c>
      <c r="C491" s="3" t="str">
        <f>IF($E491="","",Меню!$C$25)</f>
        <v/>
      </c>
      <c r="D491" s="3" t="str">
        <f>IF($E491="","",Меню!$D$25)</f>
        <v/>
      </c>
      <c r="E491" s="3" t="str">
        <f>IFERROR(IF(IFERROR(INDEX(Рецепты!$H$6:$H$85,MATCH(Меню!$D$25,Рецепты!$H$6:$H$85,0)+10)=Меню!$D$25,FALSE),INDEX(Рецепты!$J$6:$J$85,MATCH(Меню!$D$25,Рецепты!$H$6:$H$85,0)+10),""),"")</f>
        <v/>
      </c>
      <c r="F491" s="3" t="str">
        <f>IF($E491="","",INDEX(Рецепты!$K$6:$K$85,MATCH(Меню!$D$25,Рецепты!$H$6:$H$85,0)+10))</f>
        <v/>
      </c>
      <c r="G491" s="3" t="str">
        <f>IF($E491="","",INDEX(Рецепты!$M$6:$M$85,MATCH(Меню!$D$25,Рецепты!$H$6:$H$85,0)+10))</f>
        <v/>
      </c>
      <c r="H491" s="12">
        <f>IFERROR(IF(IFERROR(INDEX(Рецепты!$H$6:$H$85,MATCH(Меню!$D$25,Рецепты!$H$6:$H$85,0)+10)=Меню!$D$25,FALSE),INDEX(Рецепты!$L$6:$L$85,MATCH(Меню!$D$25,Рецепты!$H$6:$H$85,0)+10),0),0)</f>
        <v>0</v>
      </c>
      <c r="I491" s="12" t="str">
        <f>IF($F491="","",Меню!$E$25)</f>
        <v/>
      </c>
      <c r="J491" s="12">
        <f t="shared" si="7"/>
        <v>0</v>
      </c>
      <c r="K491" s="12">
        <f>IFERROR($J491/100*INDEX(Продукты!$G$6:$G$66,MATCH($E491,Продукты!$A$6:$A$66,0)),0)</f>
        <v>0</v>
      </c>
      <c r="L491" s="12">
        <f>IFERROR($J491/100*INDEX(Продукты!$H$6:$H$66,MATCH($E491,Продукты!$A$6:$A$66,0)),0)</f>
        <v>0</v>
      </c>
      <c r="M491" s="12">
        <f>IFERROR($J491/100*INDEX(Продукты!$I$6:$I$66,MATCH($E491,Продукты!$A$6:$A$66,0)),0)</f>
        <v>0</v>
      </c>
      <c r="N491" s="12">
        <f>IFERROR($J491/100*INDEX(Продукты!$J$6:$J$66,MATCH($E491,Продукты!$A$6:$A$66,0)),0)</f>
        <v>0</v>
      </c>
      <c r="O491" s="3" t="str">
        <f>IFERROR(IF(IFERROR(INDEX(Рецепты!$H$6:$H$85,MATCH(Меню!$D$25,Рецепты!$H$6:$H$85,0)+10)=Меню!$D$25,FALSE),INDEX(Рецепты!$N$6:$N$85,MATCH(Меню!$D$25,Рецепты!$H$6:$H$85,0)+10),""),"")</f>
        <v/>
      </c>
    </row>
    <row r="492" spans="1:15">
      <c r="A492" s="3" t="str">
        <f>IF($E492="","",Меню!$A$25)</f>
        <v/>
      </c>
      <c r="B492" s="3" t="str">
        <f>IF($E492="","",Меню!$B$25)</f>
        <v/>
      </c>
      <c r="C492" s="3" t="str">
        <f>IF($E492="","",Меню!$C$25)</f>
        <v/>
      </c>
      <c r="D492" s="3" t="str">
        <f>IF($E492="","",Меню!$D$25)</f>
        <v/>
      </c>
      <c r="E492" s="3" t="str">
        <f>IFERROR(IF(IFERROR(INDEX(Рецепты!$H$6:$H$85,MATCH(Меню!$D$25,Рецепты!$H$6:$H$85,0)+11)=Меню!$D$25,FALSE),INDEX(Рецепты!$J$6:$J$85,MATCH(Меню!$D$25,Рецепты!$H$6:$H$85,0)+11),""),"")</f>
        <v/>
      </c>
      <c r="F492" s="3" t="str">
        <f>IF($E492="","",INDEX(Рецепты!$K$6:$K$85,MATCH(Меню!$D$25,Рецепты!$H$6:$H$85,0)+11))</f>
        <v/>
      </c>
      <c r="G492" s="3" t="str">
        <f>IF($E492="","",INDEX(Рецепты!$M$6:$M$85,MATCH(Меню!$D$25,Рецепты!$H$6:$H$85,0)+11))</f>
        <v/>
      </c>
      <c r="H492" s="12">
        <f>IFERROR(IF(IFERROR(INDEX(Рецепты!$H$6:$H$85,MATCH(Меню!$D$25,Рецепты!$H$6:$H$85,0)+11)=Меню!$D$25,FALSE),INDEX(Рецепты!$L$6:$L$85,MATCH(Меню!$D$25,Рецепты!$H$6:$H$85,0)+11),0),0)</f>
        <v>0</v>
      </c>
      <c r="I492" s="12" t="str">
        <f>IF($F492="","",Меню!$E$25)</f>
        <v/>
      </c>
      <c r="J492" s="12">
        <f t="shared" si="7"/>
        <v>0</v>
      </c>
      <c r="K492" s="12">
        <f>IFERROR($J492/100*INDEX(Продукты!$G$6:$G$66,MATCH($E492,Продукты!$A$6:$A$66,0)),0)</f>
        <v>0</v>
      </c>
      <c r="L492" s="12">
        <f>IFERROR($J492/100*INDEX(Продукты!$H$6:$H$66,MATCH($E492,Продукты!$A$6:$A$66,0)),0)</f>
        <v>0</v>
      </c>
      <c r="M492" s="12">
        <f>IFERROR($J492/100*INDEX(Продукты!$I$6:$I$66,MATCH($E492,Продукты!$A$6:$A$66,0)),0)</f>
        <v>0</v>
      </c>
      <c r="N492" s="12">
        <f>IFERROR($J492/100*INDEX(Продукты!$J$6:$J$66,MATCH($E492,Продукты!$A$6:$A$66,0)),0)</f>
        <v>0</v>
      </c>
      <c r="O492" s="3" t="str">
        <f>IFERROR(IF(IFERROR(INDEX(Рецепты!$H$6:$H$85,MATCH(Меню!$D$25,Рецепты!$H$6:$H$85,0)+11)=Меню!$D$25,FALSE),INDEX(Рецепты!$N$6:$N$85,MATCH(Меню!$D$25,Рецепты!$H$6:$H$85,0)+11),""),"")</f>
        <v/>
      </c>
    </row>
    <row r="493" spans="1:15">
      <c r="A493" s="3" t="str">
        <f>IF($E493="","",Меню!$A$25)</f>
        <v/>
      </c>
      <c r="B493" s="3" t="str">
        <f>IF($E493="","",Меню!$B$25)</f>
        <v/>
      </c>
      <c r="C493" s="3" t="str">
        <f>IF($E493="","",Меню!$C$25)</f>
        <v/>
      </c>
      <c r="D493" s="3" t="str">
        <f>IF($E493="","",Меню!$D$25)</f>
        <v/>
      </c>
      <c r="E493" s="3" t="str">
        <f>IFERROR(IF(IFERROR(INDEX(Рецепты!$H$6:$H$85,MATCH(Меню!$D$25,Рецепты!$H$6:$H$85,0)+12)=Меню!$D$25,FALSE),INDEX(Рецепты!$J$6:$J$85,MATCH(Меню!$D$25,Рецепты!$H$6:$H$85,0)+12),""),"")</f>
        <v/>
      </c>
      <c r="F493" s="3" t="str">
        <f>IF($E493="","",INDEX(Рецепты!$K$6:$K$85,MATCH(Меню!$D$25,Рецепты!$H$6:$H$85,0)+12))</f>
        <v/>
      </c>
      <c r="G493" s="3" t="str">
        <f>IF($E493="","",INDEX(Рецепты!$M$6:$M$85,MATCH(Меню!$D$25,Рецепты!$H$6:$H$85,0)+12))</f>
        <v/>
      </c>
      <c r="H493" s="12">
        <f>IFERROR(IF(IFERROR(INDEX(Рецепты!$H$6:$H$85,MATCH(Меню!$D$25,Рецепты!$H$6:$H$85,0)+12)=Меню!$D$25,FALSE),INDEX(Рецепты!$L$6:$L$85,MATCH(Меню!$D$25,Рецепты!$H$6:$H$85,0)+12),0),0)</f>
        <v>0</v>
      </c>
      <c r="I493" s="12" t="str">
        <f>IF($F493="","",Меню!$E$25)</f>
        <v/>
      </c>
      <c r="J493" s="12">
        <f t="shared" si="7"/>
        <v>0</v>
      </c>
      <c r="K493" s="12">
        <f>IFERROR($J493/100*INDEX(Продукты!$G$6:$G$66,MATCH($E493,Продукты!$A$6:$A$66,0)),0)</f>
        <v>0</v>
      </c>
      <c r="L493" s="12">
        <f>IFERROR($J493/100*INDEX(Продукты!$H$6:$H$66,MATCH($E493,Продукты!$A$6:$A$66,0)),0)</f>
        <v>0</v>
      </c>
      <c r="M493" s="12">
        <f>IFERROR($J493/100*INDEX(Продукты!$I$6:$I$66,MATCH($E493,Продукты!$A$6:$A$66,0)),0)</f>
        <v>0</v>
      </c>
      <c r="N493" s="12">
        <f>IFERROR($J493/100*INDEX(Продукты!$J$6:$J$66,MATCH($E493,Продукты!$A$6:$A$66,0)),0)</f>
        <v>0</v>
      </c>
      <c r="O493" s="3" t="str">
        <f>IFERROR(IF(IFERROR(INDEX(Рецепты!$H$6:$H$85,MATCH(Меню!$D$25,Рецепты!$H$6:$H$85,0)+12)=Меню!$D$25,FALSE),INDEX(Рецепты!$N$6:$N$85,MATCH(Меню!$D$25,Рецепты!$H$6:$H$85,0)+12),""),"")</f>
        <v/>
      </c>
    </row>
    <row r="494" spans="1:15">
      <c r="A494" s="3" t="str">
        <f>IF($E494="","",Меню!$A$25)</f>
        <v/>
      </c>
      <c r="B494" s="3" t="str">
        <f>IF($E494="","",Меню!$B$25)</f>
        <v/>
      </c>
      <c r="C494" s="3" t="str">
        <f>IF($E494="","",Меню!$C$25)</f>
        <v/>
      </c>
      <c r="D494" s="3" t="str">
        <f>IF($E494="","",Меню!$D$25)</f>
        <v/>
      </c>
      <c r="E494" s="3" t="str">
        <f>IFERROR(IF(IFERROR(INDEX(Рецепты!$H$6:$H$85,MATCH(Меню!$D$25,Рецепты!$H$6:$H$85,0)+13)=Меню!$D$25,FALSE),INDEX(Рецепты!$J$6:$J$85,MATCH(Меню!$D$25,Рецепты!$H$6:$H$85,0)+13),""),"")</f>
        <v/>
      </c>
      <c r="F494" s="3" t="str">
        <f>IF($E494="","",INDEX(Рецепты!$K$6:$K$85,MATCH(Меню!$D$25,Рецепты!$H$6:$H$85,0)+13))</f>
        <v/>
      </c>
      <c r="G494" s="3" t="str">
        <f>IF($E494="","",INDEX(Рецепты!$M$6:$M$85,MATCH(Меню!$D$25,Рецепты!$H$6:$H$85,0)+13))</f>
        <v/>
      </c>
      <c r="H494" s="12">
        <f>IFERROR(IF(IFERROR(INDEX(Рецепты!$H$6:$H$85,MATCH(Меню!$D$25,Рецепты!$H$6:$H$85,0)+13)=Меню!$D$25,FALSE),INDEX(Рецепты!$L$6:$L$85,MATCH(Меню!$D$25,Рецепты!$H$6:$H$85,0)+13),0),0)</f>
        <v>0</v>
      </c>
      <c r="I494" s="12" t="str">
        <f>IF($F494="","",Меню!$E$25)</f>
        <v/>
      </c>
      <c r="J494" s="12">
        <f t="shared" si="7"/>
        <v>0</v>
      </c>
      <c r="K494" s="12">
        <f>IFERROR($J494/100*INDEX(Продукты!$G$6:$G$66,MATCH($E494,Продукты!$A$6:$A$66,0)),0)</f>
        <v>0</v>
      </c>
      <c r="L494" s="12">
        <f>IFERROR($J494/100*INDEX(Продукты!$H$6:$H$66,MATCH($E494,Продукты!$A$6:$A$66,0)),0)</f>
        <v>0</v>
      </c>
      <c r="M494" s="12">
        <f>IFERROR($J494/100*INDEX(Продукты!$I$6:$I$66,MATCH($E494,Продукты!$A$6:$A$66,0)),0)</f>
        <v>0</v>
      </c>
      <c r="N494" s="12">
        <f>IFERROR($J494/100*INDEX(Продукты!$J$6:$J$66,MATCH($E494,Продукты!$A$6:$A$66,0)),0)</f>
        <v>0</v>
      </c>
      <c r="O494" s="3" t="str">
        <f>IFERROR(IF(IFERROR(INDEX(Рецепты!$H$6:$H$85,MATCH(Меню!$D$25,Рецепты!$H$6:$H$85,0)+13)=Меню!$D$25,FALSE),INDEX(Рецепты!$N$6:$N$85,MATCH(Меню!$D$25,Рецепты!$H$6:$H$85,0)+13),""),"")</f>
        <v/>
      </c>
    </row>
    <row r="495" spans="1:15">
      <c r="A495" s="3" t="str">
        <f>IF($E495="","",Меню!$A$25)</f>
        <v/>
      </c>
      <c r="B495" s="3" t="str">
        <f>IF($E495="","",Меню!$B$25)</f>
        <v/>
      </c>
      <c r="C495" s="3" t="str">
        <f>IF($E495="","",Меню!$C$25)</f>
        <v/>
      </c>
      <c r="D495" s="3" t="str">
        <f>IF($E495="","",Меню!$D$25)</f>
        <v/>
      </c>
      <c r="E495" s="3" t="str">
        <f>IFERROR(IF(IFERROR(INDEX(Рецепты!$H$6:$H$85,MATCH(Меню!$D$25,Рецепты!$H$6:$H$85,0)+14)=Меню!$D$25,FALSE),INDEX(Рецепты!$J$6:$J$85,MATCH(Меню!$D$25,Рецепты!$H$6:$H$85,0)+14),""),"")</f>
        <v/>
      </c>
      <c r="F495" s="3" t="str">
        <f>IF($E495="","",INDEX(Рецепты!$K$6:$K$85,MATCH(Меню!$D$25,Рецепты!$H$6:$H$85,0)+14))</f>
        <v/>
      </c>
      <c r="G495" s="3" t="str">
        <f>IF($E495="","",INDEX(Рецепты!$M$6:$M$85,MATCH(Меню!$D$25,Рецепты!$H$6:$H$85,0)+14))</f>
        <v/>
      </c>
      <c r="H495" s="12">
        <f>IFERROR(IF(IFERROR(INDEX(Рецепты!$H$6:$H$85,MATCH(Меню!$D$25,Рецепты!$H$6:$H$85,0)+14)=Меню!$D$25,FALSE),INDEX(Рецепты!$L$6:$L$85,MATCH(Меню!$D$25,Рецепты!$H$6:$H$85,0)+14),0),0)</f>
        <v>0</v>
      </c>
      <c r="I495" s="12" t="str">
        <f>IF($F495="","",Меню!$E$25)</f>
        <v/>
      </c>
      <c r="J495" s="12">
        <f t="shared" si="7"/>
        <v>0</v>
      </c>
      <c r="K495" s="12">
        <f>IFERROR($J495/100*INDEX(Продукты!$G$6:$G$66,MATCH($E495,Продукты!$A$6:$A$66,0)),0)</f>
        <v>0</v>
      </c>
      <c r="L495" s="12">
        <f>IFERROR($J495/100*INDEX(Продукты!$H$6:$H$66,MATCH($E495,Продукты!$A$6:$A$66,0)),0)</f>
        <v>0</v>
      </c>
      <c r="M495" s="12">
        <f>IFERROR($J495/100*INDEX(Продукты!$I$6:$I$66,MATCH($E495,Продукты!$A$6:$A$66,0)),0)</f>
        <v>0</v>
      </c>
      <c r="N495" s="12">
        <f>IFERROR($J495/100*INDEX(Продукты!$J$6:$J$66,MATCH($E495,Продукты!$A$6:$A$66,0)),0)</f>
        <v>0</v>
      </c>
      <c r="O495" s="3" t="str">
        <f>IFERROR(IF(IFERROR(INDEX(Рецепты!$H$6:$H$85,MATCH(Меню!$D$25,Рецепты!$H$6:$H$85,0)+14)=Меню!$D$25,FALSE),INDEX(Рецепты!$N$6:$N$85,MATCH(Меню!$D$25,Рецепты!$H$6:$H$85,0)+14),""),"")</f>
        <v/>
      </c>
    </row>
    <row r="496" spans="1:15">
      <c r="A496" s="3" t="str">
        <f>IF($E496="","",Меню!$A$25)</f>
        <v/>
      </c>
      <c r="B496" s="3" t="str">
        <f>IF($E496="","",Меню!$B$25)</f>
        <v/>
      </c>
      <c r="C496" s="3" t="str">
        <f>IF($E496="","",Меню!$C$25)</f>
        <v/>
      </c>
      <c r="D496" s="3" t="str">
        <f>IF($E496="","",Меню!$D$25)</f>
        <v/>
      </c>
      <c r="E496" s="3" t="str">
        <f>IFERROR(IF(IFERROR(INDEX(Рецепты!$H$6:$H$85,MATCH(Меню!$D$25,Рецепты!$H$6:$H$85,0)+15)=Меню!$D$25,FALSE),INDEX(Рецепты!$J$6:$J$85,MATCH(Меню!$D$25,Рецепты!$H$6:$H$85,0)+15),""),"")</f>
        <v/>
      </c>
      <c r="F496" s="3" t="str">
        <f>IF($E496="","",INDEX(Рецепты!$K$6:$K$85,MATCH(Меню!$D$25,Рецепты!$H$6:$H$85,0)+15))</f>
        <v/>
      </c>
      <c r="G496" s="3" t="str">
        <f>IF($E496="","",INDEX(Рецепты!$M$6:$M$85,MATCH(Меню!$D$25,Рецепты!$H$6:$H$85,0)+15))</f>
        <v/>
      </c>
      <c r="H496" s="12">
        <f>IFERROR(IF(IFERROR(INDEX(Рецепты!$H$6:$H$85,MATCH(Меню!$D$25,Рецепты!$H$6:$H$85,0)+15)=Меню!$D$25,FALSE),INDEX(Рецепты!$L$6:$L$85,MATCH(Меню!$D$25,Рецепты!$H$6:$H$85,0)+15),0),0)</f>
        <v>0</v>
      </c>
      <c r="I496" s="12" t="str">
        <f>IF($F496="","",Меню!$E$25)</f>
        <v/>
      </c>
      <c r="J496" s="12">
        <f t="shared" si="7"/>
        <v>0</v>
      </c>
      <c r="K496" s="12">
        <f>IFERROR($J496/100*INDEX(Продукты!$G$6:$G$66,MATCH($E496,Продукты!$A$6:$A$66,0)),0)</f>
        <v>0</v>
      </c>
      <c r="L496" s="12">
        <f>IFERROR($J496/100*INDEX(Продукты!$H$6:$H$66,MATCH($E496,Продукты!$A$6:$A$66,0)),0)</f>
        <v>0</v>
      </c>
      <c r="M496" s="12">
        <f>IFERROR($J496/100*INDEX(Продукты!$I$6:$I$66,MATCH($E496,Продукты!$A$6:$A$66,0)),0)</f>
        <v>0</v>
      </c>
      <c r="N496" s="12">
        <f>IFERROR($J496/100*INDEX(Продукты!$J$6:$J$66,MATCH($E496,Продукты!$A$6:$A$66,0)),0)</f>
        <v>0</v>
      </c>
      <c r="O496" s="3" t="str">
        <f>IFERROR(IF(IFERROR(INDEX(Рецепты!$H$6:$H$85,MATCH(Меню!$D$25,Рецепты!$H$6:$H$85,0)+15)=Меню!$D$25,FALSE),INDEX(Рецепты!$N$6:$N$85,MATCH(Меню!$D$25,Рецепты!$H$6:$H$85,0)+15),""),"")</f>
        <v/>
      </c>
    </row>
    <row r="497" spans="1:15">
      <c r="A497" s="3" t="str">
        <f>IF($E497="","",Меню!$A$25)</f>
        <v/>
      </c>
      <c r="B497" s="3" t="str">
        <f>IF($E497="","",Меню!$B$25)</f>
        <v/>
      </c>
      <c r="C497" s="3" t="str">
        <f>IF($E497="","",Меню!$C$25)</f>
        <v/>
      </c>
      <c r="D497" s="3" t="str">
        <f>IF($E497="","",Меню!$D$25)</f>
        <v/>
      </c>
      <c r="E497" s="3" t="str">
        <f>IFERROR(IF(IFERROR(INDEX(Рецепты!$H$6:$H$85,MATCH(Меню!$D$25,Рецепты!$H$6:$H$85,0)+16)=Меню!$D$25,FALSE),INDEX(Рецепты!$J$6:$J$85,MATCH(Меню!$D$25,Рецепты!$H$6:$H$85,0)+16),""),"")</f>
        <v/>
      </c>
      <c r="F497" s="3" t="str">
        <f>IF($E497="","",INDEX(Рецепты!$K$6:$K$85,MATCH(Меню!$D$25,Рецепты!$H$6:$H$85,0)+16))</f>
        <v/>
      </c>
      <c r="G497" s="3" t="str">
        <f>IF($E497="","",INDEX(Рецепты!$M$6:$M$85,MATCH(Меню!$D$25,Рецепты!$H$6:$H$85,0)+16))</f>
        <v/>
      </c>
      <c r="H497" s="12">
        <f>IFERROR(IF(IFERROR(INDEX(Рецепты!$H$6:$H$85,MATCH(Меню!$D$25,Рецепты!$H$6:$H$85,0)+16)=Меню!$D$25,FALSE),INDEX(Рецепты!$L$6:$L$85,MATCH(Меню!$D$25,Рецепты!$H$6:$H$85,0)+16),0),0)</f>
        <v>0</v>
      </c>
      <c r="I497" s="12" t="str">
        <f>IF($F497="","",Меню!$E$25)</f>
        <v/>
      </c>
      <c r="J497" s="12">
        <f t="shared" si="7"/>
        <v>0</v>
      </c>
      <c r="K497" s="12">
        <f>IFERROR($J497/100*INDEX(Продукты!$G$6:$G$66,MATCH($E497,Продукты!$A$6:$A$66,0)),0)</f>
        <v>0</v>
      </c>
      <c r="L497" s="12">
        <f>IFERROR($J497/100*INDEX(Продукты!$H$6:$H$66,MATCH($E497,Продукты!$A$6:$A$66,0)),0)</f>
        <v>0</v>
      </c>
      <c r="M497" s="12">
        <f>IFERROR($J497/100*INDEX(Продукты!$I$6:$I$66,MATCH($E497,Продукты!$A$6:$A$66,0)),0)</f>
        <v>0</v>
      </c>
      <c r="N497" s="12">
        <f>IFERROR($J497/100*INDEX(Продукты!$J$6:$J$66,MATCH($E497,Продукты!$A$6:$A$66,0)),0)</f>
        <v>0</v>
      </c>
      <c r="O497" s="3" t="str">
        <f>IFERROR(IF(IFERROR(INDEX(Рецепты!$H$6:$H$85,MATCH(Меню!$D$25,Рецепты!$H$6:$H$85,0)+16)=Меню!$D$25,FALSE),INDEX(Рецепты!$N$6:$N$85,MATCH(Меню!$D$25,Рецепты!$H$6:$H$85,0)+16),""),"")</f>
        <v/>
      </c>
    </row>
    <row r="498" spans="1:15">
      <c r="A498" s="3" t="str">
        <f>IF($E498="","",Меню!$A$25)</f>
        <v/>
      </c>
      <c r="B498" s="3" t="str">
        <f>IF($E498="","",Меню!$B$25)</f>
        <v/>
      </c>
      <c r="C498" s="3" t="str">
        <f>IF($E498="","",Меню!$C$25)</f>
        <v/>
      </c>
      <c r="D498" s="3" t="str">
        <f>IF($E498="","",Меню!$D$25)</f>
        <v/>
      </c>
      <c r="E498" s="3" t="str">
        <f>IFERROR(IF(IFERROR(INDEX(Рецепты!$H$6:$H$85,MATCH(Меню!$D$25,Рецепты!$H$6:$H$85,0)+17)=Меню!$D$25,FALSE),INDEX(Рецепты!$J$6:$J$85,MATCH(Меню!$D$25,Рецепты!$H$6:$H$85,0)+17),""),"")</f>
        <v/>
      </c>
      <c r="F498" s="3" t="str">
        <f>IF($E498="","",INDEX(Рецепты!$K$6:$K$85,MATCH(Меню!$D$25,Рецепты!$H$6:$H$85,0)+17))</f>
        <v/>
      </c>
      <c r="G498" s="3" t="str">
        <f>IF($E498="","",INDEX(Рецепты!$M$6:$M$85,MATCH(Меню!$D$25,Рецепты!$H$6:$H$85,0)+17))</f>
        <v/>
      </c>
      <c r="H498" s="12">
        <f>IFERROR(IF(IFERROR(INDEX(Рецепты!$H$6:$H$85,MATCH(Меню!$D$25,Рецепты!$H$6:$H$85,0)+17)=Меню!$D$25,FALSE),INDEX(Рецепты!$L$6:$L$85,MATCH(Меню!$D$25,Рецепты!$H$6:$H$85,0)+17),0),0)</f>
        <v>0</v>
      </c>
      <c r="I498" s="12" t="str">
        <f>IF($F498="","",Меню!$E$25)</f>
        <v/>
      </c>
      <c r="J498" s="12">
        <f t="shared" si="7"/>
        <v>0</v>
      </c>
      <c r="K498" s="12">
        <f>IFERROR($J498/100*INDEX(Продукты!$G$6:$G$66,MATCH($E498,Продукты!$A$6:$A$66,0)),0)</f>
        <v>0</v>
      </c>
      <c r="L498" s="12">
        <f>IFERROR($J498/100*INDEX(Продукты!$H$6:$H$66,MATCH($E498,Продукты!$A$6:$A$66,0)),0)</f>
        <v>0</v>
      </c>
      <c r="M498" s="12">
        <f>IFERROR($J498/100*INDEX(Продукты!$I$6:$I$66,MATCH($E498,Продукты!$A$6:$A$66,0)),0)</f>
        <v>0</v>
      </c>
      <c r="N498" s="12">
        <f>IFERROR($J498/100*INDEX(Продукты!$J$6:$J$66,MATCH($E498,Продукты!$A$6:$A$66,0)),0)</f>
        <v>0</v>
      </c>
      <c r="O498" s="3" t="str">
        <f>IFERROR(IF(IFERROR(INDEX(Рецепты!$H$6:$H$85,MATCH(Меню!$D$25,Рецепты!$H$6:$H$85,0)+17)=Меню!$D$25,FALSE),INDEX(Рецепты!$N$6:$N$85,MATCH(Меню!$D$25,Рецепты!$H$6:$H$85,0)+17),""),"")</f>
        <v/>
      </c>
    </row>
    <row r="499" spans="1:15">
      <c r="A499" s="3" t="str">
        <f>IF($E499="","",Меню!$A$25)</f>
        <v/>
      </c>
      <c r="B499" s="3" t="str">
        <f>IF($E499="","",Меню!$B$25)</f>
        <v/>
      </c>
      <c r="C499" s="3" t="str">
        <f>IF($E499="","",Меню!$C$25)</f>
        <v/>
      </c>
      <c r="D499" s="3" t="str">
        <f>IF($E499="","",Меню!$D$25)</f>
        <v/>
      </c>
      <c r="E499" s="3" t="str">
        <f>IFERROR(IF(IFERROR(INDEX(Рецепты!$H$6:$H$85,MATCH(Меню!$D$25,Рецепты!$H$6:$H$85,0)+18)=Меню!$D$25,FALSE),INDEX(Рецепты!$J$6:$J$85,MATCH(Меню!$D$25,Рецепты!$H$6:$H$85,0)+18),""),"")</f>
        <v/>
      </c>
      <c r="F499" s="3" t="str">
        <f>IF($E499="","",INDEX(Рецепты!$K$6:$K$85,MATCH(Меню!$D$25,Рецепты!$H$6:$H$85,0)+18))</f>
        <v/>
      </c>
      <c r="G499" s="3" t="str">
        <f>IF($E499="","",INDEX(Рецепты!$M$6:$M$85,MATCH(Меню!$D$25,Рецепты!$H$6:$H$85,0)+18))</f>
        <v/>
      </c>
      <c r="H499" s="12">
        <f>IFERROR(IF(IFERROR(INDEX(Рецепты!$H$6:$H$85,MATCH(Меню!$D$25,Рецепты!$H$6:$H$85,0)+18)=Меню!$D$25,FALSE),INDEX(Рецепты!$L$6:$L$85,MATCH(Меню!$D$25,Рецепты!$H$6:$H$85,0)+18),0),0)</f>
        <v>0</v>
      </c>
      <c r="I499" s="12" t="str">
        <f>IF($F499="","",Меню!$E$25)</f>
        <v/>
      </c>
      <c r="J499" s="12">
        <f t="shared" si="7"/>
        <v>0</v>
      </c>
      <c r="K499" s="12">
        <f>IFERROR($J499/100*INDEX(Продукты!$G$6:$G$66,MATCH($E499,Продукты!$A$6:$A$66,0)),0)</f>
        <v>0</v>
      </c>
      <c r="L499" s="12">
        <f>IFERROR($J499/100*INDEX(Продукты!$H$6:$H$66,MATCH($E499,Продукты!$A$6:$A$66,0)),0)</f>
        <v>0</v>
      </c>
      <c r="M499" s="12">
        <f>IFERROR($J499/100*INDEX(Продукты!$I$6:$I$66,MATCH($E499,Продукты!$A$6:$A$66,0)),0)</f>
        <v>0</v>
      </c>
      <c r="N499" s="12">
        <f>IFERROR($J499/100*INDEX(Продукты!$J$6:$J$66,MATCH($E499,Продукты!$A$6:$A$66,0)),0)</f>
        <v>0</v>
      </c>
      <c r="O499" s="3" t="str">
        <f>IFERROR(IF(IFERROR(INDEX(Рецепты!$H$6:$H$85,MATCH(Меню!$D$25,Рецепты!$H$6:$H$85,0)+18)=Меню!$D$25,FALSE),INDEX(Рецепты!$N$6:$N$85,MATCH(Меню!$D$25,Рецепты!$H$6:$H$85,0)+18),""),"")</f>
        <v/>
      </c>
    </row>
    <row r="500" spans="1:15">
      <c r="A500" s="3" t="str">
        <f>IF($E500="","",Меню!$A$25)</f>
        <v/>
      </c>
      <c r="B500" s="3" t="str">
        <f>IF($E500="","",Меню!$B$25)</f>
        <v/>
      </c>
      <c r="C500" s="3" t="str">
        <f>IF($E500="","",Меню!$C$25)</f>
        <v/>
      </c>
      <c r="D500" s="3" t="str">
        <f>IF($E500="","",Меню!$D$25)</f>
        <v/>
      </c>
      <c r="E500" s="3" t="str">
        <f>IFERROR(IF(IFERROR(INDEX(Рецепты!$H$6:$H$85,MATCH(Меню!$D$25,Рецепты!$H$6:$H$85,0)+19)=Меню!$D$25,FALSE),INDEX(Рецепты!$J$6:$J$85,MATCH(Меню!$D$25,Рецепты!$H$6:$H$85,0)+19),""),"")</f>
        <v/>
      </c>
      <c r="F500" s="3" t="str">
        <f>IF($E500="","",INDEX(Рецепты!$K$6:$K$85,MATCH(Меню!$D$25,Рецепты!$H$6:$H$85,0)+19))</f>
        <v/>
      </c>
      <c r="G500" s="3" t="str">
        <f>IF($E500="","",INDEX(Рецепты!$M$6:$M$85,MATCH(Меню!$D$25,Рецепты!$H$6:$H$85,0)+19))</f>
        <v/>
      </c>
      <c r="H500" s="12">
        <f>IFERROR(IF(IFERROR(INDEX(Рецепты!$H$6:$H$85,MATCH(Меню!$D$25,Рецепты!$H$6:$H$85,0)+19)=Меню!$D$25,FALSE),INDEX(Рецепты!$L$6:$L$85,MATCH(Меню!$D$25,Рецепты!$H$6:$H$85,0)+19),0),0)</f>
        <v>0</v>
      </c>
      <c r="I500" s="12" t="str">
        <f>IF($F500="","",Меню!$E$25)</f>
        <v/>
      </c>
      <c r="J500" s="12">
        <f t="shared" si="7"/>
        <v>0</v>
      </c>
      <c r="K500" s="12">
        <f>IFERROR($J500/100*INDEX(Продукты!$G$6:$G$66,MATCH($E500,Продукты!$A$6:$A$66,0)),0)</f>
        <v>0</v>
      </c>
      <c r="L500" s="12">
        <f>IFERROR($J500/100*INDEX(Продукты!$H$6:$H$66,MATCH($E500,Продукты!$A$6:$A$66,0)),0)</f>
        <v>0</v>
      </c>
      <c r="M500" s="12">
        <f>IFERROR($J500/100*INDEX(Продукты!$I$6:$I$66,MATCH($E500,Продукты!$A$6:$A$66,0)),0)</f>
        <v>0</v>
      </c>
      <c r="N500" s="12">
        <f>IFERROR($J500/100*INDEX(Продукты!$J$6:$J$66,MATCH($E500,Продукты!$A$6:$A$66,0)),0)</f>
        <v>0</v>
      </c>
      <c r="O500" s="3" t="str">
        <f>IFERROR(IF(IFERROR(INDEX(Рецепты!$H$6:$H$85,MATCH(Меню!$D$25,Рецепты!$H$6:$H$85,0)+19)=Меню!$D$25,FALSE),INDEX(Рецепты!$N$6:$N$85,MATCH(Меню!$D$25,Рецепты!$H$6:$H$85,0)+19),""),"")</f>
        <v/>
      </c>
    </row>
    <row r="501" spans="1:15">
      <c r="A501" s="3" t="str">
        <f>IF($E501="","",Меню!$A$25)</f>
        <v/>
      </c>
      <c r="B501" s="3" t="str">
        <f>IF($E501="","",Меню!$B$25)</f>
        <v/>
      </c>
      <c r="C501" s="3" t="str">
        <f>IF($E501="","",Меню!$C$25)</f>
        <v/>
      </c>
      <c r="D501" s="3" t="str">
        <f>IF($E501="","",Меню!$D$25)</f>
        <v/>
      </c>
      <c r="E501" s="3" t="str">
        <f>IFERROR(IF(IFERROR(INDEX(Рецепты!$H$6:$H$85,MATCH(Меню!$D$25,Рецепты!$H$6:$H$85,0)+20)=Меню!$D$25,FALSE),INDEX(Рецепты!$J$6:$J$85,MATCH(Меню!$D$25,Рецепты!$H$6:$H$85,0)+20),""),"")</f>
        <v/>
      </c>
      <c r="F501" s="3" t="str">
        <f>IF($E501="","",INDEX(Рецепты!$K$6:$K$85,MATCH(Меню!$D$25,Рецепты!$H$6:$H$85,0)+20))</f>
        <v/>
      </c>
      <c r="G501" s="3" t="str">
        <f>IF($E501="","",INDEX(Рецепты!$M$6:$M$85,MATCH(Меню!$D$25,Рецепты!$H$6:$H$85,0)+20))</f>
        <v/>
      </c>
      <c r="H501" s="12">
        <f>IFERROR(IF(IFERROR(INDEX(Рецепты!$H$6:$H$85,MATCH(Меню!$D$25,Рецепты!$H$6:$H$85,0)+20)=Меню!$D$25,FALSE),INDEX(Рецепты!$L$6:$L$85,MATCH(Меню!$D$25,Рецепты!$H$6:$H$85,0)+20),0),0)</f>
        <v>0</v>
      </c>
      <c r="I501" s="12" t="str">
        <f>IF($F501="","",Меню!$E$25)</f>
        <v/>
      </c>
      <c r="J501" s="12">
        <f t="shared" si="7"/>
        <v>0</v>
      </c>
      <c r="K501" s="12">
        <f>IFERROR($J501/100*INDEX(Продукты!$G$6:$G$66,MATCH($E501,Продукты!$A$6:$A$66,0)),0)</f>
        <v>0</v>
      </c>
      <c r="L501" s="12">
        <f>IFERROR($J501/100*INDEX(Продукты!$H$6:$H$66,MATCH($E501,Продукты!$A$6:$A$66,0)),0)</f>
        <v>0</v>
      </c>
      <c r="M501" s="12">
        <f>IFERROR($J501/100*INDEX(Продукты!$I$6:$I$66,MATCH($E501,Продукты!$A$6:$A$66,0)),0)</f>
        <v>0</v>
      </c>
      <c r="N501" s="12">
        <f>IFERROR($J501/100*INDEX(Продукты!$J$6:$J$66,MATCH($E501,Продукты!$A$6:$A$66,0)),0)</f>
        <v>0</v>
      </c>
      <c r="O501" s="3" t="str">
        <f>IFERROR(IF(IFERROR(INDEX(Рецепты!$H$6:$H$85,MATCH(Меню!$D$25,Рецепты!$H$6:$H$85,0)+20)=Меню!$D$25,FALSE),INDEX(Рецепты!$N$6:$N$85,MATCH(Меню!$D$25,Рецепты!$H$6:$H$85,0)+20),""),"")</f>
        <v/>
      </c>
    </row>
    <row r="502" spans="1:15">
      <c r="A502" s="3" t="str">
        <f>IF($E502="","",Меню!$A$25)</f>
        <v/>
      </c>
      <c r="B502" s="3" t="str">
        <f>IF($E502="","",Меню!$B$25)</f>
        <v/>
      </c>
      <c r="C502" s="3" t="str">
        <f>IF($E502="","",Меню!$C$25)</f>
        <v/>
      </c>
      <c r="D502" s="3" t="str">
        <f>IF($E502="","",Меню!$D$25)</f>
        <v/>
      </c>
      <c r="E502" s="3" t="str">
        <f>IFERROR(IF(IFERROR(INDEX(Рецепты!$H$6:$H$85,MATCH(Меню!$D$25,Рецепты!$H$6:$H$85,0)+21)=Меню!$D$25,FALSE),INDEX(Рецепты!$J$6:$J$85,MATCH(Меню!$D$25,Рецепты!$H$6:$H$85,0)+21),""),"")</f>
        <v/>
      </c>
      <c r="F502" s="3" t="str">
        <f>IF($E502="","",INDEX(Рецепты!$K$6:$K$85,MATCH(Меню!$D$25,Рецепты!$H$6:$H$85,0)+21))</f>
        <v/>
      </c>
      <c r="G502" s="3" t="str">
        <f>IF($E502="","",INDEX(Рецепты!$M$6:$M$85,MATCH(Меню!$D$25,Рецепты!$H$6:$H$85,0)+21))</f>
        <v/>
      </c>
      <c r="H502" s="12">
        <f>IFERROR(IF(IFERROR(INDEX(Рецепты!$H$6:$H$85,MATCH(Меню!$D$25,Рецепты!$H$6:$H$85,0)+21)=Меню!$D$25,FALSE),INDEX(Рецепты!$L$6:$L$85,MATCH(Меню!$D$25,Рецепты!$H$6:$H$85,0)+21),0),0)</f>
        <v>0</v>
      </c>
      <c r="I502" s="12" t="str">
        <f>IF($F502="","",Меню!$E$25)</f>
        <v/>
      </c>
      <c r="J502" s="12">
        <f t="shared" si="7"/>
        <v>0</v>
      </c>
      <c r="K502" s="12">
        <f>IFERROR($J502/100*INDEX(Продукты!$G$6:$G$66,MATCH($E502,Продукты!$A$6:$A$66,0)),0)</f>
        <v>0</v>
      </c>
      <c r="L502" s="12">
        <f>IFERROR($J502/100*INDEX(Продукты!$H$6:$H$66,MATCH($E502,Продукты!$A$6:$A$66,0)),0)</f>
        <v>0</v>
      </c>
      <c r="M502" s="12">
        <f>IFERROR($J502/100*INDEX(Продукты!$I$6:$I$66,MATCH($E502,Продукты!$A$6:$A$66,0)),0)</f>
        <v>0</v>
      </c>
      <c r="N502" s="12">
        <f>IFERROR($J502/100*INDEX(Продукты!$J$6:$J$66,MATCH($E502,Продукты!$A$6:$A$66,0)),0)</f>
        <v>0</v>
      </c>
      <c r="O502" s="3" t="str">
        <f>IFERROR(IF(IFERROR(INDEX(Рецепты!$H$6:$H$85,MATCH(Меню!$D$25,Рецепты!$H$6:$H$85,0)+21)=Меню!$D$25,FALSE),INDEX(Рецепты!$N$6:$N$85,MATCH(Меню!$D$25,Рецепты!$H$6:$H$85,0)+21),""),"")</f>
        <v/>
      </c>
    </row>
    <row r="503" spans="1:15">
      <c r="A503" s="3" t="str">
        <f>IF($E503="","",Меню!$A$25)</f>
        <v/>
      </c>
      <c r="B503" s="3" t="str">
        <f>IF($E503="","",Меню!$B$25)</f>
        <v/>
      </c>
      <c r="C503" s="3" t="str">
        <f>IF($E503="","",Меню!$C$25)</f>
        <v/>
      </c>
      <c r="D503" s="3" t="str">
        <f>IF($E503="","",Меню!$D$25)</f>
        <v/>
      </c>
      <c r="E503" s="3" t="str">
        <f>IFERROR(IF(IFERROR(INDEX(Рецепты!$H$6:$H$85,MATCH(Меню!$D$25,Рецепты!$H$6:$H$85,0)+22)=Меню!$D$25,FALSE),INDEX(Рецепты!$J$6:$J$85,MATCH(Меню!$D$25,Рецепты!$H$6:$H$85,0)+22),""),"")</f>
        <v/>
      </c>
      <c r="F503" s="3" t="str">
        <f>IF($E503="","",INDEX(Рецепты!$K$6:$K$85,MATCH(Меню!$D$25,Рецепты!$H$6:$H$85,0)+22))</f>
        <v/>
      </c>
      <c r="G503" s="3" t="str">
        <f>IF($E503="","",INDEX(Рецепты!$M$6:$M$85,MATCH(Меню!$D$25,Рецепты!$H$6:$H$85,0)+22))</f>
        <v/>
      </c>
      <c r="H503" s="12">
        <f>IFERROR(IF(IFERROR(INDEX(Рецепты!$H$6:$H$85,MATCH(Меню!$D$25,Рецепты!$H$6:$H$85,0)+22)=Меню!$D$25,FALSE),INDEX(Рецепты!$L$6:$L$85,MATCH(Меню!$D$25,Рецепты!$H$6:$H$85,0)+22),0),0)</f>
        <v>0</v>
      </c>
      <c r="I503" s="12" t="str">
        <f>IF($F503="","",Меню!$E$25)</f>
        <v/>
      </c>
      <c r="J503" s="12">
        <f t="shared" si="7"/>
        <v>0</v>
      </c>
      <c r="K503" s="12">
        <f>IFERROR($J503/100*INDEX(Продукты!$G$6:$G$66,MATCH($E503,Продукты!$A$6:$A$66,0)),0)</f>
        <v>0</v>
      </c>
      <c r="L503" s="12">
        <f>IFERROR($J503/100*INDEX(Продукты!$H$6:$H$66,MATCH($E503,Продукты!$A$6:$A$66,0)),0)</f>
        <v>0</v>
      </c>
      <c r="M503" s="12">
        <f>IFERROR($J503/100*INDEX(Продукты!$I$6:$I$66,MATCH($E503,Продукты!$A$6:$A$66,0)),0)</f>
        <v>0</v>
      </c>
      <c r="N503" s="12">
        <f>IFERROR($J503/100*INDEX(Продукты!$J$6:$J$66,MATCH($E503,Продукты!$A$6:$A$66,0)),0)</f>
        <v>0</v>
      </c>
      <c r="O503" s="3" t="str">
        <f>IFERROR(IF(IFERROR(INDEX(Рецепты!$H$6:$H$85,MATCH(Меню!$D$25,Рецепты!$H$6:$H$85,0)+22)=Меню!$D$25,FALSE),INDEX(Рецепты!$N$6:$N$85,MATCH(Меню!$D$25,Рецепты!$H$6:$H$85,0)+22),""),"")</f>
        <v/>
      </c>
    </row>
    <row r="504" spans="1:15">
      <c r="A504" s="3" t="str">
        <f>IF($E504="","",Меню!$A$25)</f>
        <v/>
      </c>
      <c r="B504" s="3" t="str">
        <f>IF($E504="","",Меню!$B$25)</f>
        <v/>
      </c>
      <c r="C504" s="3" t="str">
        <f>IF($E504="","",Меню!$C$25)</f>
        <v/>
      </c>
      <c r="D504" s="3" t="str">
        <f>IF($E504="","",Меню!$D$25)</f>
        <v/>
      </c>
      <c r="E504" s="3" t="str">
        <f>IFERROR(IF(IFERROR(INDEX(Рецепты!$H$6:$H$85,MATCH(Меню!$D$25,Рецепты!$H$6:$H$85,0)+23)=Меню!$D$25,FALSE),INDEX(Рецепты!$J$6:$J$85,MATCH(Меню!$D$25,Рецепты!$H$6:$H$85,0)+23),""),"")</f>
        <v/>
      </c>
      <c r="F504" s="3" t="str">
        <f>IF($E504="","",INDEX(Рецепты!$K$6:$K$85,MATCH(Меню!$D$25,Рецепты!$H$6:$H$85,0)+23))</f>
        <v/>
      </c>
      <c r="G504" s="3" t="str">
        <f>IF($E504="","",INDEX(Рецепты!$M$6:$M$85,MATCH(Меню!$D$25,Рецепты!$H$6:$H$85,0)+23))</f>
        <v/>
      </c>
      <c r="H504" s="12">
        <f>IFERROR(IF(IFERROR(INDEX(Рецепты!$H$6:$H$85,MATCH(Меню!$D$25,Рецепты!$H$6:$H$85,0)+23)=Меню!$D$25,FALSE),INDEX(Рецепты!$L$6:$L$85,MATCH(Меню!$D$25,Рецепты!$H$6:$H$85,0)+23),0),0)</f>
        <v>0</v>
      </c>
      <c r="I504" s="12" t="str">
        <f>IF($F504="","",Меню!$E$25)</f>
        <v/>
      </c>
      <c r="J504" s="12">
        <f t="shared" si="7"/>
        <v>0</v>
      </c>
      <c r="K504" s="12">
        <f>IFERROR($J504/100*INDEX(Продукты!$G$6:$G$66,MATCH($E504,Продукты!$A$6:$A$66,0)),0)</f>
        <v>0</v>
      </c>
      <c r="L504" s="12">
        <f>IFERROR($J504/100*INDEX(Продукты!$H$6:$H$66,MATCH($E504,Продукты!$A$6:$A$66,0)),0)</f>
        <v>0</v>
      </c>
      <c r="M504" s="12">
        <f>IFERROR($J504/100*INDEX(Продукты!$I$6:$I$66,MATCH($E504,Продукты!$A$6:$A$66,0)),0)</f>
        <v>0</v>
      </c>
      <c r="N504" s="12">
        <f>IFERROR($J504/100*INDEX(Продукты!$J$6:$J$66,MATCH($E504,Продукты!$A$6:$A$66,0)),0)</f>
        <v>0</v>
      </c>
      <c r="O504" s="3" t="str">
        <f>IFERROR(IF(IFERROR(INDEX(Рецепты!$H$6:$H$85,MATCH(Меню!$D$25,Рецепты!$H$6:$H$85,0)+23)=Меню!$D$25,FALSE),INDEX(Рецепты!$N$6:$N$85,MATCH(Меню!$D$25,Рецепты!$H$6:$H$85,0)+23),""),"")</f>
        <v/>
      </c>
    </row>
    <row r="505" spans="1:15">
      <c r="A505" s="3" t="str">
        <f>IF($E505="","",Меню!$A$25)</f>
        <v/>
      </c>
      <c r="B505" s="3" t="str">
        <f>IF($E505="","",Меню!$B$25)</f>
        <v/>
      </c>
      <c r="C505" s="3" t="str">
        <f>IF($E505="","",Меню!$C$25)</f>
        <v/>
      </c>
      <c r="D505" s="3" t="str">
        <f>IF($E505="","",Меню!$D$25)</f>
        <v/>
      </c>
      <c r="E505" s="3" t="str">
        <f>IFERROR(IF(IFERROR(INDEX(Рецепты!$H$6:$H$85,MATCH(Меню!$D$25,Рецепты!$H$6:$H$85,0)+24)=Меню!$D$25,FALSE),INDEX(Рецепты!$J$6:$J$85,MATCH(Меню!$D$25,Рецепты!$H$6:$H$85,0)+24),""),"")</f>
        <v/>
      </c>
      <c r="F505" s="3" t="str">
        <f>IF($E505="","",INDEX(Рецепты!$K$6:$K$85,MATCH(Меню!$D$25,Рецепты!$H$6:$H$85,0)+24))</f>
        <v/>
      </c>
      <c r="G505" s="3" t="str">
        <f>IF($E505="","",INDEX(Рецепты!$M$6:$M$85,MATCH(Меню!$D$25,Рецепты!$H$6:$H$85,0)+24))</f>
        <v/>
      </c>
      <c r="H505" s="12">
        <f>IFERROR(IF(IFERROR(INDEX(Рецепты!$H$6:$H$85,MATCH(Меню!$D$25,Рецепты!$H$6:$H$85,0)+24)=Меню!$D$25,FALSE),INDEX(Рецепты!$L$6:$L$85,MATCH(Меню!$D$25,Рецепты!$H$6:$H$85,0)+24),0),0)</f>
        <v>0</v>
      </c>
      <c r="I505" s="12" t="str">
        <f>IF($F505="","",Меню!$E$25)</f>
        <v/>
      </c>
      <c r="J505" s="12">
        <f t="shared" si="7"/>
        <v>0</v>
      </c>
      <c r="K505" s="12">
        <f>IFERROR($J505/100*INDEX(Продукты!$G$6:$G$66,MATCH($E505,Продукты!$A$6:$A$66,0)),0)</f>
        <v>0</v>
      </c>
      <c r="L505" s="12">
        <f>IFERROR($J505/100*INDEX(Продукты!$H$6:$H$66,MATCH($E505,Продукты!$A$6:$A$66,0)),0)</f>
        <v>0</v>
      </c>
      <c r="M505" s="12">
        <f>IFERROR($J505/100*INDEX(Продукты!$I$6:$I$66,MATCH($E505,Продукты!$A$6:$A$66,0)),0)</f>
        <v>0</v>
      </c>
      <c r="N505" s="12">
        <f>IFERROR($J505/100*INDEX(Продукты!$J$6:$J$66,MATCH($E505,Продукты!$A$6:$A$66,0)),0)</f>
        <v>0</v>
      </c>
      <c r="O505" s="3" t="str">
        <f>IFERROR(IF(IFERROR(INDEX(Рецепты!$H$6:$H$85,MATCH(Меню!$D$25,Рецепты!$H$6:$H$85,0)+24)=Меню!$D$25,FALSE),INDEX(Рецепты!$N$6:$N$85,MATCH(Меню!$D$25,Рецепты!$H$6:$H$85,0)+24),""),"")</f>
        <v/>
      </c>
    </row>
    <row r="506" spans="1:15">
      <c r="A506" s="3" t="str">
        <f>IF($E506="","",Меню!$A$26)</f>
        <v/>
      </c>
      <c r="B506" s="3" t="str">
        <f>IF($E506="","",Меню!$B$26)</f>
        <v/>
      </c>
      <c r="C506" s="3" t="str">
        <f>IF($E506="","",Меню!$C$26)</f>
        <v/>
      </c>
      <c r="D506" s="3" t="str">
        <f>IF($E506="","",Меню!$D$26)</f>
        <v/>
      </c>
      <c r="E506" s="3" t="str">
        <f>IFERROR(IF(IFERROR(INDEX(Рецепты!$H$6:$H$85,MATCH(Меню!$D$26,Рецепты!$H$6:$H$85,0)+0)=Меню!$D$26,FALSE),INDEX(Рецепты!$J$6:$J$85,MATCH(Меню!$D$26,Рецепты!$H$6:$H$85,0)+0),""),"")</f>
        <v/>
      </c>
      <c r="F506" s="3" t="str">
        <f>IF($E506="","",INDEX(Рецепты!$K$6:$K$85,MATCH(Меню!$D$26,Рецепты!$H$6:$H$85,0)+0))</f>
        <v/>
      </c>
      <c r="G506" s="3" t="str">
        <f>IF($E506="","",INDEX(Рецепты!$M$6:$M$85,MATCH(Меню!$D$26,Рецепты!$H$6:$H$85,0)+0))</f>
        <v/>
      </c>
      <c r="H506" s="12">
        <f>IFERROR(IF(IFERROR(INDEX(Рецепты!$H$6:$H$85,MATCH(Меню!$D$26,Рецепты!$H$6:$H$85,0)+0)=Меню!$D$26,FALSE),INDEX(Рецепты!$L$6:$L$85,MATCH(Меню!$D$26,Рецепты!$H$6:$H$85,0)+0),0),0)</f>
        <v>0</v>
      </c>
      <c r="I506" s="12" t="str">
        <f>IF($F506="","",Меню!$E$26)</f>
        <v/>
      </c>
      <c r="J506" s="12">
        <f t="shared" si="7"/>
        <v>0</v>
      </c>
      <c r="K506" s="12">
        <f>IFERROR($J506/100*INDEX(Продукты!$G$6:$G$66,MATCH($E506,Продукты!$A$6:$A$66,0)),0)</f>
        <v>0</v>
      </c>
      <c r="L506" s="12">
        <f>IFERROR($J506/100*INDEX(Продукты!$H$6:$H$66,MATCH($E506,Продукты!$A$6:$A$66,0)),0)</f>
        <v>0</v>
      </c>
      <c r="M506" s="12">
        <f>IFERROR($J506/100*INDEX(Продукты!$I$6:$I$66,MATCH($E506,Продукты!$A$6:$A$66,0)),0)</f>
        <v>0</v>
      </c>
      <c r="N506" s="12">
        <f>IFERROR($J506/100*INDEX(Продукты!$J$6:$J$66,MATCH($E506,Продукты!$A$6:$A$66,0)),0)</f>
        <v>0</v>
      </c>
      <c r="O506" s="3" t="str">
        <f>IFERROR(IF(IFERROR(INDEX(Рецепты!$H$6:$H$85,MATCH(Меню!$D$26,Рецепты!$H$6:$H$85,0)+0)=Меню!$D$26,FALSE),INDEX(Рецепты!$N$6:$N$85,MATCH(Меню!$D$26,Рецепты!$H$6:$H$85,0)+0),""),"")</f>
        <v/>
      </c>
    </row>
    <row r="507" spans="1:15">
      <c r="A507" s="3" t="str">
        <f>IF($E507="","",Меню!$A$26)</f>
        <v/>
      </c>
      <c r="B507" s="3" t="str">
        <f>IF($E507="","",Меню!$B$26)</f>
        <v/>
      </c>
      <c r="C507" s="3" t="str">
        <f>IF($E507="","",Меню!$C$26)</f>
        <v/>
      </c>
      <c r="D507" s="3" t="str">
        <f>IF($E507="","",Меню!$D$26)</f>
        <v/>
      </c>
      <c r="E507" s="3" t="str">
        <f>IFERROR(IF(IFERROR(INDEX(Рецепты!$H$6:$H$85,MATCH(Меню!$D$26,Рецепты!$H$6:$H$85,0)+1)=Меню!$D$26,FALSE),INDEX(Рецепты!$J$6:$J$85,MATCH(Меню!$D$26,Рецепты!$H$6:$H$85,0)+1),""),"")</f>
        <v/>
      </c>
      <c r="F507" s="3" t="str">
        <f>IF($E507="","",INDEX(Рецепты!$K$6:$K$85,MATCH(Меню!$D$26,Рецепты!$H$6:$H$85,0)+1))</f>
        <v/>
      </c>
      <c r="G507" s="3" t="str">
        <f>IF($E507="","",INDEX(Рецепты!$M$6:$M$85,MATCH(Меню!$D$26,Рецепты!$H$6:$H$85,0)+1))</f>
        <v/>
      </c>
      <c r="H507" s="12">
        <f>IFERROR(IF(IFERROR(INDEX(Рецепты!$H$6:$H$85,MATCH(Меню!$D$26,Рецепты!$H$6:$H$85,0)+1)=Меню!$D$26,FALSE),INDEX(Рецепты!$L$6:$L$85,MATCH(Меню!$D$26,Рецепты!$H$6:$H$85,0)+1),0),0)</f>
        <v>0</v>
      </c>
      <c r="I507" s="12" t="str">
        <f>IF($F507="","",Меню!$E$26)</f>
        <v/>
      </c>
      <c r="J507" s="12">
        <f t="shared" si="7"/>
        <v>0</v>
      </c>
      <c r="K507" s="12">
        <f>IFERROR($J507/100*INDEX(Продукты!$G$6:$G$66,MATCH($E507,Продукты!$A$6:$A$66,0)),0)</f>
        <v>0</v>
      </c>
      <c r="L507" s="12">
        <f>IFERROR($J507/100*INDEX(Продукты!$H$6:$H$66,MATCH($E507,Продукты!$A$6:$A$66,0)),0)</f>
        <v>0</v>
      </c>
      <c r="M507" s="12">
        <f>IFERROR($J507/100*INDEX(Продукты!$I$6:$I$66,MATCH($E507,Продукты!$A$6:$A$66,0)),0)</f>
        <v>0</v>
      </c>
      <c r="N507" s="12">
        <f>IFERROR($J507/100*INDEX(Продукты!$J$6:$J$66,MATCH($E507,Продукты!$A$6:$A$66,0)),0)</f>
        <v>0</v>
      </c>
      <c r="O507" s="3" t="str">
        <f>IFERROR(IF(IFERROR(INDEX(Рецепты!$H$6:$H$85,MATCH(Меню!$D$26,Рецепты!$H$6:$H$85,0)+1)=Меню!$D$26,FALSE),INDEX(Рецепты!$N$6:$N$85,MATCH(Меню!$D$26,Рецепты!$H$6:$H$85,0)+1),""),"")</f>
        <v/>
      </c>
    </row>
    <row r="508" spans="1:15">
      <c r="A508" s="3" t="str">
        <f>IF($E508="","",Меню!$A$26)</f>
        <v/>
      </c>
      <c r="B508" s="3" t="str">
        <f>IF($E508="","",Меню!$B$26)</f>
        <v/>
      </c>
      <c r="C508" s="3" t="str">
        <f>IF($E508="","",Меню!$C$26)</f>
        <v/>
      </c>
      <c r="D508" s="3" t="str">
        <f>IF($E508="","",Меню!$D$26)</f>
        <v/>
      </c>
      <c r="E508" s="3" t="str">
        <f>IFERROR(IF(IFERROR(INDEX(Рецепты!$H$6:$H$85,MATCH(Меню!$D$26,Рецепты!$H$6:$H$85,0)+2)=Меню!$D$26,FALSE),INDEX(Рецепты!$J$6:$J$85,MATCH(Меню!$D$26,Рецепты!$H$6:$H$85,0)+2),""),"")</f>
        <v/>
      </c>
      <c r="F508" s="3" t="str">
        <f>IF($E508="","",INDEX(Рецепты!$K$6:$K$85,MATCH(Меню!$D$26,Рецепты!$H$6:$H$85,0)+2))</f>
        <v/>
      </c>
      <c r="G508" s="3" t="str">
        <f>IF($E508="","",INDEX(Рецепты!$M$6:$M$85,MATCH(Меню!$D$26,Рецепты!$H$6:$H$85,0)+2))</f>
        <v/>
      </c>
      <c r="H508" s="12">
        <f>IFERROR(IF(IFERROR(INDEX(Рецепты!$H$6:$H$85,MATCH(Меню!$D$26,Рецепты!$H$6:$H$85,0)+2)=Меню!$D$26,FALSE),INDEX(Рецепты!$L$6:$L$85,MATCH(Меню!$D$26,Рецепты!$H$6:$H$85,0)+2),0),0)</f>
        <v>0</v>
      </c>
      <c r="I508" s="12" t="str">
        <f>IF($F508="","",Меню!$E$26)</f>
        <v/>
      </c>
      <c r="J508" s="12">
        <f t="shared" si="7"/>
        <v>0</v>
      </c>
      <c r="K508" s="12">
        <f>IFERROR($J508/100*INDEX(Продукты!$G$6:$G$66,MATCH($E508,Продукты!$A$6:$A$66,0)),0)</f>
        <v>0</v>
      </c>
      <c r="L508" s="12">
        <f>IFERROR($J508/100*INDEX(Продукты!$H$6:$H$66,MATCH($E508,Продукты!$A$6:$A$66,0)),0)</f>
        <v>0</v>
      </c>
      <c r="M508" s="12">
        <f>IFERROR($J508/100*INDEX(Продукты!$I$6:$I$66,MATCH($E508,Продукты!$A$6:$A$66,0)),0)</f>
        <v>0</v>
      </c>
      <c r="N508" s="12">
        <f>IFERROR($J508/100*INDEX(Продукты!$J$6:$J$66,MATCH($E508,Продукты!$A$6:$A$66,0)),0)</f>
        <v>0</v>
      </c>
      <c r="O508" s="3" t="str">
        <f>IFERROR(IF(IFERROR(INDEX(Рецепты!$H$6:$H$85,MATCH(Меню!$D$26,Рецепты!$H$6:$H$85,0)+2)=Меню!$D$26,FALSE),INDEX(Рецепты!$N$6:$N$85,MATCH(Меню!$D$26,Рецепты!$H$6:$H$85,0)+2),""),"")</f>
        <v/>
      </c>
    </row>
    <row r="509" spans="1:15">
      <c r="A509" s="3" t="str">
        <f>IF($E509="","",Меню!$A$26)</f>
        <v/>
      </c>
      <c r="B509" s="3" t="str">
        <f>IF($E509="","",Меню!$B$26)</f>
        <v/>
      </c>
      <c r="C509" s="3" t="str">
        <f>IF($E509="","",Меню!$C$26)</f>
        <v/>
      </c>
      <c r="D509" s="3" t="str">
        <f>IF($E509="","",Меню!$D$26)</f>
        <v/>
      </c>
      <c r="E509" s="3" t="str">
        <f>IFERROR(IF(IFERROR(INDEX(Рецепты!$H$6:$H$85,MATCH(Меню!$D$26,Рецепты!$H$6:$H$85,0)+3)=Меню!$D$26,FALSE),INDEX(Рецепты!$J$6:$J$85,MATCH(Меню!$D$26,Рецепты!$H$6:$H$85,0)+3),""),"")</f>
        <v/>
      </c>
      <c r="F509" s="3" t="str">
        <f>IF($E509="","",INDEX(Рецепты!$K$6:$K$85,MATCH(Меню!$D$26,Рецепты!$H$6:$H$85,0)+3))</f>
        <v/>
      </c>
      <c r="G509" s="3" t="str">
        <f>IF($E509="","",INDEX(Рецепты!$M$6:$M$85,MATCH(Меню!$D$26,Рецепты!$H$6:$H$85,0)+3))</f>
        <v/>
      </c>
      <c r="H509" s="12">
        <f>IFERROR(IF(IFERROR(INDEX(Рецепты!$H$6:$H$85,MATCH(Меню!$D$26,Рецепты!$H$6:$H$85,0)+3)=Меню!$D$26,FALSE),INDEX(Рецепты!$L$6:$L$85,MATCH(Меню!$D$26,Рецепты!$H$6:$H$85,0)+3),0),0)</f>
        <v>0</v>
      </c>
      <c r="I509" s="12" t="str">
        <f>IF($F509="","",Меню!$E$26)</f>
        <v/>
      </c>
      <c r="J509" s="12">
        <f t="shared" si="7"/>
        <v>0</v>
      </c>
      <c r="K509" s="12">
        <f>IFERROR($J509/100*INDEX(Продукты!$G$6:$G$66,MATCH($E509,Продукты!$A$6:$A$66,0)),0)</f>
        <v>0</v>
      </c>
      <c r="L509" s="12">
        <f>IFERROR($J509/100*INDEX(Продукты!$H$6:$H$66,MATCH($E509,Продукты!$A$6:$A$66,0)),0)</f>
        <v>0</v>
      </c>
      <c r="M509" s="12">
        <f>IFERROR($J509/100*INDEX(Продукты!$I$6:$I$66,MATCH($E509,Продукты!$A$6:$A$66,0)),0)</f>
        <v>0</v>
      </c>
      <c r="N509" s="12">
        <f>IFERROR($J509/100*INDEX(Продукты!$J$6:$J$66,MATCH($E509,Продукты!$A$6:$A$66,0)),0)</f>
        <v>0</v>
      </c>
      <c r="O509" s="3" t="str">
        <f>IFERROR(IF(IFERROR(INDEX(Рецепты!$H$6:$H$85,MATCH(Меню!$D$26,Рецепты!$H$6:$H$85,0)+3)=Меню!$D$26,FALSE),INDEX(Рецепты!$N$6:$N$85,MATCH(Меню!$D$26,Рецепты!$H$6:$H$85,0)+3),""),"")</f>
        <v/>
      </c>
    </row>
    <row r="510" spans="1:15">
      <c r="A510" s="3" t="str">
        <f>IF($E510="","",Меню!$A$26)</f>
        <v/>
      </c>
      <c r="B510" s="3" t="str">
        <f>IF($E510="","",Меню!$B$26)</f>
        <v/>
      </c>
      <c r="C510" s="3" t="str">
        <f>IF($E510="","",Меню!$C$26)</f>
        <v/>
      </c>
      <c r="D510" s="3" t="str">
        <f>IF($E510="","",Меню!$D$26)</f>
        <v/>
      </c>
      <c r="E510" s="3" t="str">
        <f>IFERROR(IF(IFERROR(INDEX(Рецепты!$H$6:$H$85,MATCH(Меню!$D$26,Рецепты!$H$6:$H$85,0)+4)=Меню!$D$26,FALSE),INDEX(Рецепты!$J$6:$J$85,MATCH(Меню!$D$26,Рецепты!$H$6:$H$85,0)+4),""),"")</f>
        <v/>
      </c>
      <c r="F510" s="3" t="str">
        <f>IF($E510="","",INDEX(Рецепты!$K$6:$K$85,MATCH(Меню!$D$26,Рецепты!$H$6:$H$85,0)+4))</f>
        <v/>
      </c>
      <c r="G510" s="3" t="str">
        <f>IF($E510="","",INDEX(Рецепты!$M$6:$M$85,MATCH(Меню!$D$26,Рецепты!$H$6:$H$85,0)+4))</f>
        <v/>
      </c>
      <c r="H510" s="12">
        <f>IFERROR(IF(IFERROR(INDEX(Рецепты!$H$6:$H$85,MATCH(Меню!$D$26,Рецепты!$H$6:$H$85,0)+4)=Меню!$D$26,FALSE),INDEX(Рецепты!$L$6:$L$85,MATCH(Меню!$D$26,Рецепты!$H$6:$H$85,0)+4),0),0)</f>
        <v>0</v>
      </c>
      <c r="I510" s="12" t="str">
        <f>IF($F510="","",Меню!$E$26)</f>
        <v/>
      </c>
      <c r="J510" s="12">
        <f t="shared" si="7"/>
        <v>0</v>
      </c>
      <c r="K510" s="12">
        <f>IFERROR($J510/100*INDEX(Продукты!$G$6:$G$66,MATCH($E510,Продукты!$A$6:$A$66,0)),0)</f>
        <v>0</v>
      </c>
      <c r="L510" s="12">
        <f>IFERROR($J510/100*INDEX(Продукты!$H$6:$H$66,MATCH($E510,Продукты!$A$6:$A$66,0)),0)</f>
        <v>0</v>
      </c>
      <c r="M510" s="12">
        <f>IFERROR($J510/100*INDEX(Продукты!$I$6:$I$66,MATCH($E510,Продукты!$A$6:$A$66,0)),0)</f>
        <v>0</v>
      </c>
      <c r="N510" s="12">
        <f>IFERROR($J510/100*INDEX(Продукты!$J$6:$J$66,MATCH($E510,Продукты!$A$6:$A$66,0)),0)</f>
        <v>0</v>
      </c>
      <c r="O510" s="3" t="str">
        <f>IFERROR(IF(IFERROR(INDEX(Рецепты!$H$6:$H$85,MATCH(Меню!$D$26,Рецепты!$H$6:$H$85,0)+4)=Меню!$D$26,FALSE),INDEX(Рецепты!$N$6:$N$85,MATCH(Меню!$D$26,Рецепты!$H$6:$H$85,0)+4),""),"")</f>
        <v/>
      </c>
    </row>
    <row r="511" spans="1:15">
      <c r="A511" s="3" t="str">
        <f>IF($E511="","",Меню!$A$26)</f>
        <v/>
      </c>
      <c r="B511" s="3" t="str">
        <f>IF($E511="","",Меню!$B$26)</f>
        <v/>
      </c>
      <c r="C511" s="3" t="str">
        <f>IF($E511="","",Меню!$C$26)</f>
        <v/>
      </c>
      <c r="D511" s="3" t="str">
        <f>IF($E511="","",Меню!$D$26)</f>
        <v/>
      </c>
      <c r="E511" s="3" t="str">
        <f>IFERROR(IF(IFERROR(INDEX(Рецепты!$H$6:$H$85,MATCH(Меню!$D$26,Рецепты!$H$6:$H$85,0)+5)=Меню!$D$26,FALSE),INDEX(Рецепты!$J$6:$J$85,MATCH(Меню!$D$26,Рецепты!$H$6:$H$85,0)+5),""),"")</f>
        <v/>
      </c>
      <c r="F511" s="3" t="str">
        <f>IF($E511="","",INDEX(Рецепты!$K$6:$K$85,MATCH(Меню!$D$26,Рецепты!$H$6:$H$85,0)+5))</f>
        <v/>
      </c>
      <c r="G511" s="3" t="str">
        <f>IF($E511="","",INDEX(Рецепты!$M$6:$M$85,MATCH(Меню!$D$26,Рецепты!$H$6:$H$85,0)+5))</f>
        <v/>
      </c>
      <c r="H511" s="12">
        <f>IFERROR(IF(IFERROR(INDEX(Рецепты!$H$6:$H$85,MATCH(Меню!$D$26,Рецепты!$H$6:$H$85,0)+5)=Меню!$D$26,FALSE),INDEX(Рецепты!$L$6:$L$85,MATCH(Меню!$D$26,Рецепты!$H$6:$H$85,0)+5),0),0)</f>
        <v>0</v>
      </c>
      <c r="I511" s="12" t="str">
        <f>IF($F511="","",Меню!$E$26)</f>
        <v/>
      </c>
      <c r="J511" s="12">
        <f t="shared" si="7"/>
        <v>0</v>
      </c>
      <c r="K511" s="12">
        <f>IFERROR($J511/100*INDEX(Продукты!$G$6:$G$66,MATCH($E511,Продукты!$A$6:$A$66,0)),0)</f>
        <v>0</v>
      </c>
      <c r="L511" s="12">
        <f>IFERROR($J511/100*INDEX(Продукты!$H$6:$H$66,MATCH($E511,Продукты!$A$6:$A$66,0)),0)</f>
        <v>0</v>
      </c>
      <c r="M511" s="12">
        <f>IFERROR($J511/100*INDEX(Продукты!$I$6:$I$66,MATCH($E511,Продукты!$A$6:$A$66,0)),0)</f>
        <v>0</v>
      </c>
      <c r="N511" s="12">
        <f>IFERROR($J511/100*INDEX(Продукты!$J$6:$J$66,MATCH($E511,Продукты!$A$6:$A$66,0)),0)</f>
        <v>0</v>
      </c>
      <c r="O511" s="3" t="str">
        <f>IFERROR(IF(IFERROR(INDEX(Рецепты!$H$6:$H$85,MATCH(Меню!$D$26,Рецепты!$H$6:$H$85,0)+5)=Меню!$D$26,FALSE),INDEX(Рецепты!$N$6:$N$85,MATCH(Меню!$D$26,Рецепты!$H$6:$H$85,0)+5),""),"")</f>
        <v/>
      </c>
    </row>
    <row r="512" spans="1:15">
      <c r="A512" s="3" t="str">
        <f>IF($E512="","",Меню!$A$26)</f>
        <v/>
      </c>
      <c r="B512" s="3" t="str">
        <f>IF($E512="","",Меню!$B$26)</f>
        <v/>
      </c>
      <c r="C512" s="3" t="str">
        <f>IF($E512="","",Меню!$C$26)</f>
        <v/>
      </c>
      <c r="D512" s="3" t="str">
        <f>IF($E512="","",Меню!$D$26)</f>
        <v/>
      </c>
      <c r="E512" s="3" t="str">
        <f>IFERROR(IF(IFERROR(INDEX(Рецепты!$H$6:$H$85,MATCH(Меню!$D$26,Рецепты!$H$6:$H$85,0)+6)=Меню!$D$26,FALSE),INDEX(Рецепты!$J$6:$J$85,MATCH(Меню!$D$26,Рецепты!$H$6:$H$85,0)+6),""),"")</f>
        <v/>
      </c>
      <c r="F512" s="3" t="str">
        <f>IF($E512="","",INDEX(Рецепты!$K$6:$K$85,MATCH(Меню!$D$26,Рецепты!$H$6:$H$85,0)+6))</f>
        <v/>
      </c>
      <c r="G512" s="3" t="str">
        <f>IF($E512="","",INDEX(Рецепты!$M$6:$M$85,MATCH(Меню!$D$26,Рецепты!$H$6:$H$85,0)+6))</f>
        <v/>
      </c>
      <c r="H512" s="12">
        <f>IFERROR(IF(IFERROR(INDEX(Рецепты!$H$6:$H$85,MATCH(Меню!$D$26,Рецепты!$H$6:$H$85,0)+6)=Меню!$D$26,FALSE),INDEX(Рецепты!$L$6:$L$85,MATCH(Меню!$D$26,Рецепты!$H$6:$H$85,0)+6),0),0)</f>
        <v>0</v>
      </c>
      <c r="I512" s="12" t="str">
        <f>IF($F512="","",Меню!$E$26)</f>
        <v/>
      </c>
      <c r="J512" s="12">
        <f t="shared" si="7"/>
        <v>0</v>
      </c>
      <c r="K512" s="12">
        <f>IFERROR($J512/100*INDEX(Продукты!$G$6:$G$66,MATCH($E512,Продукты!$A$6:$A$66,0)),0)</f>
        <v>0</v>
      </c>
      <c r="L512" s="12">
        <f>IFERROR($J512/100*INDEX(Продукты!$H$6:$H$66,MATCH($E512,Продукты!$A$6:$A$66,0)),0)</f>
        <v>0</v>
      </c>
      <c r="M512" s="12">
        <f>IFERROR($J512/100*INDEX(Продукты!$I$6:$I$66,MATCH($E512,Продукты!$A$6:$A$66,0)),0)</f>
        <v>0</v>
      </c>
      <c r="N512" s="12">
        <f>IFERROR($J512/100*INDEX(Продукты!$J$6:$J$66,MATCH($E512,Продукты!$A$6:$A$66,0)),0)</f>
        <v>0</v>
      </c>
      <c r="O512" s="3" t="str">
        <f>IFERROR(IF(IFERROR(INDEX(Рецепты!$H$6:$H$85,MATCH(Меню!$D$26,Рецепты!$H$6:$H$85,0)+6)=Меню!$D$26,FALSE),INDEX(Рецепты!$N$6:$N$85,MATCH(Меню!$D$26,Рецепты!$H$6:$H$85,0)+6),""),"")</f>
        <v/>
      </c>
    </row>
    <row r="513" spans="1:15">
      <c r="A513" s="3" t="str">
        <f>IF($E513="","",Меню!$A$26)</f>
        <v/>
      </c>
      <c r="B513" s="3" t="str">
        <f>IF($E513="","",Меню!$B$26)</f>
        <v/>
      </c>
      <c r="C513" s="3" t="str">
        <f>IF($E513="","",Меню!$C$26)</f>
        <v/>
      </c>
      <c r="D513" s="3" t="str">
        <f>IF($E513="","",Меню!$D$26)</f>
        <v/>
      </c>
      <c r="E513" s="3" t="str">
        <f>IFERROR(IF(IFERROR(INDEX(Рецепты!$H$6:$H$85,MATCH(Меню!$D$26,Рецепты!$H$6:$H$85,0)+7)=Меню!$D$26,FALSE),INDEX(Рецепты!$J$6:$J$85,MATCH(Меню!$D$26,Рецепты!$H$6:$H$85,0)+7),""),"")</f>
        <v/>
      </c>
      <c r="F513" s="3" t="str">
        <f>IF($E513="","",INDEX(Рецепты!$K$6:$K$85,MATCH(Меню!$D$26,Рецепты!$H$6:$H$85,0)+7))</f>
        <v/>
      </c>
      <c r="G513" s="3" t="str">
        <f>IF($E513="","",INDEX(Рецепты!$M$6:$M$85,MATCH(Меню!$D$26,Рецепты!$H$6:$H$85,0)+7))</f>
        <v/>
      </c>
      <c r="H513" s="12">
        <f>IFERROR(IF(IFERROR(INDEX(Рецепты!$H$6:$H$85,MATCH(Меню!$D$26,Рецепты!$H$6:$H$85,0)+7)=Меню!$D$26,FALSE),INDEX(Рецепты!$L$6:$L$85,MATCH(Меню!$D$26,Рецепты!$H$6:$H$85,0)+7),0),0)</f>
        <v>0</v>
      </c>
      <c r="I513" s="12" t="str">
        <f>IF($F513="","",Меню!$E$26)</f>
        <v/>
      </c>
      <c r="J513" s="12">
        <f t="shared" si="7"/>
        <v>0</v>
      </c>
      <c r="K513" s="12">
        <f>IFERROR($J513/100*INDEX(Продукты!$G$6:$G$66,MATCH($E513,Продукты!$A$6:$A$66,0)),0)</f>
        <v>0</v>
      </c>
      <c r="L513" s="12">
        <f>IFERROR($J513/100*INDEX(Продукты!$H$6:$H$66,MATCH($E513,Продукты!$A$6:$A$66,0)),0)</f>
        <v>0</v>
      </c>
      <c r="M513" s="12">
        <f>IFERROR($J513/100*INDEX(Продукты!$I$6:$I$66,MATCH($E513,Продукты!$A$6:$A$66,0)),0)</f>
        <v>0</v>
      </c>
      <c r="N513" s="12">
        <f>IFERROR($J513/100*INDEX(Продукты!$J$6:$J$66,MATCH($E513,Продукты!$A$6:$A$66,0)),0)</f>
        <v>0</v>
      </c>
      <c r="O513" s="3" t="str">
        <f>IFERROR(IF(IFERROR(INDEX(Рецепты!$H$6:$H$85,MATCH(Меню!$D$26,Рецепты!$H$6:$H$85,0)+7)=Меню!$D$26,FALSE),INDEX(Рецепты!$N$6:$N$85,MATCH(Меню!$D$26,Рецепты!$H$6:$H$85,0)+7),""),"")</f>
        <v/>
      </c>
    </row>
    <row r="514" spans="1:15">
      <c r="A514" s="3" t="str">
        <f>IF($E514="","",Меню!$A$26)</f>
        <v/>
      </c>
      <c r="B514" s="3" t="str">
        <f>IF($E514="","",Меню!$B$26)</f>
        <v/>
      </c>
      <c r="C514" s="3" t="str">
        <f>IF($E514="","",Меню!$C$26)</f>
        <v/>
      </c>
      <c r="D514" s="3" t="str">
        <f>IF($E514="","",Меню!$D$26)</f>
        <v/>
      </c>
      <c r="E514" s="3" t="str">
        <f>IFERROR(IF(IFERROR(INDEX(Рецепты!$H$6:$H$85,MATCH(Меню!$D$26,Рецепты!$H$6:$H$85,0)+8)=Меню!$D$26,FALSE),INDEX(Рецепты!$J$6:$J$85,MATCH(Меню!$D$26,Рецепты!$H$6:$H$85,0)+8),""),"")</f>
        <v/>
      </c>
      <c r="F514" s="3" t="str">
        <f>IF($E514="","",INDEX(Рецепты!$K$6:$K$85,MATCH(Меню!$D$26,Рецепты!$H$6:$H$85,0)+8))</f>
        <v/>
      </c>
      <c r="G514" s="3" t="str">
        <f>IF($E514="","",INDEX(Рецепты!$M$6:$M$85,MATCH(Меню!$D$26,Рецепты!$H$6:$H$85,0)+8))</f>
        <v/>
      </c>
      <c r="H514" s="12">
        <f>IFERROR(IF(IFERROR(INDEX(Рецепты!$H$6:$H$85,MATCH(Меню!$D$26,Рецепты!$H$6:$H$85,0)+8)=Меню!$D$26,FALSE),INDEX(Рецепты!$L$6:$L$85,MATCH(Меню!$D$26,Рецепты!$H$6:$H$85,0)+8),0),0)</f>
        <v>0</v>
      </c>
      <c r="I514" s="12" t="str">
        <f>IF($F514="","",Меню!$E$26)</f>
        <v/>
      </c>
      <c r="J514" s="12">
        <f t="shared" si="7"/>
        <v>0</v>
      </c>
      <c r="K514" s="12">
        <f>IFERROR($J514/100*INDEX(Продукты!$G$6:$G$66,MATCH($E514,Продукты!$A$6:$A$66,0)),0)</f>
        <v>0</v>
      </c>
      <c r="L514" s="12">
        <f>IFERROR($J514/100*INDEX(Продукты!$H$6:$H$66,MATCH($E514,Продукты!$A$6:$A$66,0)),0)</f>
        <v>0</v>
      </c>
      <c r="M514" s="12">
        <f>IFERROR($J514/100*INDEX(Продукты!$I$6:$I$66,MATCH($E514,Продукты!$A$6:$A$66,0)),0)</f>
        <v>0</v>
      </c>
      <c r="N514" s="12">
        <f>IFERROR($J514/100*INDEX(Продукты!$J$6:$J$66,MATCH($E514,Продукты!$A$6:$A$66,0)),0)</f>
        <v>0</v>
      </c>
      <c r="O514" s="3" t="str">
        <f>IFERROR(IF(IFERROR(INDEX(Рецепты!$H$6:$H$85,MATCH(Меню!$D$26,Рецепты!$H$6:$H$85,0)+8)=Меню!$D$26,FALSE),INDEX(Рецепты!$N$6:$N$85,MATCH(Меню!$D$26,Рецепты!$H$6:$H$85,0)+8),""),"")</f>
        <v/>
      </c>
    </row>
    <row r="515" spans="1:15">
      <c r="A515" s="3" t="str">
        <f>IF($E515="","",Меню!$A$26)</f>
        <v/>
      </c>
      <c r="B515" s="3" t="str">
        <f>IF($E515="","",Меню!$B$26)</f>
        <v/>
      </c>
      <c r="C515" s="3" t="str">
        <f>IF($E515="","",Меню!$C$26)</f>
        <v/>
      </c>
      <c r="D515" s="3" t="str">
        <f>IF($E515="","",Меню!$D$26)</f>
        <v/>
      </c>
      <c r="E515" s="3" t="str">
        <f>IFERROR(IF(IFERROR(INDEX(Рецепты!$H$6:$H$85,MATCH(Меню!$D$26,Рецепты!$H$6:$H$85,0)+9)=Меню!$D$26,FALSE),INDEX(Рецепты!$J$6:$J$85,MATCH(Меню!$D$26,Рецепты!$H$6:$H$85,0)+9),""),"")</f>
        <v/>
      </c>
      <c r="F515" s="3" t="str">
        <f>IF($E515="","",INDEX(Рецепты!$K$6:$K$85,MATCH(Меню!$D$26,Рецепты!$H$6:$H$85,0)+9))</f>
        <v/>
      </c>
      <c r="G515" s="3" t="str">
        <f>IF($E515="","",INDEX(Рецепты!$M$6:$M$85,MATCH(Меню!$D$26,Рецепты!$H$6:$H$85,0)+9))</f>
        <v/>
      </c>
      <c r="H515" s="12">
        <f>IFERROR(IF(IFERROR(INDEX(Рецепты!$H$6:$H$85,MATCH(Меню!$D$26,Рецепты!$H$6:$H$85,0)+9)=Меню!$D$26,FALSE),INDEX(Рецепты!$L$6:$L$85,MATCH(Меню!$D$26,Рецепты!$H$6:$H$85,0)+9),0),0)</f>
        <v>0</v>
      </c>
      <c r="I515" s="12" t="str">
        <f>IF($F515="","",Меню!$E$26)</f>
        <v/>
      </c>
      <c r="J515" s="12">
        <f t="shared" si="7"/>
        <v>0</v>
      </c>
      <c r="K515" s="12">
        <f>IFERROR($J515/100*INDEX(Продукты!$G$6:$G$66,MATCH($E515,Продукты!$A$6:$A$66,0)),0)</f>
        <v>0</v>
      </c>
      <c r="L515" s="12">
        <f>IFERROR($J515/100*INDEX(Продукты!$H$6:$H$66,MATCH($E515,Продукты!$A$6:$A$66,0)),0)</f>
        <v>0</v>
      </c>
      <c r="M515" s="12">
        <f>IFERROR($J515/100*INDEX(Продукты!$I$6:$I$66,MATCH($E515,Продукты!$A$6:$A$66,0)),0)</f>
        <v>0</v>
      </c>
      <c r="N515" s="12">
        <f>IFERROR($J515/100*INDEX(Продукты!$J$6:$J$66,MATCH($E515,Продукты!$A$6:$A$66,0)),0)</f>
        <v>0</v>
      </c>
      <c r="O515" s="3" t="str">
        <f>IFERROR(IF(IFERROR(INDEX(Рецепты!$H$6:$H$85,MATCH(Меню!$D$26,Рецепты!$H$6:$H$85,0)+9)=Меню!$D$26,FALSE),INDEX(Рецепты!$N$6:$N$85,MATCH(Меню!$D$26,Рецепты!$H$6:$H$85,0)+9),""),"")</f>
        <v/>
      </c>
    </row>
    <row r="516" spans="1:15">
      <c r="A516" s="3" t="str">
        <f>IF($E516="","",Меню!$A$26)</f>
        <v/>
      </c>
      <c r="B516" s="3" t="str">
        <f>IF($E516="","",Меню!$B$26)</f>
        <v/>
      </c>
      <c r="C516" s="3" t="str">
        <f>IF($E516="","",Меню!$C$26)</f>
        <v/>
      </c>
      <c r="D516" s="3" t="str">
        <f>IF($E516="","",Меню!$D$26)</f>
        <v/>
      </c>
      <c r="E516" s="3" t="str">
        <f>IFERROR(IF(IFERROR(INDEX(Рецепты!$H$6:$H$85,MATCH(Меню!$D$26,Рецепты!$H$6:$H$85,0)+10)=Меню!$D$26,FALSE),INDEX(Рецепты!$J$6:$J$85,MATCH(Меню!$D$26,Рецепты!$H$6:$H$85,0)+10),""),"")</f>
        <v/>
      </c>
      <c r="F516" s="3" t="str">
        <f>IF($E516="","",INDEX(Рецепты!$K$6:$K$85,MATCH(Меню!$D$26,Рецепты!$H$6:$H$85,0)+10))</f>
        <v/>
      </c>
      <c r="G516" s="3" t="str">
        <f>IF($E516="","",INDEX(Рецепты!$M$6:$M$85,MATCH(Меню!$D$26,Рецепты!$H$6:$H$85,0)+10))</f>
        <v/>
      </c>
      <c r="H516" s="12">
        <f>IFERROR(IF(IFERROR(INDEX(Рецепты!$H$6:$H$85,MATCH(Меню!$D$26,Рецепты!$H$6:$H$85,0)+10)=Меню!$D$26,FALSE),INDEX(Рецепты!$L$6:$L$85,MATCH(Меню!$D$26,Рецепты!$H$6:$H$85,0)+10),0),0)</f>
        <v>0</v>
      </c>
      <c r="I516" s="12" t="str">
        <f>IF($F516="","",Меню!$E$26)</f>
        <v/>
      </c>
      <c r="J516" s="12">
        <f t="shared" si="7"/>
        <v>0</v>
      </c>
      <c r="K516" s="12">
        <f>IFERROR($J516/100*INDEX(Продукты!$G$6:$G$66,MATCH($E516,Продукты!$A$6:$A$66,0)),0)</f>
        <v>0</v>
      </c>
      <c r="L516" s="12">
        <f>IFERROR($J516/100*INDEX(Продукты!$H$6:$H$66,MATCH($E516,Продукты!$A$6:$A$66,0)),0)</f>
        <v>0</v>
      </c>
      <c r="M516" s="12">
        <f>IFERROR($J516/100*INDEX(Продукты!$I$6:$I$66,MATCH($E516,Продукты!$A$6:$A$66,0)),0)</f>
        <v>0</v>
      </c>
      <c r="N516" s="12">
        <f>IFERROR($J516/100*INDEX(Продукты!$J$6:$J$66,MATCH($E516,Продукты!$A$6:$A$66,0)),0)</f>
        <v>0</v>
      </c>
      <c r="O516" s="3" t="str">
        <f>IFERROR(IF(IFERROR(INDEX(Рецепты!$H$6:$H$85,MATCH(Меню!$D$26,Рецепты!$H$6:$H$85,0)+10)=Меню!$D$26,FALSE),INDEX(Рецепты!$N$6:$N$85,MATCH(Меню!$D$26,Рецепты!$H$6:$H$85,0)+10),""),"")</f>
        <v/>
      </c>
    </row>
    <row r="517" spans="1:15">
      <c r="A517" s="3" t="str">
        <f>IF($E517="","",Меню!$A$26)</f>
        <v/>
      </c>
      <c r="B517" s="3" t="str">
        <f>IF($E517="","",Меню!$B$26)</f>
        <v/>
      </c>
      <c r="C517" s="3" t="str">
        <f>IF($E517="","",Меню!$C$26)</f>
        <v/>
      </c>
      <c r="D517" s="3" t="str">
        <f>IF($E517="","",Меню!$D$26)</f>
        <v/>
      </c>
      <c r="E517" s="3" t="str">
        <f>IFERROR(IF(IFERROR(INDEX(Рецепты!$H$6:$H$85,MATCH(Меню!$D$26,Рецепты!$H$6:$H$85,0)+11)=Меню!$D$26,FALSE),INDEX(Рецепты!$J$6:$J$85,MATCH(Меню!$D$26,Рецепты!$H$6:$H$85,0)+11),""),"")</f>
        <v/>
      </c>
      <c r="F517" s="3" t="str">
        <f>IF($E517="","",INDEX(Рецепты!$K$6:$K$85,MATCH(Меню!$D$26,Рецепты!$H$6:$H$85,0)+11))</f>
        <v/>
      </c>
      <c r="G517" s="3" t="str">
        <f>IF($E517="","",INDEX(Рецепты!$M$6:$M$85,MATCH(Меню!$D$26,Рецепты!$H$6:$H$85,0)+11))</f>
        <v/>
      </c>
      <c r="H517" s="12">
        <f>IFERROR(IF(IFERROR(INDEX(Рецепты!$H$6:$H$85,MATCH(Меню!$D$26,Рецепты!$H$6:$H$85,0)+11)=Меню!$D$26,FALSE),INDEX(Рецепты!$L$6:$L$85,MATCH(Меню!$D$26,Рецепты!$H$6:$H$85,0)+11),0),0)</f>
        <v>0</v>
      </c>
      <c r="I517" s="12" t="str">
        <f>IF($F517="","",Меню!$E$26)</f>
        <v/>
      </c>
      <c r="J517" s="12">
        <f t="shared" si="7"/>
        <v>0</v>
      </c>
      <c r="K517" s="12">
        <f>IFERROR($J517/100*INDEX(Продукты!$G$6:$G$66,MATCH($E517,Продукты!$A$6:$A$66,0)),0)</f>
        <v>0</v>
      </c>
      <c r="L517" s="12">
        <f>IFERROR($J517/100*INDEX(Продукты!$H$6:$H$66,MATCH($E517,Продукты!$A$6:$A$66,0)),0)</f>
        <v>0</v>
      </c>
      <c r="M517" s="12">
        <f>IFERROR($J517/100*INDEX(Продукты!$I$6:$I$66,MATCH($E517,Продукты!$A$6:$A$66,0)),0)</f>
        <v>0</v>
      </c>
      <c r="N517" s="12">
        <f>IFERROR($J517/100*INDEX(Продукты!$J$6:$J$66,MATCH($E517,Продукты!$A$6:$A$66,0)),0)</f>
        <v>0</v>
      </c>
      <c r="O517" s="3" t="str">
        <f>IFERROR(IF(IFERROR(INDEX(Рецепты!$H$6:$H$85,MATCH(Меню!$D$26,Рецепты!$H$6:$H$85,0)+11)=Меню!$D$26,FALSE),INDEX(Рецепты!$N$6:$N$85,MATCH(Меню!$D$26,Рецепты!$H$6:$H$85,0)+11),""),"")</f>
        <v/>
      </c>
    </row>
    <row r="518" spans="1:15">
      <c r="A518" s="3" t="str">
        <f>IF($E518="","",Меню!$A$26)</f>
        <v/>
      </c>
      <c r="B518" s="3" t="str">
        <f>IF($E518="","",Меню!$B$26)</f>
        <v/>
      </c>
      <c r="C518" s="3" t="str">
        <f>IF($E518="","",Меню!$C$26)</f>
        <v/>
      </c>
      <c r="D518" s="3" t="str">
        <f>IF($E518="","",Меню!$D$26)</f>
        <v/>
      </c>
      <c r="E518" s="3" t="str">
        <f>IFERROR(IF(IFERROR(INDEX(Рецепты!$H$6:$H$85,MATCH(Меню!$D$26,Рецепты!$H$6:$H$85,0)+12)=Меню!$D$26,FALSE),INDEX(Рецепты!$J$6:$J$85,MATCH(Меню!$D$26,Рецепты!$H$6:$H$85,0)+12),""),"")</f>
        <v/>
      </c>
      <c r="F518" s="3" t="str">
        <f>IF($E518="","",INDEX(Рецепты!$K$6:$K$85,MATCH(Меню!$D$26,Рецепты!$H$6:$H$85,0)+12))</f>
        <v/>
      </c>
      <c r="G518" s="3" t="str">
        <f>IF($E518="","",INDEX(Рецепты!$M$6:$M$85,MATCH(Меню!$D$26,Рецепты!$H$6:$H$85,0)+12))</f>
        <v/>
      </c>
      <c r="H518" s="12">
        <f>IFERROR(IF(IFERROR(INDEX(Рецепты!$H$6:$H$85,MATCH(Меню!$D$26,Рецепты!$H$6:$H$85,0)+12)=Меню!$D$26,FALSE),INDEX(Рецепты!$L$6:$L$85,MATCH(Меню!$D$26,Рецепты!$H$6:$H$85,0)+12),0),0)</f>
        <v>0</v>
      </c>
      <c r="I518" s="12" t="str">
        <f>IF($F518="","",Меню!$E$26)</f>
        <v/>
      </c>
      <c r="J518" s="12">
        <f t="shared" ref="J518:J581" si="8">IFERROR($H518*$I518,0)</f>
        <v>0</v>
      </c>
      <c r="K518" s="12">
        <f>IFERROR($J518/100*INDEX(Продукты!$G$6:$G$66,MATCH($E518,Продукты!$A$6:$A$66,0)),0)</f>
        <v>0</v>
      </c>
      <c r="L518" s="12">
        <f>IFERROR($J518/100*INDEX(Продукты!$H$6:$H$66,MATCH($E518,Продукты!$A$6:$A$66,0)),0)</f>
        <v>0</v>
      </c>
      <c r="M518" s="12">
        <f>IFERROR($J518/100*INDEX(Продукты!$I$6:$I$66,MATCH($E518,Продукты!$A$6:$A$66,0)),0)</f>
        <v>0</v>
      </c>
      <c r="N518" s="12">
        <f>IFERROR($J518/100*INDEX(Продукты!$J$6:$J$66,MATCH($E518,Продукты!$A$6:$A$66,0)),0)</f>
        <v>0</v>
      </c>
      <c r="O518" s="3" t="str">
        <f>IFERROR(IF(IFERROR(INDEX(Рецепты!$H$6:$H$85,MATCH(Меню!$D$26,Рецепты!$H$6:$H$85,0)+12)=Меню!$D$26,FALSE),INDEX(Рецепты!$N$6:$N$85,MATCH(Меню!$D$26,Рецепты!$H$6:$H$85,0)+12),""),"")</f>
        <v/>
      </c>
    </row>
    <row r="519" spans="1:15">
      <c r="A519" s="3" t="str">
        <f>IF($E519="","",Меню!$A$26)</f>
        <v/>
      </c>
      <c r="B519" s="3" t="str">
        <f>IF($E519="","",Меню!$B$26)</f>
        <v/>
      </c>
      <c r="C519" s="3" t="str">
        <f>IF($E519="","",Меню!$C$26)</f>
        <v/>
      </c>
      <c r="D519" s="3" t="str">
        <f>IF($E519="","",Меню!$D$26)</f>
        <v/>
      </c>
      <c r="E519" s="3" t="str">
        <f>IFERROR(IF(IFERROR(INDEX(Рецепты!$H$6:$H$85,MATCH(Меню!$D$26,Рецепты!$H$6:$H$85,0)+13)=Меню!$D$26,FALSE),INDEX(Рецепты!$J$6:$J$85,MATCH(Меню!$D$26,Рецепты!$H$6:$H$85,0)+13),""),"")</f>
        <v/>
      </c>
      <c r="F519" s="3" t="str">
        <f>IF($E519="","",INDEX(Рецепты!$K$6:$K$85,MATCH(Меню!$D$26,Рецепты!$H$6:$H$85,0)+13))</f>
        <v/>
      </c>
      <c r="G519" s="3" t="str">
        <f>IF($E519="","",INDEX(Рецепты!$M$6:$M$85,MATCH(Меню!$D$26,Рецепты!$H$6:$H$85,0)+13))</f>
        <v/>
      </c>
      <c r="H519" s="12">
        <f>IFERROR(IF(IFERROR(INDEX(Рецепты!$H$6:$H$85,MATCH(Меню!$D$26,Рецепты!$H$6:$H$85,0)+13)=Меню!$D$26,FALSE),INDEX(Рецепты!$L$6:$L$85,MATCH(Меню!$D$26,Рецепты!$H$6:$H$85,0)+13),0),0)</f>
        <v>0</v>
      </c>
      <c r="I519" s="12" t="str">
        <f>IF($F519="","",Меню!$E$26)</f>
        <v/>
      </c>
      <c r="J519" s="12">
        <f t="shared" si="8"/>
        <v>0</v>
      </c>
      <c r="K519" s="12">
        <f>IFERROR($J519/100*INDEX(Продукты!$G$6:$G$66,MATCH($E519,Продукты!$A$6:$A$66,0)),0)</f>
        <v>0</v>
      </c>
      <c r="L519" s="12">
        <f>IFERROR($J519/100*INDEX(Продукты!$H$6:$H$66,MATCH($E519,Продукты!$A$6:$A$66,0)),0)</f>
        <v>0</v>
      </c>
      <c r="M519" s="12">
        <f>IFERROR($J519/100*INDEX(Продукты!$I$6:$I$66,MATCH($E519,Продукты!$A$6:$A$66,0)),0)</f>
        <v>0</v>
      </c>
      <c r="N519" s="12">
        <f>IFERROR($J519/100*INDEX(Продукты!$J$6:$J$66,MATCH($E519,Продукты!$A$6:$A$66,0)),0)</f>
        <v>0</v>
      </c>
      <c r="O519" s="3" t="str">
        <f>IFERROR(IF(IFERROR(INDEX(Рецепты!$H$6:$H$85,MATCH(Меню!$D$26,Рецепты!$H$6:$H$85,0)+13)=Меню!$D$26,FALSE),INDEX(Рецепты!$N$6:$N$85,MATCH(Меню!$D$26,Рецепты!$H$6:$H$85,0)+13),""),"")</f>
        <v/>
      </c>
    </row>
    <row r="520" spans="1:15">
      <c r="A520" s="3" t="str">
        <f>IF($E520="","",Меню!$A$26)</f>
        <v/>
      </c>
      <c r="B520" s="3" t="str">
        <f>IF($E520="","",Меню!$B$26)</f>
        <v/>
      </c>
      <c r="C520" s="3" t="str">
        <f>IF($E520="","",Меню!$C$26)</f>
        <v/>
      </c>
      <c r="D520" s="3" t="str">
        <f>IF($E520="","",Меню!$D$26)</f>
        <v/>
      </c>
      <c r="E520" s="3" t="str">
        <f>IFERROR(IF(IFERROR(INDEX(Рецепты!$H$6:$H$85,MATCH(Меню!$D$26,Рецепты!$H$6:$H$85,0)+14)=Меню!$D$26,FALSE),INDEX(Рецепты!$J$6:$J$85,MATCH(Меню!$D$26,Рецепты!$H$6:$H$85,0)+14),""),"")</f>
        <v/>
      </c>
      <c r="F520" s="3" t="str">
        <f>IF($E520="","",INDEX(Рецепты!$K$6:$K$85,MATCH(Меню!$D$26,Рецепты!$H$6:$H$85,0)+14))</f>
        <v/>
      </c>
      <c r="G520" s="3" t="str">
        <f>IF($E520="","",INDEX(Рецепты!$M$6:$M$85,MATCH(Меню!$D$26,Рецепты!$H$6:$H$85,0)+14))</f>
        <v/>
      </c>
      <c r="H520" s="12">
        <f>IFERROR(IF(IFERROR(INDEX(Рецепты!$H$6:$H$85,MATCH(Меню!$D$26,Рецепты!$H$6:$H$85,0)+14)=Меню!$D$26,FALSE),INDEX(Рецепты!$L$6:$L$85,MATCH(Меню!$D$26,Рецепты!$H$6:$H$85,0)+14),0),0)</f>
        <v>0</v>
      </c>
      <c r="I520" s="12" t="str">
        <f>IF($F520="","",Меню!$E$26)</f>
        <v/>
      </c>
      <c r="J520" s="12">
        <f t="shared" si="8"/>
        <v>0</v>
      </c>
      <c r="K520" s="12">
        <f>IFERROR($J520/100*INDEX(Продукты!$G$6:$G$66,MATCH($E520,Продукты!$A$6:$A$66,0)),0)</f>
        <v>0</v>
      </c>
      <c r="L520" s="12">
        <f>IFERROR($J520/100*INDEX(Продукты!$H$6:$H$66,MATCH($E520,Продукты!$A$6:$A$66,0)),0)</f>
        <v>0</v>
      </c>
      <c r="M520" s="12">
        <f>IFERROR($J520/100*INDEX(Продукты!$I$6:$I$66,MATCH($E520,Продукты!$A$6:$A$66,0)),0)</f>
        <v>0</v>
      </c>
      <c r="N520" s="12">
        <f>IFERROR($J520/100*INDEX(Продукты!$J$6:$J$66,MATCH($E520,Продукты!$A$6:$A$66,0)),0)</f>
        <v>0</v>
      </c>
      <c r="O520" s="3" t="str">
        <f>IFERROR(IF(IFERROR(INDEX(Рецепты!$H$6:$H$85,MATCH(Меню!$D$26,Рецепты!$H$6:$H$85,0)+14)=Меню!$D$26,FALSE),INDEX(Рецепты!$N$6:$N$85,MATCH(Меню!$D$26,Рецепты!$H$6:$H$85,0)+14),""),"")</f>
        <v/>
      </c>
    </row>
    <row r="521" spans="1:15">
      <c r="A521" s="3" t="str">
        <f>IF($E521="","",Меню!$A$26)</f>
        <v/>
      </c>
      <c r="B521" s="3" t="str">
        <f>IF($E521="","",Меню!$B$26)</f>
        <v/>
      </c>
      <c r="C521" s="3" t="str">
        <f>IF($E521="","",Меню!$C$26)</f>
        <v/>
      </c>
      <c r="D521" s="3" t="str">
        <f>IF($E521="","",Меню!$D$26)</f>
        <v/>
      </c>
      <c r="E521" s="3" t="str">
        <f>IFERROR(IF(IFERROR(INDEX(Рецепты!$H$6:$H$85,MATCH(Меню!$D$26,Рецепты!$H$6:$H$85,0)+15)=Меню!$D$26,FALSE),INDEX(Рецепты!$J$6:$J$85,MATCH(Меню!$D$26,Рецепты!$H$6:$H$85,0)+15),""),"")</f>
        <v/>
      </c>
      <c r="F521" s="3" t="str">
        <f>IF($E521="","",INDEX(Рецепты!$K$6:$K$85,MATCH(Меню!$D$26,Рецепты!$H$6:$H$85,0)+15))</f>
        <v/>
      </c>
      <c r="G521" s="3" t="str">
        <f>IF($E521="","",INDEX(Рецепты!$M$6:$M$85,MATCH(Меню!$D$26,Рецепты!$H$6:$H$85,0)+15))</f>
        <v/>
      </c>
      <c r="H521" s="12">
        <f>IFERROR(IF(IFERROR(INDEX(Рецепты!$H$6:$H$85,MATCH(Меню!$D$26,Рецепты!$H$6:$H$85,0)+15)=Меню!$D$26,FALSE),INDEX(Рецепты!$L$6:$L$85,MATCH(Меню!$D$26,Рецепты!$H$6:$H$85,0)+15),0),0)</f>
        <v>0</v>
      </c>
      <c r="I521" s="12" t="str">
        <f>IF($F521="","",Меню!$E$26)</f>
        <v/>
      </c>
      <c r="J521" s="12">
        <f t="shared" si="8"/>
        <v>0</v>
      </c>
      <c r="K521" s="12">
        <f>IFERROR($J521/100*INDEX(Продукты!$G$6:$G$66,MATCH($E521,Продукты!$A$6:$A$66,0)),0)</f>
        <v>0</v>
      </c>
      <c r="L521" s="12">
        <f>IFERROR($J521/100*INDEX(Продукты!$H$6:$H$66,MATCH($E521,Продукты!$A$6:$A$66,0)),0)</f>
        <v>0</v>
      </c>
      <c r="M521" s="12">
        <f>IFERROR($J521/100*INDEX(Продукты!$I$6:$I$66,MATCH($E521,Продукты!$A$6:$A$66,0)),0)</f>
        <v>0</v>
      </c>
      <c r="N521" s="12">
        <f>IFERROR($J521/100*INDEX(Продукты!$J$6:$J$66,MATCH($E521,Продукты!$A$6:$A$66,0)),0)</f>
        <v>0</v>
      </c>
      <c r="O521" s="3" t="str">
        <f>IFERROR(IF(IFERROR(INDEX(Рецепты!$H$6:$H$85,MATCH(Меню!$D$26,Рецепты!$H$6:$H$85,0)+15)=Меню!$D$26,FALSE),INDEX(Рецепты!$N$6:$N$85,MATCH(Меню!$D$26,Рецепты!$H$6:$H$85,0)+15),""),"")</f>
        <v/>
      </c>
    </row>
    <row r="522" spans="1:15">
      <c r="A522" s="3" t="str">
        <f>IF($E522="","",Меню!$A$26)</f>
        <v/>
      </c>
      <c r="B522" s="3" t="str">
        <f>IF($E522="","",Меню!$B$26)</f>
        <v/>
      </c>
      <c r="C522" s="3" t="str">
        <f>IF($E522="","",Меню!$C$26)</f>
        <v/>
      </c>
      <c r="D522" s="3" t="str">
        <f>IF($E522="","",Меню!$D$26)</f>
        <v/>
      </c>
      <c r="E522" s="3" t="str">
        <f>IFERROR(IF(IFERROR(INDEX(Рецепты!$H$6:$H$85,MATCH(Меню!$D$26,Рецепты!$H$6:$H$85,0)+16)=Меню!$D$26,FALSE),INDEX(Рецепты!$J$6:$J$85,MATCH(Меню!$D$26,Рецепты!$H$6:$H$85,0)+16),""),"")</f>
        <v/>
      </c>
      <c r="F522" s="3" t="str">
        <f>IF($E522="","",INDEX(Рецепты!$K$6:$K$85,MATCH(Меню!$D$26,Рецепты!$H$6:$H$85,0)+16))</f>
        <v/>
      </c>
      <c r="G522" s="3" t="str">
        <f>IF($E522="","",INDEX(Рецепты!$M$6:$M$85,MATCH(Меню!$D$26,Рецепты!$H$6:$H$85,0)+16))</f>
        <v/>
      </c>
      <c r="H522" s="12">
        <f>IFERROR(IF(IFERROR(INDEX(Рецепты!$H$6:$H$85,MATCH(Меню!$D$26,Рецепты!$H$6:$H$85,0)+16)=Меню!$D$26,FALSE),INDEX(Рецепты!$L$6:$L$85,MATCH(Меню!$D$26,Рецепты!$H$6:$H$85,0)+16),0),0)</f>
        <v>0</v>
      </c>
      <c r="I522" s="12" t="str">
        <f>IF($F522="","",Меню!$E$26)</f>
        <v/>
      </c>
      <c r="J522" s="12">
        <f t="shared" si="8"/>
        <v>0</v>
      </c>
      <c r="K522" s="12">
        <f>IFERROR($J522/100*INDEX(Продукты!$G$6:$G$66,MATCH($E522,Продукты!$A$6:$A$66,0)),0)</f>
        <v>0</v>
      </c>
      <c r="L522" s="12">
        <f>IFERROR($J522/100*INDEX(Продукты!$H$6:$H$66,MATCH($E522,Продукты!$A$6:$A$66,0)),0)</f>
        <v>0</v>
      </c>
      <c r="M522" s="12">
        <f>IFERROR($J522/100*INDEX(Продукты!$I$6:$I$66,MATCH($E522,Продукты!$A$6:$A$66,0)),0)</f>
        <v>0</v>
      </c>
      <c r="N522" s="12">
        <f>IFERROR($J522/100*INDEX(Продукты!$J$6:$J$66,MATCH($E522,Продукты!$A$6:$A$66,0)),0)</f>
        <v>0</v>
      </c>
      <c r="O522" s="3" t="str">
        <f>IFERROR(IF(IFERROR(INDEX(Рецепты!$H$6:$H$85,MATCH(Меню!$D$26,Рецепты!$H$6:$H$85,0)+16)=Меню!$D$26,FALSE),INDEX(Рецепты!$N$6:$N$85,MATCH(Меню!$D$26,Рецепты!$H$6:$H$85,0)+16),""),"")</f>
        <v/>
      </c>
    </row>
    <row r="523" spans="1:15">
      <c r="A523" s="3" t="str">
        <f>IF($E523="","",Меню!$A$26)</f>
        <v/>
      </c>
      <c r="B523" s="3" t="str">
        <f>IF($E523="","",Меню!$B$26)</f>
        <v/>
      </c>
      <c r="C523" s="3" t="str">
        <f>IF($E523="","",Меню!$C$26)</f>
        <v/>
      </c>
      <c r="D523" s="3" t="str">
        <f>IF($E523="","",Меню!$D$26)</f>
        <v/>
      </c>
      <c r="E523" s="3" t="str">
        <f>IFERROR(IF(IFERROR(INDEX(Рецепты!$H$6:$H$85,MATCH(Меню!$D$26,Рецепты!$H$6:$H$85,0)+17)=Меню!$D$26,FALSE),INDEX(Рецепты!$J$6:$J$85,MATCH(Меню!$D$26,Рецепты!$H$6:$H$85,0)+17),""),"")</f>
        <v/>
      </c>
      <c r="F523" s="3" t="str">
        <f>IF($E523="","",INDEX(Рецепты!$K$6:$K$85,MATCH(Меню!$D$26,Рецепты!$H$6:$H$85,0)+17))</f>
        <v/>
      </c>
      <c r="G523" s="3" t="str">
        <f>IF($E523="","",INDEX(Рецепты!$M$6:$M$85,MATCH(Меню!$D$26,Рецепты!$H$6:$H$85,0)+17))</f>
        <v/>
      </c>
      <c r="H523" s="12">
        <f>IFERROR(IF(IFERROR(INDEX(Рецепты!$H$6:$H$85,MATCH(Меню!$D$26,Рецепты!$H$6:$H$85,0)+17)=Меню!$D$26,FALSE),INDEX(Рецепты!$L$6:$L$85,MATCH(Меню!$D$26,Рецепты!$H$6:$H$85,0)+17),0),0)</f>
        <v>0</v>
      </c>
      <c r="I523" s="12" t="str">
        <f>IF($F523="","",Меню!$E$26)</f>
        <v/>
      </c>
      <c r="J523" s="12">
        <f t="shared" si="8"/>
        <v>0</v>
      </c>
      <c r="K523" s="12">
        <f>IFERROR($J523/100*INDEX(Продукты!$G$6:$G$66,MATCH($E523,Продукты!$A$6:$A$66,0)),0)</f>
        <v>0</v>
      </c>
      <c r="L523" s="12">
        <f>IFERROR($J523/100*INDEX(Продукты!$H$6:$H$66,MATCH($E523,Продукты!$A$6:$A$66,0)),0)</f>
        <v>0</v>
      </c>
      <c r="M523" s="12">
        <f>IFERROR($J523/100*INDEX(Продукты!$I$6:$I$66,MATCH($E523,Продукты!$A$6:$A$66,0)),0)</f>
        <v>0</v>
      </c>
      <c r="N523" s="12">
        <f>IFERROR($J523/100*INDEX(Продукты!$J$6:$J$66,MATCH($E523,Продукты!$A$6:$A$66,0)),0)</f>
        <v>0</v>
      </c>
      <c r="O523" s="3" t="str">
        <f>IFERROR(IF(IFERROR(INDEX(Рецепты!$H$6:$H$85,MATCH(Меню!$D$26,Рецепты!$H$6:$H$85,0)+17)=Меню!$D$26,FALSE),INDEX(Рецепты!$N$6:$N$85,MATCH(Меню!$D$26,Рецепты!$H$6:$H$85,0)+17),""),"")</f>
        <v/>
      </c>
    </row>
    <row r="524" spans="1:15">
      <c r="A524" s="3" t="str">
        <f>IF($E524="","",Меню!$A$26)</f>
        <v/>
      </c>
      <c r="B524" s="3" t="str">
        <f>IF($E524="","",Меню!$B$26)</f>
        <v/>
      </c>
      <c r="C524" s="3" t="str">
        <f>IF($E524="","",Меню!$C$26)</f>
        <v/>
      </c>
      <c r="D524" s="3" t="str">
        <f>IF($E524="","",Меню!$D$26)</f>
        <v/>
      </c>
      <c r="E524" s="3" t="str">
        <f>IFERROR(IF(IFERROR(INDEX(Рецепты!$H$6:$H$85,MATCH(Меню!$D$26,Рецепты!$H$6:$H$85,0)+18)=Меню!$D$26,FALSE),INDEX(Рецепты!$J$6:$J$85,MATCH(Меню!$D$26,Рецепты!$H$6:$H$85,0)+18),""),"")</f>
        <v/>
      </c>
      <c r="F524" s="3" t="str">
        <f>IF($E524="","",INDEX(Рецепты!$K$6:$K$85,MATCH(Меню!$D$26,Рецепты!$H$6:$H$85,0)+18))</f>
        <v/>
      </c>
      <c r="G524" s="3" t="str">
        <f>IF($E524="","",INDEX(Рецепты!$M$6:$M$85,MATCH(Меню!$D$26,Рецепты!$H$6:$H$85,0)+18))</f>
        <v/>
      </c>
      <c r="H524" s="12">
        <f>IFERROR(IF(IFERROR(INDEX(Рецепты!$H$6:$H$85,MATCH(Меню!$D$26,Рецепты!$H$6:$H$85,0)+18)=Меню!$D$26,FALSE),INDEX(Рецепты!$L$6:$L$85,MATCH(Меню!$D$26,Рецепты!$H$6:$H$85,0)+18),0),0)</f>
        <v>0</v>
      </c>
      <c r="I524" s="12" t="str">
        <f>IF($F524="","",Меню!$E$26)</f>
        <v/>
      </c>
      <c r="J524" s="12">
        <f t="shared" si="8"/>
        <v>0</v>
      </c>
      <c r="K524" s="12">
        <f>IFERROR($J524/100*INDEX(Продукты!$G$6:$G$66,MATCH($E524,Продукты!$A$6:$A$66,0)),0)</f>
        <v>0</v>
      </c>
      <c r="L524" s="12">
        <f>IFERROR($J524/100*INDEX(Продукты!$H$6:$H$66,MATCH($E524,Продукты!$A$6:$A$66,0)),0)</f>
        <v>0</v>
      </c>
      <c r="M524" s="12">
        <f>IFERROR($J524/100*INDEX(Продукты!$I$6:$I$66,MATCH($E524,Продукты!$A$6:$A$66,0)),0)</f>
        <v>0</v>
      </c>
      <c r="N524" s="12">
        <f>IFERROR($J524/100*INDEX(Продукты!$J$6:$J$66,MATCH($E524,Продукты!$A$6:$A$66,0)),0)</f>
        <v>0</v>
      </c>
      <c r="O524" s="3" t="str">
        <f>IFERROR(IF(IFERROR(INDEX(Рецепты!$H$6:$H$85,MATCH(Меню!$D$26,Рецепты!$H$6:$H$85,0)+18)=Меню!$D$26,FALSE),INDEX(Рецепты!$N$6:$N$85,MATCH(Меню!$D$26,Рецепты!$H$6:$H$85,0)+18),""),"")</f>
        <v/>
      </c>
    </row>
    <row r="525" spans="1:15">
      <c r="A525" s="3" t="str">
        <f>IF($E525="","",Меню!$A$26)</f>
        <v/>
      </c>
      <c r="B525" s="3" t="str">
        <f>IF($E525="","",Меню!$B$26)</f>
        <v/>
      </c>
      <c r="C525" s="3" t="str">
        <f>IF($E525="","",Меню!$C$26)</f>
        <v/>
      </c>
      <c r="D525" s="3" t="str">
        <f>IF($E525="","",Меню!$D$26)</f>
        <v/>
      </c>
      <c r="E525" s="3" t="str">
        <f>IFERROR(IF(IFERROR(INDEX(Рецепты!$H$6:$H$85,MATCH(Меню!$D$26,Рецепты!$H$6:$H$85,0)+19)=Меню!$D$26,FALSE),INDEX(Рецепты!$J$6:$J$85,MATCH(Меню!$D$26,Рецепты!$H$6:$H$85,0)+19),""),"")</f>
        <v/>
      </c>
      <c r="F525" s="3" t="str">
        <f>IF($E525="","",INDEX(Рецепты!$K$6:$K$85,MATCH(Меню!$D$26,Рецепты!$H$6:$H$85,0)+19))</f>
        <v/>
      </c>
      <c r="G525" s="3" t="str">
        <f>IF($E525="","",INDEX(Рецепты!$M$6:$M$85,MATCH(Меню!$D$26,Рецепты!$H$6:$H$85,0)+19))</f>
        <v/>
      </c>
      <c r="H525" s="12">
        <f>IFERROR(IF(IFERROR(INDEX(Рецепты!$H$6:$H$85,MATCH(Меню!$D$26,Рецепты!$H$6:$H$85,0)+19)=Меню!$D$26,FALSE),INDEX(Рецепты!$L$6:$L$85,MATCH(Меню!$D$26,Рецепты!$H$6:$H$85,0)+19),0),0)</f>
        <v>0</v>
      </c>
      <c r="I525" s="12" t="str">
        <f>IF($F525="","",Меню!$E$26)</f>
        <v/>
      </c>
      <c r="J525" s="12">
        <f t="shared" si="8"/>
        <v>0</v>
      </c>
      <c r="K525" s="12">
        <f>IFERROR($J525/100*INDEX(Продукты!$G$6:$G$66,MATCH($E525,Продукты!$A$6:$A$66,0)),0)</f>
        <v>0</v>
      </c>
      <c r="L525" s="12">
        <f>IFERROR($J525/100*INDEX(Продукты!$H$6:$H$66,MATCH($E525,Продукты!$A$6:$A$66,0)),0)</f>
        <v>0</v>
      </c>
      <c r="M525" s="12">
        <f>IFERROR($J525/100*INDEX(Продукты!$I$6:$I$66,MATCH($E525,Продукты!$A$6:$A$66,0)),0)</f>
        <v>0</v>
      </c>
      <c r="N525" s="12">
        <f>IFERROR($J525/100*INDEX(Продукты!$J$6:$J$66,MATCH($E525,Продукты!$A$6:$A$66,0)),0)</f>
        <v>0</v>
      </c>
      <c r="O525" s="3" t="str">
        <f>IFERROR(IF(IFERROR(INDEX(Рецепты!$H$6:$H$85,MATCH(Меню!$D$26,Рецепты!$H$6:$H$85,0)+19)=Меню!$D$26,FALSE),INDEX(Рецепты!$N$6:$N$85,MATCH(Меню!$D$26,Рецепты!$H$6:$H$85,0)+19),""),"")</f>
        <v/>
      </c>
    </row>
    <row r="526" spans="1:15">
      <c r="A526" s="3" t="str">
        <f>IF($E526="","",Меню!$A$26)</f>
        <v/>
      </c>
      <c r="B526" s="3" t="str">
        <f>IF($E526="","",Меню!$B$26)</f>
        <v/>
      </c>
      <c r="C526" s="3" t="str">
        <f>IF($E526="","",Меню!$C$26)</f>
        <v/>
      </c>
      <c r="D526" s="3" t="str">
        <f>IF($E526="","",Меню!$D$26)</f>
        <v/>
      </c>
      <c r="E526" s="3" t="str">
        <f>IFERROR(IF(IFERROR(INDEX(Рецепты!$H$6:$H$85,MATCH(Меню!$D$26,Рецепты!$H$6:$H$85,0)+20)=Меню!$D$26,FALSE),INDEX(Рецепты!$J$6:$J$85,MATCH(Меню!$D$26,Рецепты!$H$6:$H$85,0)+20),""),"")</f>
        <v/>
      </c>
      <c r="F526" s="3" t="str">
        <f>IF($E526="","",INDEX(Рецепты!$K$6:$K$85,MATCH(Меню!$D$26,Рецепты!$H$6:$H$85,0)+20))</f>
        <v/>
      </c>
      <c r="G526" s="3" t="str">
        <f>IF($E526="","",INDEX(Рецепты!$M$6:$M$85,MATCH(Меню!$D$26,Рецепты!$H$6:$H$85,0)+20))</f>
        <v/>
      </c>
      <c r="H526" s="12">
        <f>IFERROR(IF(IFERROR(INDEX(Рецепты!$H$6:$H$85,MATCH(Меню!$D$26,Рецепты!$H$6:$H$85,0)+20)=Меню!$D$26,FALSE),INDEX(Рецепты!$L$6:$L$85,MATCH(Меню!$D$26,Рецепты!$H$6:$H$85,0)+20),0),0)</f>
        <v>0</v>
      </c>
      <c r="I526" s="12" t="str">
        <f>IF($F526="","",Меню!$E$26)</f>
        <v/>
      </c>
      <c r="J526" s="12">
        <f t="shared" si="8"/>
        <v>0</v>
      </c>
      <c r="K526" s="12">
        <f>IFERROR($J526/100*INDEX(Продукты!$G$6:$G$66,MATCH($E526,Продукты!$A$6:$A$66,0)),0)</f>
        <v>0</v>
      </c>
      <c r="L526" s="12">
        <f>IFERROR($J526/100*INDEX(Продукты!$H$6:$H$66,MATCH($E526,Продукты!$A$6:$A$66,0)),0)</f>
        <v>0</v>
      </c>
      <c r="M526" s="12">
        <f>IFERROR($J526/100*INDEX(Продукты!$I$6:$I$66,MATCH($E526,Продукты!$A$6:$A$66,0)),0)</f>
        <v>0</v>
      </c>
      <c r="N526" s="12">
        <f>IFERROR($J526/100*INDEX(Продукты!$J$6:$J$66,MATCH($E526,Продукты!$A$6:$A$66,0)),0)</f>
        <v>0</v>
      </c>
      <c r="O526" s="3" t="str">
        <f>IFERROR(IF(IFERROR(INDEX(Рецепты!$H$6:$H$85,MATCH(Меню!$D$26,Рецепты!$H$6:$H$85,0)+20)=Меню!$D$26,FALSE),INDEX(Рецепты!$N$6:$N$85,MATCH(Меню!$D$26,Рецепты!$H$6:$H$85,0)+20),""),"")</f>
        <v/>
      </c>
    </row>
    <row r="527" spans="1:15">
      <c r="A527" s="3" t="str">
        <f>IF($E527="","",Меню!$A$26)</f>
        <v/>
      </c>
      <c r="B527" s="3" t="str">
        <f>IF($E527="","",Меню!$B$26)</f>
        <v/>
      </c>
      <c r="C527" s="3" t="str">
        <f>IF($E527="","",Меню!$C$26)</f>
        <v/>
      </c>
      <c r="D527" s="3" t="str">
        <f>IF($E527="","",Меню!$D$26)</f>
        <v/>
      </c>
      <c r="E527" s="3" t="str">
        <f>IFERROR(IF(IFERROR(INDEX(Рецепты!$H$6:$H$85,MATCH(Меню!$D$26,Рецепты!$H$6:$H$85,0)+21)=Меню!$D$26,FALSE),INDEX(Рецепты!$J$6:$J$85,MATCH(Меню!$D$26,Рецепты!$H$6:$H$85,0)+21),""),"")</f>
        <v/>
      </c>
      <c r="F527" s="3" t="str">
        <f>IF($E527="","",INDEX(Рецепты!$K$6:$K$85,MATCH(Меню!$D$26,Рецепты!$H$6:$H$85,0)+21))</f>
        <v/>
      </c>
      <c r="G527" s="3" t="str">
        <f>IF($E527="","",INDEX(Рецепты!$M$6:$M$85,MATCH(Меню!$D$26,Рецепты!$H$6:$H$85,0)+21))</f>
        <v/>
      </c>
      <c r="H527" s="12">
        <f>IFERROR(IF(IFERROR(INDEX(Рецепты!$H$6:$H$85,MATCH(Меню!$D$26,Рецепты!$H$6:$H$85,0)+21)=Меню!$D$26,FALSE),INDEX(Рецепты!$L$6:$L$85,MATCH(Меню!$D$26,Рецепты!$H$6:$H$85,0)+21),0),0)</f>
        <v>0</v>
      </c>
      <c r="I527" s="12" t="str">
        <f>IF($F527="","",Меню!$E$26)</f>
        <v/>
      </c>
      <c r="J527" s="12">
        <f t="shared" si="8"/>
        <v>0</v>
      </c>
      <c r="K527" s="12">
        <f>IFERROR($J527/100*INDEX(Продукты!$G$6:$G$66,MATCH($E527,Продукты!$A$6:$A$66,0)),0)</f>
        <v>0</v>
      </c>
      <c r="L527" s="12">
        <f>IFERROR($J527/100*INDEX(Продукты!$H$6:$H$66,MATCH($E527,Продукты!$A$6:$A$66,0)),0)</f>
        <v>0</v>
      </c>
      <c r="M527" s="12">
        <f>IFERROR($J527/100*INDEX(Продукты!$I$6:$I$66,MATCH($E527,Продукты!$A$6:$A$66,0)),0)</f>
        <v>0</v>
      </c>
      <c r="N527" s="12">
        <f>IFERROR($J527/100*INDEX(Продукты!$J$6:$J$66,MATCH($E527,Продукты!$A$6:$A$66,0)),0)</f>
        <v>0</v>
      </c>
      <c r="O527" s="3" t="str">
        <f>IFERROR(IF(IFERROR(INDEX(Рецепты!$H$6:$H$85,MATCH(Меню!$D$26,Рецепты!$H$6:$H$85,0)+21)=Меню!$D$26,FALSE),INDEX(Рецепты!$N$6:$N$85,MATCH(Меню!$D$26,Рецепты!$H$6:$H$85,0)+21),""),"")</f>
        <v/>
      </c>
    </row>
    <row r="528" spans="1:15">
      <c r="A528" s="3" t="str">
        <f>IF($E528="","",Меню!$A$26)</f>
        <v/>
      </c>
      <c r="B528" s="3" t="str">
        <f>IF($E528="","",Меню!$B$26)</f>
        <v/>
      </c>
      <c r="C528" s="3" t="str">
        <f>IF($E528="","",Меню!$C$26)</f>
        <v/>
      </c>
      <c r="D528" s="3" t="str">
        <f>IF($E528="","",Меню!$D$26)</f>
        <v/>
      </c>
      <c r="E528" s="3" t="str">
        <f>IFERROR(IF(IFERROR(INDEX(Рецепты!$H$6:$H$85,MATCH(Меню!$D$26,Рецепты!$H$6:$H$85,0)+22)=Меню!$D$26,FALSE),INDEX(Рецепты!$J$6:$J$85,MATCH(Меню!$D$26,Рецепты!$H$6:$H$85,0)+22),""),"")</f>
        <v/>
      </c>
      <c r="F528" s="3" t="str">
        <f>IF($E528="","",INDEX(Рецепты!$K$6:$K$85,MATCH(Меню!$D$26,Рецепты!$H$6:$H$85,0)+22))</f>
        <v/>
      </c>
      <c r="G528" s="3" t="str">
        <f>IF($E528="","",INDEX(Рецепты!$M$6:$M$85,MATCH(Меню!$D$26,Рецепты!$H$6:$H$85,0)+22))</f>
        <v/>
      </c>
      <c r="H528" s="12">
        <f>IFERROR(IF(IFERROR(INDEX(Рецепты!$H$6:$H$85,MATCH(Меню!$D$26,Рецепты!$H$6:$H$85,0)+22)=Меню!$D$26,FALSE),INDEX(Рецепты!$L$6:$L$85,MATCH(Меню!$D$26,Рецепты!$H$6:$H$85,0)+22),0),0)</f>
        <v>0</v>
      </c>
      <c r="I528" s="12" t="str">
        <f>IF($F528="","",Меню!$E$26)</f>
        <v/>
      </c>
      <c r="J528" s="12">
        <f t="shared" si="8"/>
        <v>0</v>
      </c>
      <c r="K528" s="12">
        <f>IFERROR($J528/100*INDEX(Продукты!$G$6:$G$66,MATCH($E528,Продукты!$A$6:$A$66,0)),0)</f>
        <v>0</v>
      </c>
      <c r="L528" s="12">
        <f>IFERROR($J528/100*INDEX(Продукты!$H$6:$H$66,MATCH($E528,Продукты!$A$6:$A$66,0)),0)</f>
        <v>0</v>
      </c>
      <c r="M528" s="12">
        <f>IFERROR($J528/100*INDEX(Продукты!$I$6:$I$66,MATCH($E528,Продукты!$A$6:$A$66,0)),0)</f>
        <v>0</v>
      </c>
      <c r="N528" s="12">
        <f>IFERROR($J528/100*INDEX(Продукты!$J$6:$J$66,MATCH($E528,Продукты!$A$6:$A$66,0)),0)</f>
        <v>0</v>
      </c>
      <c r="O528" s="3" t="str">
        <f>IFERROR(IF(IFERROR(INDEX(Рецепты!$H$6:$H$85,MATCH(Меню!$D$26,Рецепты!$H$6:$H$85,0)+22)=Меню!$D$26,FALSE),INDEX(Рецепты!$N$6:$N$85,MATCH(Меню!$D$26,Рецепты!$H$6:$H$85,0)+22),""),"")</f>
        <v/>
      </c>
    </row>
    <row r="529" spans="1:15">
      <c r="A529" s="3" t="str">
        <f>IF($E529="","",Меню!$A$26)</f>
        <v/>
      </c>
      <c r="B529" s="3" t="str">
        <f>IF($E529="","",Меню!$B$26)</f>
        <v/>
      </c>
      <c r="C529" s="3" t="str">
        <f>IF($E529="","",Меню!$C$26)</f>
        <v/>
      </c>
      <c r="D529" s="3" t="str">
        <f>IF($E529="","",Меню!$D$26)</f>
        <v/>
      </c>
      <c r="E529" s="3" t="str">
        <f>IFERROR(IF(IFERROR(INDEX(Рецепты!$H$6:$H$85,MATCH(Меню!$D$26,Рецепты!$H$6:$H$85,0)+23)=Меню!$D$26,FALSE),INDEX(Рецепты!$J$6:$J$85,MATCH(Меню!$D$26,Рецепты!$H$6:$H$85,0)+23),""),"")</f>
        <v/>
      </c>
      <c r="F529" s="3" t="str">
        <f>IF($E529="","",INDEX(Рецепты!$K$6:$K$85,MATCH(Меню!$D$26,Рецепты!$H$6:$H$85,0)+23))</f>
        <v/>
      </c>
      <c r="G529" s="3" t="str">
        <f>IF($E529="","",INDEX(Рецепты!$M$6:$M$85,MATCH(Меню!$D$26,Рецепты!$H$6:$H$85,0)+23))</f>
        <v/>
      </c>
      <c r="H529" s="12">
        <f>IFERROR(IF(IFERROR(INDEX(Рецепты!$H$6:$H$85,MATCH(Меню!$D$26,Рецепты!$H$6:$H$85,0)+23)=Меню!$D$26,FALSE),INDEX(Рецепты!$L$6:$L$85,MATCH(Меню!$D$26,Рецепты!$H$6:$H$85,0)+23),0),0)</f>
        <v>0</v>
      </c>
      <c r="I529" s="12" t="str">
        <f>IF($F529="","",Меню!$E$26)</f>
        <v/>
      </c>
      <c r="J529" s="12">
        <f t="shared" si="8"/>
        <v>0</v>
      </c>
      <c r="K529" s="12">
        <f>IFERROR($J529/100*INDEX(Продукты!$G$6:$G$66,MATCH($E529,Продукты!$A$6:$A$66,0)),0)</f>
        <v>0</v>
      </c>
      <c r="L529" s="12">
        <f>IFERROR($J529/100*INDEX(Продукты!$H$6:$H$66,MATCH($E529,Продукты!$A$6:$A$66,0)),0)</f>
        <v>0</v>
      </c>
      <c r="M529" s="12">
        <f>IFERROR($J529/100*INDEX(Продукты!$I$6:$I$66,MATCH($E529,Продукты!$A$6:$A$66,0)),0)</f>
        <v>0</v>
      </c>
      <c r="N529" s="12">
        <f>IFERROR($J529/100*INDEX(Продукты!$J$6:$J$66,MATCH($E529,Продукты!$A$6:$A$66,0)),0)</f>
        <v>0</v>
      </c>
      <c r="O529" s="3" t="str">
        <f>IFERROR(IF(IFERROR(INDEX(Рецепты!$H$6:$H$85,MATCH(Меню!$D$26,Рецепты!$H$6:$H$85,0)+23)=Меню!$D$26,FALSE),INDEX(Рецепты!$N$6:$N$85,MATCH(Меню!$D$26,Рецепты!$H$6:$H$85,0)+23),""),"")</f>
        <v/>
      </c>
    </row>
    <row r="530" spans="1:15">
      <c r="A530" s="3" t="str">
        <f>IF($E530="","",Меню!$A$26)</f>
        <v/>
      </c>
      <c r="B530" s="3" t="str">
        <f>IF($E530="","",Меню!$B$26)</f>
        <v/>
      </c>
      <c r="C530" s="3" t="str">
        <f>IF($E530="","",Меню!$C$26)</f>
        <v/>
      </c>
      <c r="D530" s="3" t="str">
        <f>IF($E530="","",Меню!$D$26)</f>
        <v/>
      </c>
      <c r="E530" s="3" t="str">
        <f>IFERROR(IF(IFERROR(INDEX(Рецепты!$H$6:$H$85,MATCH(Меню!$D$26,Рецепты!$H$6:$H$85,0)+24)=Меню!$D$26,FALSE),INDEX(Рецепты!$J$6:$J$85,MATCH(Меню!$D$26,Рецепты!$H$6:$H$85,0)+24),""),"")</f>
        <v/>
      </c>
      <c r="F530" s="3" t="str">
        <f>IF($E530="","",INDEX(Рецепты!$K$6:$K$85,MATCH(Меню!$D$26,Рецепты!$H$6:$H$85,0)+24))</f>
        <v/>
      </c>
      <c r="G530" s="3" t="str">
        <f>IF($E530="","",INDEX(Рецепты!$M$6:$M$85,MATCH(Меню!$D$26,Рецепты!$H$6:$H$85,0)+24))</f>
        <v/>
      </c>
      <c r="H530" s="12">
        <f>IFERROR(IF(IFERROR(INDEX(Рецепты!$H$6:$H$85,MATCH(Меню!$D$26,Рецепты!$H$6:$H$85,0)+24)=Меню!$D$26,FALSE),INDEX(Рецепты!$L$6:$L$85,MATCH(Меню!$D$26,Рецепты!$H$6:$H$85,0)+24),0),0)</f>
        <v>0</v>
      </c>
      <c r="I530" s="12" t="str">
        <f>IF($F530="","",Меню!$E$26)</f>
        <v/>
      </c>
      <c r="J530" s="12">
        <f t="shared" si="8"/>
        <v>0</v>
      </c>
      <c r="K530" s="12">
        <f>IFERROR($J530/100*INDEX(Продукты!$G$6:$G$66,MATCH($E530,Продукты!$A$6:$A$66,0)),0)</f>
        <v>0</v>
      </c>
      <c r="L530" s="12">
        <f>IFERROR($J530/100*INDEX(Продукты!$H$6:$H$66,MATCH($E530,Продукты!$A$6:$A$66,0)),0)</f>
        <v>0</v>
      </c>
      <c r="M530" s="12">
        <f>IFERROR($J530/100*INDEX(Продукты!$I$6:$I$66,MATCH($E530,Продукты!$A$6:$A$66,0)),0)</f>
        <v>0</v>
      </c>
      <c r="N530" s="12">
        <f>IFERROR($J530/100*INDEX(Продукты!$J$6:$J$66,MATCH($E530,Продукты!$A$6:$A$66,0)),0)</f>
        <v>0</v>
      </c>
      <c r="O530" s="3" t="str">
        <f>IFERROR(IF(IFERROR(INDEX(Рецепты!$H$6:$H$85,MATCH(Меню!$D$26,Рецепты!$H$6:$H$85,0)+24)=Меню!$D$26,FALSE),INDEX(Рецепты!$N$6:$N$85,MATCH(Меню!$D$26,Рецепты!$H$6:$H$85,0)+24),""),"")</f>
        <v/>
      </c>
    </row>
    <row r="531" spans="1:15">
      <c r="A531" s="3" t="str">
        <f>IF($E531="","",Меню!$A$27)</f>
        <v/>
      </c>
      <c r="B531" s="3" t="str">
        <f>IF($E531="","",Меню!$B$27)</f>
        <v/>
      </c>
      <c r="C531" s="3" t="str">
        <f>IF($E531="","",Меню!$C$27)</f>
        <v/>
      </c>
      <c r="D531" s="3" t="str">
        <f>IF($E531="","",Меню!$D$27)</f>
        <v/>
      </c>
      <c r="E531" s="3" t="str">
        <f>IFERROR(IF(IFERROR(INDEX(Рецепты!$H$6:$H$85,MATCH(Меню!$D$27,Рецепты!$H$6:$H$85,0)+0)=Меню!$D$27,FALSE),INDEX(Рецепты!$J$6:$J$85,MATCH(Меню!$D$27,Рецепты!$H$6:$H$85,0)+0),""),"")</f>
        <v/>
      </c>
      <c r="F531" s="3" t="str">
        <f>IF($E531="","",INDEX(Рецепты!$K$6:$K$85,MATCH(Меню!$D$27,Рецепты!$H$6:$H$85,0)+0))</f>
        <v/>
      </c>
      <c r="G531" s="3" t="str">
        <f>IF($E531="","",INDEX(Рецепты!$M$6:$M$85,MATCH(Меню!$D$27,Рецепты!$H$6:$H$85,0)+0))</f>
        <v/>
      </c>
      <c r="H531" s="12">
        <f>IFERROR(IF(IFERROR(INDEX(Рецепты!$H$6:$H$85,MATCH(Меню!$D$27,Рецепты!$H$6:$H$85,0)+0)=Меню!$D$27,FALSE),INDEX(Рецепты!$L$6:$L$85,MATCH(Меню!$D$27,Рецепты!$H$6:$H$85,0)+0),0),0)</f>
        <v>0</v>
      </c>
      <c r="I531" s="12" t="str">
        <f>IF($F531="","",Меню!$E$27)</f>
        <v/>
      </c>
      <c r="J531" s="12">
        <f t="shared" si="8"/>
        <v>0</v>
      </c>
      <c r="K531" s="12">
        <f>IFERROR($J531/100*INDEX(Продукты!$G$6:$G$66,MATCH($E531,Продукты!$A$6:$A$66,0)),0)</f>
        <v>0</v>
      </c>
      <c r="L531" s="12">
        <f>IFERROR($J531/100*INDEX(Продукты!$H$6:$H$66,MATCH($E531,Продукты!$A$6:$A$66,0)),0)</f>
        <v>0</v>
      </c>
      <c r="M531" s="12">
        <f>IFERROR($J531/100*INDEX(Продукты!$I$6:$I$66,MATCH($E531,Продукты!$A$6:$A$66,0)),0)</f>
        <v>0</v>
      </c>
      <c r="N531" s="12">
        <f>IFERROR($J531/100*INDEX(Продукты!$J$6:$J$66,MATCH($E531,Продукты!$A$6:$A$66,0)),0)</f>
        <v>0</v>
      </c>
      <c r="O531" s="3" t="str">
        <f>IFERROR(IF(IFERROR(INDEX(Рецепты!$H$6:$H$85,MATCH(Меню!$D$27,Рецепты!$H$6:$H$85,0)+0)=Меню!$D$27,FALSE),INDEX(Рецепты!$N$6:$N$85,MATCH(Меню!$D$27,Рецепты!$H$6:$H$85,0)+0),""),"")</f>
        <v/>
      </c>
    </row>
    <row r="532" spans="1:15">
      <c r="A532" s="3" t="str">
        <f>IF($E532="","",Меню!$A$27)</f>
        <v/>
      </c>
      <c r="B532" s="3" t="str">
        <f>IF($E532="","",Меню!$B$27)</f>
        <v/>
      </c>
      <c r="C532" s="3" t="str">
        <f>IF($E532="","",Меню!$C$27)</f>
        <v/>
      </c>
      <c r="D532" s="3" t="str">
        <f>IF($E532="","",Меню!$D$27)</f>
        <v/>
      </c>
      <c r="E532" s="3" t="str">
        <f>IFERROR(IF(IFERROR(INDEX(Рецепты!$H$6:$H$85,MATCH(Меню!$D$27,Рецепты!$H$6:$H$85,0)+1)=Меню!$D$27,FALSE),INDEX(Рецепты!$J$6:$J$85,MATCH(Меню!$D$27,Рецепты!$H$6:$H$85,0)+1),""),"")</f>
        <v/>
      </c>
      <c r="F532" s="3" t="str">
        <f>IF($E532="","",INDEX(Рецепты!$K$6:$K$85,MATCH(Меню!$D$27,Рецепты!$H$6:$H$85,0)+1))</f>
        <v/>
      </c>
      <c r="G532" s="3" t="str">
        <f>IF($E532="","",INDEX(Рецепты!$M$6:$M$85,MATCH(Меню!$D$27,Рецепты!$H$6:$H$85,0)+1))</f>
        <v/>
      </c>
      <c r="H532" s="12">
        <f>IFERROR(IF(IFERROR(INDEX(Рецепты!$H$6:$H$85,MATCH(Меню!$D$27,Рецепты!$H$6:$H$85,0)+1)=Меню!$D$27,FALSE),INDEX(Рецепты!$L$6:$L$85,MATCH(Меню!$D$27,Рецепты!$H$6:$H$85,0)+1),0),0)</f>
        <v>0</v>
      </c>
      <c r="I532" s="12" t="str">
        <f>IF($F532="","",Меню!$E$27)</f>
        <v/>
      </c>
      <c r="J532" s="12">
        <f t="shared" si="8"/>
        <v>0</v>
      </c>
      <c r="K532" s="12">
        <f>IFERROR($J532/100*INDEX(Продукты!$G$6:$G$66,MATCH($E532,Продукты!$A$6:$A$66,0)),0)</f>
        <v>0</v>
      </c>
      <c r="L532" s="12">
        <f>IFERROR($J532/100*INDEX(Продукты!$H$6:$H$66,MATCH($E532,Продукты!$A$6:$A$66,0)),0)</f>
        <v>0</v>
      </c>
      <c r="M532" s="12">
        <f>IFERROR($J532/100*INDEX(Продукты!$I$6:$I$66,MATCH($E532,Продукты!$A$6:$A$66,0)),0)</f>
        <v>0</v>
      </c>
      <c r="N532" s="12">
        <f>IFERROR($J532/100*INDEX(Продукты!$J$6:$J$66,MATCH($E532,Продукты!$A$6:$A$66,0)),0)</f>
        <v>0</v>
      </c>
      <c r="O532" s="3" t="str">
        <f>IFERROR(IF(IFERROR(INDEX(Рецепты!$H$6:$H$85,MATCH(Меню!$D$27,Рецепты!$H$6:$H$85,0)+1)=Меню!$D$27,FALSE),INDEX(Рецепты!$N$6:$N$85,MATCH(Меню!$D$27,Рецепты!$H$6:$H$85,0)+1),""),"")</f>
        <v/>
      </c>
    </row>
    <row r="533" spans="1:15">
      <c r="A533" s="3" t="str">
        <f>IF($E533="","",Меню!$A$27)</f>
        <v/>
      </c>
      <c r="B533" s="3" t="str">
        <f>IF($E533="","",Меню!$B$27)</f>
        <v/>
      </c>
      <c r="C533" s="3" t="str">
        <f>IF($E533="","",Меню!$C$27)</f>
        <v/>
      </c>
      <c r="D533" s="3" t="str">
        <f>IF($E533="","",Меню!$D$27)</f>
        <v/>
      </c>
      <c r="E533" s="3" t="str">
        <f>IFERROR(IF(IFERROR(INDEX(Рецепты!$H$6:$H$85,MATCH(Меню!$D$27,Рецепты!$H$6:$H$85,0)+2)=Меню!$D$27,FALSE),INDEX(Рецепты!$J$6:$J$85,MATCH(Меню!$D$27,Рецепты!$H$6:$H$85,0)+2),""),"")</f>
        <v/>
      </c>
      <c r="F533" s="3" t="str">
        <f>IF($E533="","",INDEX(Рецепты!$K$6:$K$85,MATCH(Меню!$D$27,Рецепты!$H$6:$H$85,0)+2))</f>
        <v/>
      </c>
      <c r="G533" s="3" t="str">
        <f>IF($E533="","",INDEX(Рецепты!$M$6:$M$85,MATCH(Меню!$D$27,Рецепты!$H$6:$H$85,0)+2))</f>
        <v/>
      </c>
      <c r="H533" s="12">
        <f>IFERROR(IF(IFERROR(INDEX(Рецепты!$H$6:$H$85,MATCH(Меню!$D$27,Рецепты!$H$6:$H$85,0)+2)=Меню!$D$27,FALSE),INDEX(Рецепты!$L$6:$L$85,MATCH(Меню!$D$27,Рецепты!$H$6:$H$85,0)+2),0),0)</f>
        <v>0</v>
      </c>
      <c r="I533" s="12" t="str">
        <f>IF($F533="","",Меню!$E$27)</f>
        <v/>
      </c>
      <c r="J533" s="12">
        <f t="shared" si="8"/>
        <v>0</v>
      </c>
      <c r="K533" s="12">
        <f>IFERROR($J533/100*INDEX(Продукты!$G$6:$G$66,MATCH($E533,Продукты!$A$6:$A$66,0)),0)</f>
        <v>0</v>
      </c>
      <c r="L533" s="12">
        <f>IFERROR($J533/100*INDEX(Продукты!$H$6:$H$66,MATCH($E533,Продукты!$A$6:$A$66,0)),0)</f>
        <v>0</v>
      </c>
      <c r="M533" s="12">
        <f>IFERROR($J533/100*INDEX(Продукты!$I$6:$I$66,MATCH($E533,Продукты!$A$6:$A$66,0)),0)</f>
        <v>0</v>
      </c>
      <c r="N533" s="12">
        <f>IFERROR($J533/100*INDEX(Продукты!$J$6:$J$66,MATCH($E533,Продукты!$A$6:$A$66,0)),0)</f>
        <v>0</v>
      </c>
      <c r="O533" s="3" t="str">
        <f>IFERROR(IF(IFERROR(INDEX(Рецепты!$H$6:$H$85,MATCH(Меню!$D$27,Рецепты!$H$6:$H$85,0)+2)=Меню!$D$27,FALSE),INDEX(Рецепты!$N$6:$N$85,MATCH(Меню!$D$27,Рецепты!$H$6:$H$85,0)+2),""),"")</f>
        <v/>
      </c>
    </row>
    <row r="534" spans="1:15">
      <c r="A534" s="3" t="str">
        <f>IF($E534="","",Меню!$A$27)</f>
        <v/>
      </c>
      <c r="B534" s="3" t="str">
        <f>IF($E534="","",Меню!$B$27)</f>
        <v/>
      </c>
      <c r="C534" s="3" t="str">
        <f>IF($E534="","",Меню!$C$27)</f>
        <v/>
      </c>
      <c r="D534" s="3" t="str">
        <f>IF($E534="","",Меню!$D$27)</f>
        <v/>
      </c>
      <c r="E534" s="3" t="str">
        <f>IFERROR(IF(IFERROR(INDEX(Рецепты!$H$6:$H$85,MATCH(Меню!$D$27,Рецепты!$H$6:$H$85,0)+3)=Меню!$D$27,FALSE),INDEX(Рецепты!$J$6:$J$85,MATCH(Меню!$D$27,Рецепты!$H$6:$H$85,0)+3),""),"")</f>
        <v/>
      </c>
      <c r="F534" s="3" t="str">
        <f>IF($E534="","",INDEX(Рецепты!$K$6:$K$85,MATCH(Меню!$D$27,Рецепты!$H$6:$H$85,0)+3))</f>
        <v/>
      </c>
      <c r="G534" s="3" t="str">
        <f>IF($E534="","",INDEX(Рецепты!$M$6:$M$85,MATCH(Меню!$D$27,Рецепты!$H$6:$H$85,0)+3))</f>
        <v/>
      </c>
      <c r="H534" s="12">
        <f>IFERROR(IF(IFERROR(INDEX(Рецепты!$H$6:$H$85,MATCH(Меню!$D$27,Рецепты!$H$6:$H$85,0)+3)=Меню!$D$27,FALSE),INDEX(Рецепты!$L$6:$L$85,MATCH(Меню!$D$27,Рецепты!$H$6:$H$85,0)+3),0),0)</f>
        <v>0</v>
      </c>
      <c r="I534" s="12" t="str">
        <f>IF($F534="","",Меню!$E$27)</f>
        <v/>
      </c>
      <c r="J534" s="12">
        <f t="shared" si="8"/>
        <v>0</v>
      </c>
      <c r="K534" s="12">
        <f>IFERROR($J534/100*INDEX(Продукты!$G$6:$G$66,MATCH($E534,Продукты!$A$6:$A$66,0)),0)</f>
        <v>0</v>
      </c>
      <c r="L534" s="12">
        <f>IFERROR($J534/100*INDEX(Продукты!$H$6:$H$66,MATCH($E534,Продукты!$A$6:$A$66,0)),0)</f>
        <v>0</v>
      </c>
      <c r="M534" s="12">
        <f>IFERROR($J534/100*INDEX(Продукты!$I$6:$I$66,MATCH($E534,Продукты!$A$6:$A$66,0)),0)</f>
        <v>0</v>
      </c>
      <c r="N534" s="12">
        <f>IFERROR($J534/100*INDEX(Продукты!$J$6:$J$66,MATCH($E534,Продукты!$A$6:$A$66,0)),0)</f>
        <v>0</v>
      </c>
      <c r="O534" s="3" t="str">
        <f>IFERROR(IF(IFERROR(INDEX(Рецепты!$H$6:$H$85,MATCH(Меню!$D$27,Рецепты!$H$6:$H$85,0)+3)=Меню!$D$27,FALSE),INDEX(Рецепты!$N$6:$N$85,MATCH(Меню!$D$27,Рецепты!$H$6:$H$85,0)+3),""),"")</f>
        <v/>
      </c>
    </row>
    <row r="535" spans="1:15">
      <c r="A535" s="3" t="str">
        <f>IF($E535="","",Меню!$A$27)</f>
        <v/>
      </c>
      <c r="B535" s="3" t="str">
        <f>IF($E535="","",Меню!$B$27)</f>
        <v/>
      </c>
      <c r="C535" s="3" t="str">
        <f>IF($E535="","",Меню!$C$27)</f>
        <v/>
      </c>
      <c r="D535" s="3" t="str">
        <f>IF($E535="","",Меню!$D$27)</f>
        <v/>
      </c>
      <c r="E535" s="3" t="str">
        <f>IFERROR(IF(IFERROR(INDEX(Рецепты!$H$6:$H$85,MATCH(Меню!$D$27,Рецепты!$H$6:$H$85,0)+4)=Меню!$D$27,FALSE),INDEX(Рецепты!$J$6:$J$85,MATCH(Меню!$D$27,Рецепты!$H$6:$H$85,0)+4),""),"")</f>
        <v/>
      </c>
      <c r="F535" s="3" t="str">
        <f>IF($E535="","",INDEX(Рецепты!$K$6:$K$85,MATCH(Меню!$D$27,Рецепты!$H$6:$H$85,0)+4))</f>
        <v/>
      </c>
      <c r="G535" s="3" t="str">
        <f>IF($E535="","",INDEX(Рецепты!$M$6:$M$85,MATCH(Меню!$D$27,Рецепты!$H$6:$H$85,0)+4))</f>
        <v/>
      </c>
      <c r="H535" s="12">
        <f>IFERROR(IF(IFERROR(INDEX(Рецепты!$H$6:$H$85,MATCH(Меню!$D$27,Рецепты!$H$6:$H$85,0)+4)=Меню!$D$27,FALSE),INDEX(Рецепты!$L$6:$L$85,MATCH(Меню!$D$27,Рецепты!$H$6:$H$85,0)+4),0),0)</f>
        <v>0</v>
      </c>
      <c r="I535" s="12" t="str">
        <f>IF($F535="","",Меню!$E$27)</f>
        <v/>
      </c>
      <c r="J535" s="12">
        <f t="shared" si="8"/>
        <v>0</v>
      </c>
      <c r="K535" s="12">
        <f>IFERROR($J535/100*INDEX(Продукты!$G$6:$G$66,MATCH($E535,Продукты!$A$6:$A$66,0)),0)</f>
        <v>0</v>
      </c>
      <c r="L535" s="12">
        <f>IFERROR($J535/100*INDEX(Продукты!$H$6:$H$66,MATCH($E535,Продукты!$A$6:$A$66,0)),0)</f>
        <v>0</v>
      </c>
      <c r="M535" s="12">
        <f>IFERROR($J535/100*INDEX(Продукты!$I$6:$I$66,MATCH($E535,Продукты!$A$6:$A$66,0)),0)</f>
        <v>0</v>
      </c>
      <c r="N535" s="12">
        <f>IFERROR($J535/100*INDEX(Продукты!$J$6:$J$66,MATCH($E535,Продукты!$A$6:$A$66,0)),0)</f>
        <v>0</v>
      </c>
      <c r="O535" s="3" t="str">
        <f>IFERROR(IF(IFERROR(INDEX(Рецепты!$H$6:$H$85,MATCH(Меню!$D$27,Рецепты!$H$6:$H$85,0)+4)=Меню!$D$27,FALSE),INDEX(Рецепты!$N$6:$N$85,MATCH(Меню!$D$27,Рецепты!$H$6:$H$85,0)+4),""),"")</f>
        <v/>
      </c>
    </row>
    <row r="536" spans="1:15">
      <c r="A536" s="3" t="str">
        <f>IF($E536="","",Меню!$A$27)</f>
        <v/>
      </c>
      <c r="B536" s="3" t="str">
        <f>IF($E536="","",Меню!$B$27)</f>
        <v/>
      </c>
      <c r="C536" s="3" t="str">
        <f>IF($E536="","",Меню!$C$27)</f>
        <v/>
      </c>
      <c r="D536" s="3" t="str">
        <f>IF($E536="","",Меню!$D$27)</f>
        <v/>
      </c>
      <c r="E536" s="3" t="str">
        <f>IFERROR(IF(IFERROR(INDEX(Рецепты!$H$6:$H$85,MATCH(Меню!$D$27,Рецепты!$H$6:$H$85,0)+5)=Меню!$D$27,FALSE),INDEX(Рецепты!$J$6:$J$85,MATCH(Меню!$D$27,Рецепты!$H$6:$H$85,0)+5),""),"")</f>
        <v/>
      </c>
      <c r="F536" s="3" t="str">
        <f>IF($E536="","",INDEX(Рецепты!$K$6:$K$85,MATCH(Меню!$D$27,Рецепты!$H$6:$H$85,0)+5))</f>
        <v/>
      </c>
      <c r="G536" s="3" t="str">
        <f>IF($E536="","",INDEX(Рецепты!$M$6:$M$85,MATCH(Меню!$D$27,Рецепты!$H$6:$H$85,0)+5))</f>
        <v/>
      </c>
      <c r="H536" s="12">
        <f>IFERROR(IF(IFERROR(INDEX(Рецепты!$H$6:$H$85,MATCH(Меню!$D$27,Рецепты!$H$6:$H$85,0)+5)=Меню!$D$27,FALSE),INDEX(Рецепты!$L$6:$L$85,MATCH(Меню!$D$27,Рецепты!$H$6:$H$85,0)+5),0),0)</f>
        <v>0</v>
      </c>
      <c r="I536" s="12" t="str">
        <f>IF($F536="","",Меню!$E$27)</f>
        <v/>
      </c>
      <c r="J536" s="12">
        <f t="shared" si="8"/>
        <v>0</v>
      </c>
      <c r="K536" s="12">
        <f>IFERROR($J536/100*INDEX(Продукты!$G$6:$G$66,MATCH($E536,Продукты!$A$6:$A$66,0)),0)</f>
        <v>0</v>
      </c>
      <c r="L536" s="12">
        <f>IFERROR($J536/100*INDEX(Продукты!$H$6:$H$66,MATCH($E536,Продукты!$A$6:$A$66,0)),0)</f>
        <v>0</v>
      </c>
      <c r="M536" s="12">
        <f>IFERROR($J536/100*INDEX(Продукты!$I$6:$I$66,MATCH($E536,Продукты!$A$6:$A$66,0)),0)</f>
        <v>0</v>
      </c>
      <c r="N536" s="12">
        <f>IFERROR($J536/100*INDEX(Продукты!$J$6:$J$66,MATCH($E536,Продукты!$A$6:$A$66,0)),0)</f>
        <v>0</v>
      </c>
      <c r="O536" s="3" t="str">
        <f>IFERROR(IF(IFERROR(INDEX(Рецепты!$H$6:$H$85,MATCH(Меню!$D$27,Рецепты!$H$6:$H$85,0)+5)=Меню!$D$27,FALSE),INDEX(Рецепты!$N$6:$N$85,MATCH(Меню!$D$27,Рецепты!$H$6:$H$85,0)+5),""),"")</f>
        <v/>
      </c>
    </row>
    <row r="537" spans="1:15">
      <c r="A537" s="3" t="str">
        <f>IF($E537="","",Меню!$A$27)</f>
        <v/>
      </c>
      <c r="B537" s="3" t="str">
        <f>IF($E537="","",Меню!$B$27)</f>
        <v/>
      </c>
      <c r="C537" s="3" t="str">
        <f>IF($E537="","",Меню!$C$27)</f>
        <v/>
      </c>
      <c r="D537" s="3" t="str">
        <f>IF($E537="","",Меню!$D$27)</f>
        <v/>
      </c>
      <c r="E537" s="3" t="str">
        <f>IFERROR(IF(IFERROR(INDEX(Рецепты!$H$6:$H$85,MATCH(Меню!$D$27,Рецепты!$H$6:$H$85,0)+6)=Меню!$D$27,FALSE),INDEX(Рецепты!$J$6:$J$85,MATCH(Меню!$D$27,Рецепты!$H$6:$H$85,0)+6),""),"")</f>
        <v/>
      </c>
      <c r="F537" s="3" t="str">
        <f>IF($E537="","",INDEX(Рецепты!$K$6:$K$85,MATCH(Меню!$D$27,Рецепты!$H$6:$H$85,0)+6))</f>
        <v/>
      </c>
      <c r="G537" s="3" t="str">
        <f>IF($E537="","",INDEX(Рецепты!$M$6:$M$85,MATCH(Меню!$D$27,Рецепты!$H$6:$H$85,0)+6))</f>
        <v/>
      </c>
      <c r="H537" s="12">
        <f>IFERROR(IF(IFERROR(INDEX(Рецепты!$H$6:$H$85,MATCH(Меню!$D$27,Рецепты!$H$6:$H$85,0)+6)=Меню!$D$27,FALSE),INDEX(Рецепты!$L$6:$L$85,MATCH(Меню!$D$27,Рецепты!$H$6:$H$85,0)+6),0),0)</f>
        <v>0</v>
      </c>
      <c r="I537" s="12" t="str">
        <f>IF($F537="","",Меню!$E$27)</f>
        <v/>
      </c>
      <c r="J537" s="12">
        <f t="shared" si="8"/>
        <v>0</v>
      </c>
      <c r="K537" s="12">
        <f>IFERROR($J537/100*INDEX(Продукты!$G$6:$G$66,MATCH($E537,Продукты!$A$6:$A$66,0)),0)</f>
        <v>0</v>
      </c>
      <c r="L537" s="12">
        <f>IFERROR($J537/100*INDEX(Продукты!$H$6:$H$66,MATCH($E537,Продукты!$A$6:$A$66,0)),0)</f>
        <v>0</v>
      </c>
      <c r="M537" s="12">
        <f>IFERROR($J537/100*INDEX(Продукты!$I$6:$I$66,MATCH($E537,Продукты!$A$6:$A$66,0)),0)</f>
        <v>0</v>
      </c>
      <c r="N537" s="12">
        <f>IFERROR($J537/100*INDEX(Продукты!$J$6:$J$66,MATCH($E537,Продукты!$A$6:$A$66,0)),0)</f>
        <v>0</v>
      </c>
      <c r="O537" s="3" t="str">
        <f>IFERROR(IF(IFERROR(INDEX(Рецепты!$H$6:$H$85,MATCH(Меню!$D$27,Рецепты!$H$6:$H$85,0)+6)=Меню!$D$27,FALSE),INDEX(Рецепты!$N$6:$N$85,MATCH(Меню!$D$27,Рецепты!$H$6:$H$85,0)+6),""),"")</f>
        <v/>
      </c>
    </row>
    <row r="538" spans="1:15">
      <c r="A538" s="3" t="str">
        <f>IF($E538="","",Меню!$A$27)</f>
        <v/>
      </c>
      <c r="B538" s="3" t="str">
        <f>IF($E538="","",Меню!$B$27)</f>
        <v/>
      </c>
      <c r="C538" s="3" t="str">
        <f>IF($E538="","",Меню!$C$27)</f>
        <v/>
      </c>
      <c r="D538" s="3" t="str">
        <f>IF($E538="","",Меню!$D$27)</f>
        <v/>
      </c>
      <c r="E538" s="3" t="str">
        <f>IFERROR(IF(IFERROR(INDEX(Рецепты!$H$6:$H$85,MATCH(Меню!$D$27,Рецепты!$H$6:$H$85,0)+7)=Меню!$D$27,FALSE),INDEX(Рецепты!$J$6:$J$85,MATCH(Меню!$D$27,Рецепты!$H$6:$H$85,0)+7),""),"")</f>
        <v/>
      </c>
      <c r="F538" s="3" t="str">
        <f>IF($E538="","",INDEX(Рецепты!$K$6:$K$85,MATCH(Меню!$D$27,Рецепты!$H$6:$H$85,0)+7))</f>
        <v/>
      </c>
      <c r="G538" s="3" t="str">
        <f>IF($E538="","",INDEX(Рецепты!$M$6:$M$85,MATCH(Меню!$D$27,Рецепты!$H$6:$H$85,0)+7))</f>
        <v/>
      </c>
      <c r="H538" s="12">
        <f>IFERROR(IF(IFERROR(INDEX(Рецепты!$H$6:$H$85,MATCH(Меню!$D$27,Рецепты!$H$6:$H$85,0)+7)=Меню!$D$27,FALSE),INDEX(Рецепты!$L$6:$L$85,MATCH(Меню!$D$27,Рецепты!$H$6:$H$85,0)+7),0),0)</f>
        <v>0</v>
      </c>
      <c r="I538" s="12" t="str">
        <f>IF($F538="","",Меню!$E$27)</f>
        <v/>
      </c>
      <c r="J538" s="12">
        <f t="shared" si="8"/>
        <v>0</v>
      </c>
      <c r="K538" s="12">
        <f>IFERROR($J538/100*INDEX(Продукты!$G$6:$G$66,MATCH($E538,Продукты!$A$6:$A$66,0)),0)</f>
        <v>0</v>
      </c>
      <c r="L538" s="12">
        <f>IFERROR($J538/100*INDEX(Продукты!$H$6:$H$66,MATCH($E538,Продукты!$A$6:$A$66,0)),0)</f>
        <v>0</v>
      </c>
      <c r="M538" s="12">
        <f>IFERROR($J538/100*INDEX(Продукты!$I$6:$I$66,MATCH($E538,Продукты!$A$6:$A$66,0)),0)</f>
        <v>0</v>
      </c>
      <c r="N538" s="12">
        <f>IFERROR($J538/100*INDEX(Продукты!$J$6:$J$66,MATCH($E538,Продукты!$A$6:$A$66,0)),0)</f>
        <v>0</v>
      </c>
      <c r="O538" s="3" t="str">
        <f>IFERROR(IF(IFERROR(INDEX(Рецепты!$H$6:$H$85,MATCH(Меню!$D$27,Рецепты!$H$6:$H$85,0)+7)=Меню!$D$27,FALSE),INDEX(Рецепты!$N$6:$N$85,MATCH(Меню!$D$27,Рецепты!$H$6:$H$85,0)+7),""),"")</f>
        <v/>
      </c>
    </row>
    <row r="539" spans="1:15">
      <c r="A539" s="3" t="str">
        <f>IF($E539="","",Меню!$A$27)</f>
        <v/>
      </c>
      <c r="B539" s="3" t="str">
        <f>IF($E539="","",Меню!$B$27)</f>
        <v/>
      </c>
      <c r="C539" s="3" t="str">
        <f>IF($E539="","",Меню!$C$27)</f>
        <v/>
      </c>
      <c r="D539" s="3" t="str">
        <f>IF($E539="","",Меню!$D$27)</f>
        <v/>
      </c>
      <c r="E539" s="3" t="str">
        <f>IFERROR(IF(IFERROR(INDEX(Рецепты!$H$6:$H$85,MATCH(Меню!$D$27,Рецепты!$H$6:$H$85,0)+8)=Меню!$D$27,FALSE),INDEX(Рецепты!$J$6:$J$85,MATCH(Меню!$D$27,Рецепты!$H$6:$H$85,0)+8),""),"")</f>
        <v/>
      </c>
      <c r="F539" s="3" t="str">
        <f>IF($E539="","",INDEX(Рецепты!$K$6:$K$85,MATCH(Меню!$D$27,Рецепты!$H$6:$H$85,0)+8))</f>
        <v/>
      </c>
      <c r="G539" s="3" t="str">
        <f>IF($E539="","",INDEX(Рецепты!$M$6:$M$85,MATCH(Меню!$D$27,Рецепты!$H$6:$H$85,0)+8))</f>
        <v/>
      </c>
      <c r="H539" s="12">
        <f>IFERROR(IF(IFERROR(INDEX(Рецепты!$H$6:$H$85,MATCH(Меню!$D$27,Рецепты!$H$6:$H$85,0)+8)=Меню!$D$27,FALSE),INDEX(Рецепты!$L$6:$L$85,MATCH(Меню!$D$27,Рецепты!$H$6:$H$85,0)+8),0),0)</f>
        <v>0</v>
      </c>
      <c r="I539" s="12" t="str">
        <f>IF($F539="","",Меню!$E$27)</f>
        <v/>
      </c>
      <c r="J539" s="12">
        <f t="shared" si="8"/>
        <v>0</v>
      </c>
      <c r="K539" s="12">
        <f>IFERROR($J539/100*INDEX(Продукты!$G$6:$G$66,MATCH($E539,Продукты!$A$6:$A$66,0)),0)</f>
        <v>0</v>
      </c>
      <c r="L539" s="12">
        <f>IFERROR($J539/100*INDEX(Продукты!$H$6:$H$66,MATCH($E539,Продукты!$A$6:$A$66,0)),0)</f>
        <v>0</v>
      </c>
      <c r="M539" s="12">
        <f>IFERROR($J539/100*INDEX(Продукты!$I$6:$I$66,MATCH($E539,Продукты!$A$6:$A$66,0)),0)</f>
        <v>0</v>
      </c>
      <c r="N539" s="12">
        <f>IFERROR($J539/100*INDEX(Продукты!$J$6:$J$66,MATCH($E539,Продукты!$A$6:$A$66,0)),0)</f>
        <v>0</v>
      </c>
      <c r="O539" s="3" t="str">
        <f>IFERROR(IF(IFERROR(INDEX(Рецепты!$H$6:$H$85,MATCH(Меню!$D$27,Рецепты!$H$6:$H$85,0)+8)=Меню!$D$27,FALSE),INDEX(Рецепты!$N$6:$N$85,MATCH(Меню!$D$27,Рецепты!$H$6:$H$85,0)+8),""),"")</f>
        <v/>
      </c>
    </row>
    <row r="540" spans="1:15">
      <c r="A540" s="3" t="str">
        <f>IF($E540="","",Меню!$A$27)</f>
        <v/>
      </c>
      <c r="B540" s="3" t="str">
        <f>IF($E540="","",Меню!$B$27)</f>
        <v/>
      </c>
      <c r="C540" s="3" t="str">
        <f>IF($E540="","",Меню!$C$27)</f>
        <v/>
      </c>
      <c r="D540" s="3" t="str">
        <f>IF($E540="","",Меню!$D$27)</f>
        <v/>
      </c>
      <c r="E540" s="3" t="str">
        <f>IFERROR(IF(IFERROR(INDEX(Рецепты!$H$6:$H$85,MATCH(Меню!$D$27,Рецепты!$H$6:$H$85,0)+9)=Меню!$D$27,FALSE),INDEX(Рецепты!$J$6:$J$85,MATCH(Меню!$D$27,Рецепты!$H$6:$H$85,0)+9),""),"")</f>
        <v/>
      </c>
      <c r="F540" s="3" t="str">
        <f>IF($E540="","",INDEX(Рецепты!$K$6:$K$85,MATCH(Меню!$D$27,Рецепты!$H$6:$H$85,0)+9))</f>
        <v/>
      </c>
      <c r="G540" s="3" t="str">
        <f>IF($E540="","",INDEX(Рецепты!$M$6:$M$85,MATCH(Меню!$D$27,Рецепты!$H$6:$H$85,0)+9))</f>
        <v/>
      </c>
      <c r="H540" s="12">
        <f>IFERROR(IF(IFERROR(INDEX(Рецепты!$H$6:$H$85,MATCH(Меню!$D$27,Рецепты!$H$6:$H$85,0)+9)=Меню!$D$27,FALSE),INDEX(Рецепты!$L$6:$L$85,MATCH(Меню!$D$27,Рецепты!$H$6:$H$85,0)+9),0),0)</f>
        <v>0</v>
      </c>
      <c r="I540" s="12" t="str">
        <f>IF($F540="","",Меню!$E$27)</f>
        <v/>
      </c>
      <c r="J540" s="12">
        <f t="shared" si="8"/>
        <v>0</v>
      </c>
      <c r="K540" s="12">
        <f>IFERROR($J540/100*INDEX(Продукты!$G$6:$G$66,MATCH($E540,Продукты!$A$6:$A$66,0)),0)</f>
        <v>0</v>
      </c>
      <c r="L540" s="12">
        <f>IFERROR($J540/100*INDEX(Продукты!$H$6:$H$66,MATCH($E540,Продукты!$A$6:$A$66,0)),0)</f>
        <v>0</v>
      </c>
      <c r="M540" s="12">
        <f>IFERROR($J540/100*INDEX(Продукты!$I$6:$I$66,MATCH($E540,Продукты!$A$6:$A$66,0)),0)</f>
        <v>0</v>
      </c>
      <c r="N540" s="12">
        <f>IFERROR($J540/100*INDEX(Продукты!$J$6:$J$66,MATCH($E540,Продукты!$A$6:$A$66,0)),0)</f>
        <v>0</v>
      </c>
      <c r="O540" s="3" t="str">
        <f>IFERROR(IF(IFERROR(INDEX(Рецепты!$H$6:$H$85,MATCH(Меню!$D$27,Рецепты!$H$6:$H$85,0)+9)=Меню!$D$27,FALSE),INDEX(Рецепты!$N$6:$N$85,MATCH(Меню!$D$27,Рецепты!$H$6:$H$85,0)+9),""),"")</f>
        <v/>
      </c>
    </row>
    <row r="541" spans="1:15">
      <c r="A541" s="3" t="str">
        <f>IF($E541="","",Меню!$A$27)</f>
        <v/>
      </c>
      <c r="B541" s="3" t="str">
        <f>IF($E541="","",Меню!$B$27)</f>
        <v/>
      </c>
      <c r="C541" s="3" t="str">
        <f>IF($E541="","",Меню!$C$27)</f>
        <v/>
      </c>
      <c r="D541" s="3" t="str">
        <f>IF($E541="","",Меню!$D$27)</f>
        <v/>
      </c>
      <c r="E541" s="3" t="str">
        <f>IFERROR(IF(IFERROR(INDEX(Рецепты!$H$6:$H$85,MATCH(Меню!$D$27,Рецепты!$H$6:$H$85,0)+10)=Меню!$D$27,FALSE),INDEX(Рецепты!$J$6:$J$85,MATCH(Меню!$D$27,Рецепты!$H$6:$H$85,0)+10),""),"")</f>
        <v/>
      </c>
      <c r="F541" s="3" t="str">
        <f>IF($E541="","",INDEX(Рецепты!$K$6:$K$85,MATCH(Меню!$D$27,Рецепты!$H$6:$H$85,0)+10))</f>
        <v/>
      </c>
      <c r="G541" s="3" t="str">
        <f>IF($E541="","",INDEX(Рецепты!$M$6:$M$85,MATCH(Меню!$D$27,Рецепты!$H$6:$H$85,0)+10))</f>
        <v/>
      </c>
      <c r="H541" s="12">
        <f>IFERROR(IF(IFERROR(INDEX(Рецепты!$H$6:$H$85,MATCH(Меню!$D$27,Рецепты!$H$6:$H$85,0)+10)=Меню!$D$27,FALSE),INDEX(Рецепты!$L$6:$L$85,MATCH(Меню!$D$27,Рецепты!$H$6:$H$85,0)+10),0),0)</f>
        <v>0</v>
      </c>
      <c r="I541" s="12" t="str">
        <f>IF($F541="","",Меню!$E$27)</f>
        <v/>
      </c>
      <c r="J541" s="12">
        <f t="shared" si="8"/>
        <v>0</v>
      </c>
      <c r="K541" s="12">
        <f>IFERROR($J541/100*INDEX(Продукты!$G$6:$G$66,MATCH($E541,Продукты!$A$6:$A$66,0)),0)</f>
        <v>0</v>
      </c>
      <c r="L541" s="12">
        <f>IFERROR($J541/100*INDEX(Продукты!$H$6:$H$66,MATCH($E541,Продукты!$A$6:$A$66,0)),0)</f>
        <v>0</v>
      </c>
      <c r="M541" s="12">
        <f>IFERROR($J541/100*INDEX(Продукты!$I$6:$I$66,MATCH($E541,Продукты!$A$6:$A$66,0)),0)</f>
        <v>0</v>
      </c>
      <c r="N541" s="12">
        <f>IFERROR($J541/100*INDEX(Продукты!$J$6:$J$66,MATCH($E541,Продукты!$A$6:$A$66,0)),0)</f>
        <v>0</v>
      </c>
      <c r="O541" s="3" t="str">
        <f>IFERROR(IF(IFERROR(INDEX(Рецепты!$H$6:$H$85,MATCH(Меню!$D$27,Рецепты!$H$6:$H$85,0)+10)=Меню!$D$27,FALSE),INDEX(Рецепты!$N$6:$N$85,MATCH(Меню!$D$27,Рецепты!$H$6:$H$85,0)+10),""),"")</f>
        <v/>
      </c>
    </row>
    <row r="542" spans="1:15">
      <c r="A542" s="3" t="str">
        <f>IF($E542="","",Меню!$A$27)</f>
        <v/>
      </c>
      <c r="B542" s="3" t="str">
        <f>IF($E542="","",Меню!$B$27)</f>
        <v/>
      </c>
      <c r="C542" s="3" t="str">
        <f>IF($E542="","",Меню!$C$27)</f>
        <v/>
      </c>
      <c r="D542" s="3" t="str">
        <f>IF($E542="","",Меню!$D$27)</f>
        <v/>
      </c>
      <c r="E542" s="3" t="str">
        <f>IFERROR(IF(IFERROR(INDEX(Рецепты!$H$6:$H$85,MATCH(Меню!$D$27,Рецепты!$H$6:$H$85,0)+11)=Меню!$D$27,FALSE),INDEX(Рецепты!$J$6:$J$85,MATCH(Меню!$D$27,Рецепты!$H$6:$H$85,0)+11),""),"")</f>
        <v/>
      </c>
      <c r="F542" s="3" t="str">
        <f>IF($E542="","",INDEX(Рецепты!$K$6:$K$85,MATCH(Меню!$D$27,Рецепты!$H$6:$H$85,0)+11))</f>
        <v/>
      </c>
      <c r="G542" s="3" t="str">
        <f>IF($E542="","",INDEX(Рецепты!$M$6:$M$85,MATCH(Меню!$D$27,Рецепты!$H$6:$H$85,0)+11))</f>
        <v/>
      </c>
      <c r="H542" s="12">
        <f>IFERROR(IF(IFERROR(INDEX(Рецепты!$H$6:$H$85,MATCH(Меню!$D$27,Рецепты!$H$6:$H$85,0)+11)=Меню!$D$27,FALSE),INDEX(Рецепты!$L$6:$L$85,MATCH(Меню!$D$27,Рецепты!$H$6:$H$85,0)+11),0),0)</f>
        <v>0</v>
      </c>
      <c r="I542" s="12" t="str">
        <f>IF($F542="","",Меню!$E$27)</f>
        <v/>
      </c>
      <c r="J542" s="12">
        <f t="shared" si="8"/>
        <v>0</v>
      </c>
      <c r="K542" s="12">
        <f>IFERROR($J542/100*INDEX(Продукты!$G$6:$G$66,MATCH($E542,Продукты!$A$6:$A$66,0)),0)</f>
        <v>0</v>
      </c>
      <c r="L542" s="12">
        <f>IFERROR($J542/100*INDEX(Продукты!$H$6:$H$66,MATCH($E542,Продукты!$A$6:$A$66,0)),0)</f>
        <v>0</v>
      </c>
      <c r="M542" s="12">
        <f>IFERROR($J542/100*INDEX(Продукты!$I$6:$I$66,MATCH($E542,Продукты!$A$6:$A$66,0)),0)</f>
        <v>0</v>
      </c>
      <c r="N542" s="12">
        <f>IFERROR($J542/100*INDEX(Продукты!$J$6:$J$66,MATCH($E542,Продукты!$A$6:$A$66,0)),0)</f>
        <v>0</v>
      </c>
      <c r="O542" s="3" t="str">
        <f>IFERROR(IF(IFERROR(INDEX(Рецепты!$H$6:$H$85,MATCH(Меню!$D$27,Рецепты!$H$6:$H$85,0)+11)=Меню!$D$27,FALSE),INDEX(Рецепты!$N$6:$N$85,MATCH(Меню!$D$27,Рецепты!$H$6:$H$85,0)+11),""),"")</f>
        <v/>
      </c>
    </row>
    <row r="543" spans="1:15">
      <c r="A543" s="3" t="str">
        <f>IF($E543="","",Меню!$A$27)</f>
        <v/>
      </c>
      <c r="B543" s="3" t="str">
        <f>IF($E543="","",Меню!$B$27)</f>
        <v/>
      </c>
      <c r="C543" s="3" t="str">
        <f>IF($E543="","",Меню!$C$27)</f>
        <v/>
      </c>
      <c r="D543" s="3" t="str">
        <f>IF($E543="","",Меню!$D$27)</f>
        <v/>
      </c>
      <c r="E543" s="3" t="str">
        <f>IFERROR(IF(IFERROR(INDEX(Рецепты!$H$6:$H$85,MATCH(Меню!$D$27,Рецепты!$H$6:$H$85,0)+12)=Меню!$D$27,FALSE),INDEX(Рецепты!$J$6:$J$85,MATCH(Меню!$D$27,Рецепты!$H$6:$H$85,0)+12),""),"")</f>
        <v/>
      </c>
      <c r="F543" s="3" t="str">
        <f>IF($E543="","",INDEX(Рецепты!$K$6:$K$85,MATCH(Меню!$D$27,Рецепты!$H$6:$H$85,0)+12))</f>
        <v/>
      </c>
      <c r="G543" s="3" t="str">
        <f>IF($E543="","",INDEX(Рецепты!$M$6:$M$85,MATCH(Меню!$D$27,Рецепты!$H$6:$H$85,0)+12))</f>
        <v/>
      </c>
      <c r="H543" s="12">
        <f>IFERROR(IF(IFERROR(INDEX(Рецепты!$H$6:$H$85,MATCH(Меню!$D$27,Рецепты!$H$6:$H$85,0)+12)=Меню!$D$27,FALSE),INDEX(Рецепты!$L$6:$L$85,MATCH(Меню!$D$27,Рецепты!$H$6:$H$85,0)+12),0),0)</f>
        <v>0</v>
      </c>
      <c r="I543" s="12" t="str">
        <f>IF($F543="","",Меню!$E$27)</f>
        <v/>
      </c>
      <c r="J543" s="12">
        <f t="shared" si="8"/>
        <v>0</v>
      </c>
      <c r="K543" s="12">
        <f>IFERROR($J543/100*INDEX(Продукты!$G$6:$G$66,MATCH($E543,Продукты!$A$6:$A$66,0)),0)</f>
        <v>0</v>
      </c>
      <c r="L543" s="12">
        <f>IFERROR($J543/100*INDEX(Продукты!$H$6:$H$66,MATCH($E543,Продукты!$A$6:$A$66,0)),0)</f>
        <v>0</v>
      </c>
      <c r="M543" s="12">
        <f>IFERROR($J543/100*INDEX(Продукты!$I$6:$I$66,MATCH($E543,Продукты!$A$6:$A$66,0)),0)</f>
        <v>0</v>
      </c>
      <c r="N543" s="12">
        <f>IFERROR($J543/100*INDEX(Продукты!$J$6:$J$66,MATCH($E543,Продукты!$A$6:$A$66,0)),0)</f>
        <v>0</v>
      </c>
      <c r="O543" s="3" t="str">
        <f>IFERROR(IF(IFERROR(INDEX(Рецепты!$H$6:$H$85,MATCH(Меню!$D$27,Рецепты!$H$6:$H$85,0)+12)=Меню!$D$27,FALSE),INDEX(Рецепты!$N$6:$N$85,MATCH(Меню!$D$27,Рецепты!$H$6:$H$85,0)+12),""),"")</f>
        <v/>
      </c>
    </row>
    <row r="544" spans="1:15">
      <c r="A544" s="3" t="str">
        <f>IF($E544="","",Меню!$A$27)</f>
        <v/>
      </c>
      <c r="B544" s="3" t="str">
        <f>IF($E544="","",Меню!$B$27)</f>
        <v/>
      </c>
      <c r="C544" s="3" t="str">
        <f>IF($E544="","",Меню!$C$27)</f>
        <v/>
      </c>
      <c r="D544" s="3" t="str">
        <f>IF($E544="","",Меню!$D$27)</f>
        <v/>
      </c>
      <c r="E544" s="3" t="str">
        <f>IFERROR(IF(IFERROR(INDEX(Рецепты!$H$6:$H$85,MATCH(Меню!$D$27,Рецепты!$H$6:$H$85,0)+13)=Меню!$D$27,FALSE),INDEX(Рецепты!$J$6:$J$85,MATCH(Меню!$D$27,Рецепты!$H$6:$H$85,0)+13),""),"")</f>
        <v/>
      </c>
      <c r="F544" s="3" t="str">
        <f>IF($E544="","",INDEX(Рецепты!$K$6:$K$85,MATCH(Меню!$D$27,Рецепты!$H$6:$H$85,0)+13))</f>
        <v/>
      </c>
      <c r="G544" s="3" t="str">
        <f>IF($E544="","",INDEX(Рецепты!$M$6:$M$85,MATCH(Меню!$D$27,Рецепты!$H$6:$H$85,0)+13))</f>
        <v/>
      </c>
      <c r="H544" s="12">
        <f>IFERROR(IF(IFERROR(INDEX(Рецепты!$H$6:$H$85,MATCH(Меню!$D$27,Рецепты!$H$6:$H$85,0)+13)=Меню!$D$27,FALSE),INDEX(Рецепты!$L$6:$L$85,MATCH(Меню!$D$27,Рецепты!$H$6:$H$85,0)+13),0),0)</f>
        <v>0</v>
      </c>
      <c r="I544" s="12" t="str">
        <f>IF($F544="","",Меню!$E$27)</f>
        <v/>
      </c>
      <c r="J544" s="12">
        <f t="shared" si="8"/>
        <v>0</v>
      </c>
      <c r="K544" s="12">
        <f>IFERROR($J544/100*INDEX(Продукты!$G$6:$G$66,MATCH($E544,Продукты!$A$6:$A$66,0)),0)</f>
        <v>0</v>
      </c>
      <c r="L544" s="12">
        <f>IFERROR($J544/100*INDEX(Продукты!$H$6:$H$66,MATCH($E544,Продукты!$A$6:$A$66,0)),0)</f>
        <v>0</v>
      </c>
      <c r="M544" s="12">
        <f>IFERROR($J544/100*INDEX(Продукты!$I$6:$I$66,MATCH($E544,Продукты!$A$6:$A$66,0)),0)</f>
        <v>0</v>
      </c>
      <c r="N544" s="12">
        <f>IFERROR($J544/100*INDEX(Продукты!$J$6:$J$66,MATCH($E544,Продукты!$A$6:$A$66,0)),0)</f>
        <v>0</v>
      </c>
      <c r="O544" s="3" t="str">
        <f>IFERROR(IF(IFERROR(INDEX(Рецепты!$H$6:$H$85,MATCH(Меню!$D$27,Рецепты!$H$6:$H$85,0)+13)=Меню!$D$27,FALSE),INDEX(Рецепты!$N$6:$N$85,MATCH(Меню!$D$27,Рецепты!$H$6:$H$85,0)+13),""),"")</f>
        <v/>
      </c>
    </row>
    <row r="545" spans="1:15">
      <c r="A545" s="3" t="str">
        <f>IF($E545="","",Меню!$A$27)</f>
        <v/>
      </c>
      <c r="B545" s="3" t="str">
        <f>IF($E545="","",Меню!$B$27)</f>
        <v/>
      </c>
      <c r="C545" s="3" t="str">
        <f>IF($E545="","",Меню!$C$27)</f>
        <v/>
      </c>
      <c r="D545" s="3" t="str">
        <f>IF($E545="","",Меню!$D$27)</f>
        <v/>
      </c>
      <c r="E545" s="3" t="str">
        <f>IFERROR(IF(IFERROR(INDEX(Рецепты!$H$6:$H$85,MATCH(Меню!$D$27,Рецепты!$H$6:$H$85,0)+14)=Меню!$D$27,FALSE),INDEX(Рецепты!$J$6:$J$85,MATCH(Меню!$D$27,Рецепты!$H$6:$H$85,0)+14),""),"")</f>
        <v/>
      </c>
      <c r="F545" s="3" t="str">
        <f>IF($E545="","",INDEX(Рецепты!$K$6:$K$85,MATCH(Меню!$D$27,Рецепты!$H$6:$H$85,0)+14))</f>
        <v/>
      </c>
      <c r="G545" s="3" t="str">
        <f>IF($E545="","",INDEX(Рецепты!$M$6:$M$85,MATCH(Меню!$D$27,Рецепты!$H$6:$H$85,0)+14))</f>
        <v/>
      </c>
      <c r="H545" s="12">
        <f>IFERROR(IF(IFERROR(INDEX(Рецепты!$H$6:$H$85,MATCH(Меню!$D$27,Рецепты!$H$6:$H$85,0)+14)=Меню!$D$27,FALSE),INDEX(Рецепты!$L$6:$L$85,MATCH(Меню!$D$27,Рецепты!$H$6:$H$85,0)+14),0),0)</f>
        <v>0</v>
      </c>
      <c r="I545" s="12" t="str">
        <f>IF($F545="","",Меню!$E$27)</f>
        <v/>
      </c>
      <c r="J545" s="12">
        <f t="shared" si="8"/>
        <v>0</v>
      </c>
      <c r="K545" s="12">
        <f>IFERROR($J545/100*INDEX(Продукты!$G$6:$G$66,MATCH($E545,Продукты!$A$6:$A$66,0)),0)</f>
        <v>0</v>
      </c>
      <c r="L545" s="12">
        <f>IFERROR($J545/100*INDEX(Продукты!$H$6:$H$66,MATCH($E545,Продукты!$A$6:$A$66,0)),0)</f>
        <v>0</v>
      </c>
      <c r="M545" s="12">
        <f>IFERROR($J545/100*INDEX(Продукты!$I$6:$I$66,MATCH($E545,Продукты!$A$6:$A$66,0)),0)</f>
        <v>0</v>
      </c>
      <c r="N545" s="12">
        <f>IFERROR($J545/100*INDEX(Продукты!$J$6:$J$66,MATCH($E545,Продукты!$A$6:$A$66,0)),0)</f>
        <v>0</v>
      </c>
      <c r="O545" s="3" t="str">
        <f>IFERROR(IF(IFERROR(INDEX(Рецепты!$H$6:$H$85,MATCH(Меню!$D$27,Рецепты!$H$6:$H$85,0)+14)=Меню!$D$27,FALSE),INDEX(Рецепты!$N$6:$N$85,MATCH(Меню!$D$27,Рецепты!$H$6:$H$85,0)+14),""),"")</f>
        <v/>
      </c>
    </row>
    <row r="546" spans="1:15">
      <c r="A546" s="3" t="str">
        <f>IF($E546="","",Меню!$A$27)</f>
        <v/>
      </c>
      <c r="B546" s="3" t="str">
        <f>IF($E546="","",Меню!$B$27)</f>
        <v/>
      </c>
      <c r="C546" s="3" t="str">
        <f>IF($E546="","",Меню!$C$27)</f>
        <v/>
      </c>
      <c r="D546" s="3" t="str">
        <f>IF($E546="","",Меню!$D$27)</f>
        <v/>
      </c>
      <c r="E546" s="3" t="str">
        <f>IFERROR(IF(IFERROR(INDEX(Рецепты!$H$6:$H$85,MATCH(Меню!$D$27,Рецепты!$H$6:$H$85,0)+15)=Меню!$D$27,FALSE),INDEX(Рецепты!$J$6:$J$85,MATCH(Меню!$D$27,Рецепты!$H$6:$H$85,0)+15),""),"")</f>
        <v/>
      </c>
      <c r="F546" s="3" t="str">
        <f>IF($E546="","",INDEX(Рецепты!$K$6:$K$85,MATCH(Меню!$D$27,Рецепты!$H$6:$H$85,0)+15))</f>
        <v/>
      </c>
      <c r="G546" s="3" t="str">
        <f>IF($E546="","",INDEX(Рецепты!$M$6:$M$85,MATCH(Меню!$D$27,Рецепты!$H$6:$H$85,0)+15))</f>
        <v/>
      </c>
      <c r="H546" s="12">
        <f>IFERROR(IF(IFERROR(INDEX(Рецепты!$H$6:$H$85,MATCH(Меню!$D$27,Рецепты!$H$6:$H$85,0)+15)=Меню!$D$27,FALSE),INDEX(Рецепты!$L$6:$L$85,MATCH(Меню!$D$27,Рецепты!$H$6:$H$85,0)+15),0),0)</f>
        <v>0</v>
      </c>
      <c r="I546" s="12" t="str">
        <f>IF($F546="","",Меню!$E$27)</f>
        <v/>
      </c>
      <c r="J546" s="12">
        <f t="shared" si="8"/>
        <v>0</v>
      </c>
      <c r="K546" s="12">
        <f>IFERROR($J546/100*INDEX(Продукты!$G$6:$G$66,MATCH($E546,Продукты!$A$6:$A$66,0)),0)</f>
        <v>0</v>
      </c>
      <c r="L546" s="12">
        <f>IFERROR($J546/100*INDEX(Продукты!$H$6:$H$66,MATCH($E546,Продукты!$A$6:$A$66,0)),0)</f>
        <v>0</v>
      </c>
      <c r="M546" s="12">
        <f>IFERROR($J546/100*INDEX(Продукты!$I$6:$I$66,MATCH($E546,Продукты!$A$6:$A$66,0)),0)</f>
        <v>0</v>
      </c>
      <c r="N546" s="12">
        <f>IFERROR($J546/100*INDEX(Продукты!$J$6:$J$66,MATCH($E546,Продукты!$A$6:$A$66,0)),0)</f>
        <v>0</v>
      </c>
      <c r="O546" s="3" t="str">
        <f>IFERROR(IF(IFERROR(INDEX(Рецепты!$H$6:$H$85,MATCH(Меню!$D$27,Рецепты!$H$6:$H$85,0)+15)=Меню!$D$27,FALSE),INDEX(Рецепты!$N$6:$N$85,MATCH(Меню!$D$27,Рецепты!$H$6:$H$85,0)+15),""),"")</f>
        <v/>
      </c>
    </row>
    <row r="547" spans="1:15">
      <c r="A547" s="3" t="str">
        <f>IF($E547="","",Меню!$A$27)</f>
        <v/>
      </c>
      <c r="B547" s="3" t="str">
        <f>IF($E547="","",Меню!$B$27)</f>
        <v/>
      </c>
      <c r="C547" s="3" t="str">
        <f>IF($E547="","",Меню!$C$27)</f>
        <v/>
      </c>
      <c r="D547" s="3" t="str">
        <f>IF($E547="","",Меню!$D$27)</f>
        <v/>
      </c>
      <c r="E547" s="3" t="str">
        <f>IFERROR(IF(IFERROR(INDEX(Рецепты!$H$6:$H$85,MATCH(Меню!$D$27,Рецепты!$H$6:$H$85,0)+16)=Меню!$D$27,FALSE),INDEX(Рецепты!$J$6:$J$85,MATCH(Меню!$D$27,Рецепты!$H$6:$H$85,0)+16),""),"")</f>
        <v/>
      </c>
      <c r="F547" s="3" t="str">
        <f>IF($E547="","",INDEX(Рецепты!$K$6:$K$85,MATCH(Меню!$D$27,Рецепты!$H$6:$H$85,0)+16))</f>
        <v/>
      </c>
      <c r="G547" s="3" t="str">
        <f>IF($E547="","",INDEX(Рецепты!$M$6:$M$85,MATCH(Меню!$D$27,Рецепты!$H$6:$H$85,0)+16))</f>
        <v/>
      </c>
      <c r="H547" s="12">
        <f>IFERROR(IF(IFERROR(INDEX(Рецепты!$H$6:$H$85,MATCH(Меню!$D$27,Рецепты!$H$6:$H$85,0)+16)=Меню!$D$27,FALSE),INDEX(Рецепты!$L$6:$L$85,MATCH(Меню!$D$27,Рецепты!$H$6:$H$85,0)+16),0),0)</f>
        <v>0</v>
      </c>
      <c r="I547" s="12" t="str">
        <f>IF($F547="","",Меню!$E$27)</f>
        <v/>
      </c>
      <c r="J547" s="12">
        <f t="shared" si="8"/>
        <v>0</v>
      </c>
      <c r="K547" s="12">
        <f>IFERROR($J547/100*INDEX(Продукты!$G$6:$G$66,MATCH($E547,Продукты!$A$6:$A$66,0)),0)</f>
        <v>0</v>
      </c>
      <c r="L547" s="12">
        <f>IFERROR($J547/100*INDEX(Продукты!$H$6:$H$66,MATCH($E547,Продукты!$A$6:$A$66,0)),0)</f>
        <v>0</v>
      </c>
      <c r="M547" s="12">
        <f>IFERROR($J547/100*INDEX(Продукты!$I$6:$I$66,MATCH($E547,Продукты!$A$6:$A$66,0)),0)</f>
        <v>0</v>
      </c>
      <c r="N547" s="12">
        <f>IFERROR($J547/100*INDEX(Продукты!$J$6:$J$66,MATCH($E547,Продукты!$A$6:$A$66,0)),0)</f>
        <v>0</v>
      </c>
      <c r="O547" s="3" t="str">
        <f>IFERROR(IF(IFERROR(INDEX(Рецепты!$H$6:$H$85,MATCH(Меню!$D$27,Рецепты!$H$6:$H$85,0)+16)=Меню!$D$27,FALSE),INDEX(Рецепты!$N$6:$N$85,MATCH(Меню!$D$27,Рецепты!$H$6:$H$85,0)+16),""),"")</f>
        <v/>
      </c>
    </row>
    <row r="548" spans="1:15">
      <c r="A548" s="3" t="str">
        <f>IF($E548="","",Меню!$A$27)</f>
        <v/>
      </c>
      <c r="B548" s="3" t="str">
        <f>IF($E548="","",Меню!$B$27)</f>
        <v/>
      </c>
      <c r="C548" s="3" t="str">
        <f>IF($E548="","",Меню!$C$27)</f>
        <v/>
      </c>
      <c r="D548" s="3" t="str">
        <f>IF($E548="","",Меню!$D$27)</f>
        <v/>
      </c>
      <c r="E548" s="3" t="str">
        <f>IFERROR(IF(IFERROR(INDEX(Рецепты!$H$6:$H$85,MATCH(Меню!$D$27,Рецепты!$H$6:$H$85,0)+17)=Меню!$D$27,FALSE),INDEX(Рецепты!$J$6:$J$85,MATCH(Меню!$D$27,Рецепты!$H$6:$H$85,0)+17),""),"")</f>
        <v/>
      </c>
      <c r="F548" s="3" t="str">
        <f>IF($E548="","",INDEX(Рецепты!$K$6:$K$85,MATCH(Меню!$D$27,Рецепты!$H$6:$H$85,0)+17))</f>
        <v/>
      </c>
      <c r="G548" s="3" t="str">
        <f>IF($E548="","",INDEX(Рецепты!$M$6:$M$85,MATCH(Меню!$D$27,Рецепты!$H$6:$H$85,0)+17))</f>
        <v/>
      </c>
      <c r="H548" s="12">
        <f>IFERROR(IF(IFERROR(INDEX(Рецепты!$H$6:$H$85,MATCH(Меню!$D$27,Рецепты!$H$6:$H$85,0)+17)=Меню!$D$27,FALSE),INDEX(Рецепты!$L$6:$L$85,MATCH(Меню!$D$27,Рецепты!$H$6:$H$85,0)+17),0),0)</f>
        <v>0</v>
      </c>
      <c r="I548" s="12" t="str">
        <f>IF($F548="","",Меню!$E$27)</f>
        <v/>
      </c>
      <c r="J548" s="12">
        <f t="shared" si="8"/>
        <v>0</v>
      </c>
      <c r="K548" s="12">
        <f>IFERROR($J548/100*INDEX(Продукты!$G$6:$G$66,MATCH($E548,Продукты!$A$6:$A$66,0)),0)</f>
        <v>0</v>
      </c>
      <c r="L548" s="12">
        <f>IFERROR($J548/100*INDEX(Продукты!$H$6:$H$66,MATCH($E548,Продукты!$A$6:$A$66,0)),0)</f>
        <v>0</v>
      </c>
      <c r="M548" s="12">
        <f>IFERROR($J548/100*INDEX(Продукты!$I$6:$I$66,MATCH($E548,Продукты!$A$6:$A$66,0)),0)</f>
        <v>0</v>
      </c>
      <c r="N548" s="12">
        <f>IFERROR($J548/100*INDEX(Продукты!$J$6:$J$66,MATCH($E548,Продукты!$A$6:$A$66,0)),0)</f>
        <v>0</v>
      </c>
      <c r="O548" s="3" t="str">
        <f>IFERROR(IF(IFERROR(INDEX(Рецепты!$H$6:$H$85,MATCH(Меню!$D$27,Рецепты!$H$6:$H$85,0)+17)=Меню!$D$27,FALSE),INDEX(Рецепты!$N$6:$N$85,MATCH(Меню!$D$27,Рецепты!$H$6:$H$85,0)+17),""),"")</f>
        <v/>
      </c>
    </row>
    <row r="549" spans="1:15">
      <c r="A549" s="3" t="str">
        <f>IF($E549="","",Меню!$A$27)</f>
        <v/>
      </c>
      <c r="B549" s="3" t="str">
        <f>IF($E549="","",Меню!$B$27)</f>
        <v/>
      </c>
      <c r="C549" s="3" t="str">
        <f>IF($E549="","",Меню!$C$27)</f>
        <v/>
      </c>
      <c r="D549" s="3" t="str">
        <f>IF($E549="","",Меню!$D$27)</f>
        <v/>
      </c>
      <c r="E549" s="3" t="str">
        <f>IFERROR(IF(IFERROR(INDEX(Рецепты!$H$6:$H$85,MATCH(Меню!$D$27,Рецепты!$H$6:$H$85,0)+18)=Меню!$D$27,FALSE),INDEX(Рецепты!$J$6:$J$85,MATCH(Меню!$D$27,Рецепты!$H$6:$H$85,0)+18),""),"")</f>
        <v/>
      </c>
      <c r="F549" s="3" t="str">
        <f>IF($E549="","",INDEX(Рецепты!$K$6:$K$85,MATCH(Меню!$D$27,Рецепты!$H$6:$H$85,0)+18))</f>
        <v/>
      </c>
      <c r="G549" s="3" t="str">
        <f>IF($E549="","",INDEX(Рецепты!$M$6:$M$85,MATCH(Меню!$D$27,Рецепты!$H$6:$H$85,0)+18))</f>
        <v/>
      </c>
      <c r="H549" s="12">
        <f>IFERROR(IF(IFERROR(INDEX(Рецепты!$H$6:$H$85,MATCH(Меню!$D$27,Рецепты!$H$6:$H$85,0)+18)=Меню!$D$27,FALSE),INDEX(Рецепты!$L$6:$L$85,MATCH(Меню!$D$27,Рецепты!$H$6:$H$85,0)+18),0),0)</f>
        <v>0</v>
      </c>
      <c r="I549" s="12" t="str">
        <f>IF($F549="","",Меню!$E$27)</f>
        <v/>
      </c>
      <c r="J549" s="12">
        <f t="shared" si="8"/>
        <v>0</v>
      </c>
      <c r="K549" s="12">
        <f>IFERROR($J549/100*INDEX(Продукты!$G$6:$G$66,MATCH($E549,Продукты!$A$6:$A$66,0)),0)</f>
        <v>0</v>
      </c>
      <c r="L549" s="12">
        <f>IFERROR($J549/100*INDEX(Продукты!$H$6:$H$66,MATCH($E549,Продукты!$A$6:$A$66,0)),0)</f>
        <v>0</v>
      </c>
      <c r="M549" s="12">
        <f>IFERROR($J549/100*INDEX(Продукты!$I$6:$I$66,MATCH($E549,Продукты!$A$6:$A$66,0)),0)</f>
        <v>0</v>
      </c>
      <c r="N549" s="12">
        <f>IFERROR($J549/100*INDEX(Продукты!$J$6:$J$66,MATCH($E549,Продукты!$A$6:$A$66,0)),0)</f>
        <v>0</v>
      </c>
      <c r="O549" s="3" t="str">
        <f>IFERROR(IF(IFERROR(INDEX(Рецепты!$H$6:$H$85,MATCH(Меню!$D$27,Рецепты!$H$6:$H$85,0)+18)=Меню!$D$27,FALSE),INDEX(Рецепты!$N$6:$N$85,MATCH(Меню!$D$27,Рецепты!$H$6:$H$85,0)+18),""),"")</f>
        <v/>
      </c>
    </row>
    <row r="550" spans="1:15">
      <c r="A550" s="3" t="str">
        <f>IF($E550="","",Меню!$A$27)</f>
        <v/>
      </c>
      <c r="B550" s="3" t="str">
        <f>IF($E550="","",Меню!$B$27)</f>
        <v/>
      </c>
      <c r="C550" s="3" t="str">
        <f>IF($E550="","",Меню!$C$27)</f>
        <v/>
      </c>
      <c r="D550" s="3" t="str">
        <f>IF($E550="","",Меню!$D$27)</f>
        <v/>
      </c>
      <c r="E550" s="3" t="str">
        <f>IFERROR(IF(IFERROR(INDEX(Рецепты!$H$6:$H$85,MATCH(Меню!$D$27,Рецепты!$H$6:$H$85,0)+19)=Меню!$D$27,FALSE),INDEX(Рецепты!$J$6:$J$85,MATCH(Меню!$D$27,Рецепты!$H$6:$H$85,0)+19),""),"")</f>
        <v/>
      </c>
      <c r="F550" s="3" t="str">
        <f>IF($E550="","",INDEX(Рецепты!$K$6:$K$85,MATCH(Меню!$D$27,Рецепты!$H$6:$H$85,0)+19))</f>
        <v/>
      </c>
      <c r="G550" s="3" t="str">
        <f>IF($E550="","",INDEX(Рецепты!$M$6:$M$85,MATCH(Меню!$D$27,Рецепты!$H$6:$H$85,0)+19))</f>
        <v/>
      </c>
      <c r="H550" s="12">
        <f>IFERROR(IF(IFERROR(INDEX(Рецепты!$H$6:$H$85,MATCH(Меню!$D$27,Рецепты!$H$6:$H$85,0)+19)=Меню!$D$27,FALSE),INDEX(Рецепты!$L$6:$L$85,MATCH(Меню!$D$27,Рецепты!$H$6:$H$85,0)+19),0),0)</f>
        <v>0</v>
      </c>
      <c r="I550" s="12" t="str">
        <f>IF($F550="","",Меню!$E$27)</f>
        <v/>
      </c>
      <c r="J550" s="12">
        <f t="shared" si="8"/>
        <v>0</v>
      </c>
      <c r="K550" s="12">
        <f>IFERROR($J550/100*INDEX(Продукты!$G$6:$G$66,MATCH($E550,Продукты!$A$6:$A$66,0)),0)</f>
        <v>0</v>
      </c>
      <c r="L550" s="12">
        <f>IFERROR($J550/100*INDEX(Продукты!$H$6:$H$66,MATCH($E550,Продукты!$A$6:$A$66,0)),0)</f>
        <v>0</v>
      </c>
      <c r="M550" s="12">
        <f>IFERROR($J550/100*INDEX(Продукты!$I$6:$I$66,MATCH($E550,Продукты!$A$6:$A$66,0)),0)</f>
        <v>0</v>
      </c>
      <c r="N550" s="12">
        <f>IFERROR($J550/100*INDEX(Продукты!$J$6:$J$66,MATCH($E550,Продукты!$A$6:$A$66,0)),0)</f>
        <v>0</v>
      </c>
      <c r="O550" s="3" t="str">
        <f>IFERROR(IF(IFERROR(INDEX(Рецепты!$H$6:$H$85,MATCH(Меню!$D$27,Рецепты!$H$6:$H$85,0)+19)=Меню!$D$27,FALSE),INDEX(Рецепты!$N$6:$N$85,MATCH(Меню!$D$27,Рецепты!$H$6:$H$85,0)+19),""),"")</f>
        <v/>
      </c>
    </row>
    <row r="551" spans="1:15">
      <c r="A551" s="3" t="str">
        <f>IF($E551="","",Меню!$A$27)</f>
        <v/>
      </c>
      <c r="B551" s="3" t="str">
        <f>IF($E551="","",Меню!$B$27)</f>
        <v/>
      </c>
      <c r="C551" s="3" t="str">
        <f>IF($E551="","",Меню!$C$27)</f>
        <v/>
      </c>
      <c r="D551" s="3" t="str">
        <f>IF($E551="","",Меню!$D$27)</f>
        <v/>
      </c>
      <c r="E551" s="3" t="str">
        <f>IFERROR(IF(IFERROR(INDEX(Рецепты!$H$6:$H$85,MATCH(Меню!$D$27,Рецепты!$H$6:$H$85,0)+20)=Меню!$D$27,FALSE),INDEX(Рецепты!$J$6:$J$85,MATCH(Меню!$D$27,Рецепты!$H$6:$H$85,0)+20),""),"")</f>
        <v/>
      </c>
      <c r="F551" s="3" t="str">
        <f>IF($E551="","",INDEX(Рецепты!$K$6:$K$85,MATCH(Меню!$D$27,Рецепты!$H$6:$H$85,0)+20))</f>
        <v/>
      </c>
      <c r="G551" s="3" t="str">
        <f>IF($E551="","",INDEX(Рецепты!$M$6:$M$85,MATCH(Меню!$D$27,Рецепты!$H$6:$H$85,0)+20))</f>
        <v/>
      </c>
      <c r="H551" s="12">
        <f>IFERROR(IF(IFERROR(INDEX(Рецепты!$H$6:$H$85,MATCH(Меню!$D$27,Рецепты!$H$6:$H$85,0)+20)=Меню!$D$27,FALSE),INDEX(Рецепты!$L$6:$L$85,MATCH(Меню!$D$27,Рецепты!$H$6:$H$85,0)+20),0),0)</f>
        <v>0</v>
      </c>
      <c r="I551" s="12" t="str">
        <f>IF($F551="","",Меню!$E$27)</f>
        <v/>
      </c>
      <c r="J551" s="12">
        <f t="shared" si="8"/>
        <v>0</v>
      </c>
      <c r="K551" s="12">
        <f>IFERROR($J551/100*INDEX(Продукты!$G$6:$G$66,MATCH($E551,Продукты!$A$6:$A$66,0)),0)</f>
        <v>0</v>
      </c>
      <c r="L551" s="12">
        <f>IFERROR($J551/100*INDEX(Продукты!$H$6:$H$66,MATCH($E551,Продукты!$A$6:$A$66,0)),0)</f>
        <v>0</v>
      </c>
      <c r="M551" s="12">
        <f>IFERROR($J551/100*INDEX(Продукты!$I$6:$I$66,MATCH($E551,Продукты!$A$6:$A$66,0)),0)</f>
        <v>0</v>
      </c>
      <c r="N551" s="12">
        <f>IFERROR($J551/100*INDEX(Продукты!$J$6:$J$66,MATCH($E551,Продукты!$A$6:$A$66,0)),0)</f>
        <v>0</v>
      </c>
      <c r="O551" s="3" t="str">
        <f>IFERROR(IF(IFERROR(INDEX(Рецепты!$H$6:$H$85,MATCH(Меню!$D$27,Рецепты!$H$6:$H$85,0)+20)=Меню!$D$27,FALSE),INDEX(Рецепты!$N$6:$N$85,MATCH(Меню!$D$27,Рецепты!$H$6:$H$85,0)+20),""),"")</f>
        <v/>
      </c>
    </row>
    <row r="552" spans="1:15">
      <c r="A552" s="3" t="str">
        <f>IF($E552="","",Меню!$A$27)</f>
        <v/>
      </c>
      <c r="B552" s="3" t="str">
        <f>IF($E552="","",Меню!$B$27)</f>
        <v/>
      </c>
      <c r="C552" s="3" t="str">
        <f>IF($E552="","",Меню!$C$27)</f>
        <v/>
      </c>
      <c r="D552" s="3" t="str">
        <f>IF($E552="","",Меню!$D$27)</f>
        <v/>
      </c>
      <c r="E552" s="3" t="str">
        <f>IFERROR(IF(IFERROR(INDEX(Рецепты!$H$6:$H$85,MATCH(Меню!$D$27,Рецепты!$H$6:$H$85,0)+21)=Меню!$D$27,FALSE),INDEX(Рецепты!$J$6:$J$85,MATCH(Меню!$D$27,Рецепты!$H$6:$H$85,0)+21),""),"")</f>
        <v/>
      </c>
      <c r="F552" s="3" t="str">
        <f>IF($E552="","",INDEX(Рецепты!$K$6:$K$85,MATCH(Меню!$D$27,Рецепты!$H$6:$H$85,0)+21))</f>
        <v/>
      </c>
      <c r="G552" s="3" t="str">
        <f>IF($E552="","",INDEX(Рецепты!$M$6:$M$85,MATCH(Меню!$D$27,Рецепты!$H$6:$H$85,0)+21))</f>
        <v/>
      </c>
      <c r="H552" s="12">
        <f>IFERROR(IF(IFERROR(INDEX(Рецепты!$H$6:$H$85,MATCH(Меню!$D$27,Рецепты!$H$6:$H$85,0)+21)=Меню!$D$27,FALSE),INDEX(Рецепты!$L$6:$L$85,MATCH(Меню!$D$27,Рецепты!$H$6:$H$85,0)+21),0),0)</f>
        <v>0</v>
      </c>
      <c r="I552" s="12" t="str">
        <f>IF($F552="","",Меню!$E$27)</f>
        <v/>
      </c>
      <c r="J552" s="12">
        <f t="shared" si="8"/>
        <v>0</v>
      </c>
      <c r="K552" s="12">
        <f>IFERROR($J552/100*INDEX(Продукты!$G$6:$G$66,MATCH($E552,Продукты!$A$6:$A$66,0)),0)</f>
        <v>0</v>
      </c>
      <c r="L552" s="12">
        <f>IFERROR($J552/100*INDEX(Продукты!$H$6:$H$66,MATCH($E552,Продукты!$A$6:$A$66,0)),0)</f>
        <v>0</v>
      </c>
      <c r="M552" s="12">
        <f>IFERROR($J552/100*INDEX(Продукты!$I$6:$I$66,MATCH($E552,Продукты!$A$6:$A$66,0)),0)</f>
        <v>0</v>
      </c>
      <c r="N552" s="12">
        <f>IFERROR($J552/100*INDEX(Продукты!$J$6:$J$66,MATCH($E552,Продукты!$A$6:$A$66,0)),0)</f>
        <v>0</v>
      </c>
      <c r="O552" s="3" t="str">
        <f>IFERROR(IF(IFERROR(INDEX(Рецепты!$H$6:$H$85,MATCH(Меню!$D$27,Рецепты!$H$6:$H$85,0)+21)=Меню!$D$27,FALSE),INDEX(Рецепты!$N$6:$N$85,MATCH(Меню!$D$27,Рецепты!$H$6:$H$85,0)+21),""),"")</f>
        <v/>
      </c>
    </row>
    <row r="553" spans="1:15">
      <c r="A553" s="3" t="str">
        <f>IF($E553="","",Меню!$A$27)</f>
        <v/>
      </c>
      <c r="B553" s="3" t="str">
        <f>IF($E553="","",Меню!$B$27)</f>
        <v/>
      </c>
      <c r="C553" s="3" t="str">
        <f>IF($E553="","",Меню!$C$27)</f>
        <v/>
      </c>
      <c r="D553" s="3" t="str">
        <f>IF($E553="","",Меню!$D$27)</f>
        <v/>
      </c>
      <c r="E553" s="3" t="str">
        <f>IFERROR(IF(IFERROR(INDEX(Рецепты!$H$6:$H$85,MATCH(Меню!$D$27,Рецепты!$H$6:$H$85,0)+22)=Меню!$D$27,FALSE),INDEX(Рецепты!$J$6:$J$85,MATCH(Меню!$D$27,Рецепты!$H$6:$H$85,0)+22),""),"")</f>
        <v/>
      </c>
      <c r="F553" s="3" t="str">
        <f>IF($E553="","",INDEX(Рецепты!$K$6:$K$85,MATCH(Меню!$D$27,Рецепты!$H$6:$H$85,0)+22))</f>
        <v/>
      </c>
      <c r="G553" s="3" t="str">
        <f>IF($E553="","",INDEX(Рецепты!$M$6:$M$85,MATCH(Меню!$D$27,Рецепты!$H$6:$H$85,0)+22))</f>
        <v/>
      </c>
      <c r="H553" s="12">
        <f>IFERROR(IF(IFERROR(INDEX(Рецепты!$H$6:$H$85,MATCH(Меню!$D$27,Рецепты!$H$6:$H$85,0)+22)=Меню!$D$27,FALSE),INDEX(Рецепты!$L$6:$L$85,MATCH(Меню!$D$27,Рецепты!$H$6:$H$85,0)+22),0),0)</f>
        <v>0</v>
      </c>
      <c r="I553" s="12" t="str">
        <f>IF($F553="","",Меню!$E$27)</f>
        <v/>
      </c>
      <c r="J553" s="12">
        <f t="shared" si="8"/>
        <v>0</v>
      </c>
      <c r="K553" s="12">
        <f>IFERROR($J553/100*INDEX(Продукты!$G$6:$G$66,MATCH($E553,Продукты!$A$6:$A$66,0)),0)</f>
        <v>0</v>
      </c>
      <c r="L553" s="12">
        <f>IFERROR($J553/100*INDEX(Продукты!$H$6:$H$66,MATCH($E553,Продукты!$A$6:$A$66,0)),0)</f>
        <v>0</v>
      </c>
      <c r="M553" s="12">
        <f>IFERROR($J553/100*INDEX(Продукты!$I$6:$I$66,MATCH($E553,Продукты!$A$6:$A$66,0)),0)</f>
        <v>0</v>
      </c>
      <c r="N553" s="12">
        <f>IFERROR($J553/100*INDEX(Продукты!$J$6:$J$66,MATCH($E553,Продукты!$A$6:$A$66,0)),0)</f>
        <v>0</v>
      </c>
      <c r="O553" s="3" t="str">
        <f>IFERROR(IF(IFERROR(INDEX(Рецепты!$H$6:$H$85,MATCH(Меню!$D$27,Рецепты!$H$6:$H$85,0)+22)=Меню!$D$27,FALSE),INDEX(Рецепты!$N$6:$N$85,MATCH(Меню!$D$27,Рецепты!$H$6:$H$85,0)+22),""),"")</f>
        <v/>
      </c>
    </row>
    <row r="554" spans="1:15">
      <c r="A554" s="3" t="str">
        <f>IF($E554="","",Меню!$A$27)</f>
        <v/>
      </c>
      <c r="B554" s="3" t="str">
        <f>IF($E554="","",Меню!$B$27)</f>
        <v/>
      </c>
      <c r="C554" s="3" t="str">
        <f>IF($E554="","",Меню!$C$27)</f>
        <v/>
      </c>
      <c r="D554" s="3" t="str">
        <f>IF($E554="","",Меню!$D$27)</f>
        <v/>
      </c>
      <c r="E554" s="3" t="str">
        <f>IFERROR(IF(IFERROR(INDEX(Рецепты!$H$6:$H$85,MATCH(Меню!$D$27,Рецепты!$H$6:$H$85,0)+23)=Меню!$D$27,FALSE),INDEX(Рецепты!$J$6:$J$85,MATCH(Меню!$D$27,Рецепты!$H$6:$H$85,0)+23),""),"")</f>
        <v/>
      </c>
      <c r="F554" s="3" t="str">
        <f>IF($E554="","",INDEX(Рецепты!$K$6:$K$85,MATCH(Меню!$D$27,Рецепты!$H$6:$H$85,0)+23))</f>
        <v/>
      </c>
      <c r="G554" s="3" t="str">
        <f>IF($E554="","",INDEX(Рецепты!$M$6:$M$85,MATCH(Меню!$D$27,Рецепты!$H$6:$H$85,0)+23))</f>
        <v/>
      </c>
      <c r="H554" s="12">
        <f>IFERROR(IF(IFERROR(INDEX(Рецепты!$H$6:$H$85,MATCH(Меню!$D$27,Рецепты!$H$6:$H$85,0)+23)=Меню!$D$27,FALSE),INDEX(Рецепты!$L$6:$L$85,MATCH(Меню!$D$27,Рецепты!$H$6:$H$85,0)+23),0),0)</f>
        <v>0</v>
      </c>
      <c r="I554" s="12" t="str">
        <f>IF($F554="","",Меню!$E$27)</f>
        <v/>
      </c>
      <c r="J554" s="12">
        <f t="shared" si="8"/>
        <v>0</v>
      </c>
      <c r="K554" s="12">
        <f>IFERROR($J554/100*INDEX(Продукты!$G$6:$G$66,MATCH($E554,Продукты!$A$6:$A$66,0)),0)</f>
        <v>0</v>
      </c>
      <c r="L554" s="12">
        <f>IFERROR($J554/100*INDEX(Продукты!$H$6:$H$66,MATCH($E554,Продукты!$A$6:$A$66,0)),0)</f>
        <v>0</v>
      </c>
      <c r="M554" s="12">
        <f>IFERROR($J554/100*INDEX(Продукты!$I$6:$I$66,MATCH($E554,Продукты!$A$6:$A$66,0)),0)</f>
        <v>0</v>
      </c>
      <c r="N554" s="12">
        <f>IFERROR($J554/100*INDEX(Продукты!$J$6:$J$66,MATCH($E554,Продукты!$A$6:$A$66,0)),0)</f>
        <v>0</v>
      </c>
      <c r="O554" s="3" t="str">
        <f>IFERROR(IF(IFERROR(INDEX(Рецепты!$H$6:$H$85,MATCH(Меню!$D$27,Рецепты!$H$6:$H$85,0)+23)=Меню!$D$27,FALSE),INDEX(Рецепты!$N$6:$N$85,MATCH(Меню!$D$27,Рецепты!$H$6:$H$85,0)+23),""),"")</f>
        <v/>
      </c>
    </row>
    <row r="555" spans="1:15">
      <c r="A555" s="3" t="str">
        <f>IF($E555="","",Меню!$A$27)</f>
        <v/>
      </c>
      <c r="B555" s="3" t="str">
        <f>IF($E555="","",Меню!$B$27)</f>
        <v/>
      </c>
      <c r="C555" s="3" t="str">
        <f>IF($E555="","",Меню!$C$27)</f>
        <v/>
      </c>
      <c r="D555" s="3" t="str">
        <f>IF($E555="","",Меню!$D$27)</f>
        <v/>
      </c>
      <c r="E555" s="3" t="str">
        <f>IFERROR(IF(IFERROR(INDEX(Рецепты!$H$6:$H$85,MATCH(Меню!$D$27,Рецепты!$H$6:$H$85,0)+24)=Меню!$D$27,FALSE),INDEX(Рецепты!$J$6:$J$85,MATCH(Меню!$D$27,Рецепты!$H$6:$H$85,0)+24),""),"")</f>
        <v/>
      </c>
      <c r="F555" s="3" t="str">
        <f>IF($E555="","",INDEX(Рецепты!$K$6:$K$85,MATCH(Меню!$D$27,Рецепты!$H$6:$H$85,0)+24))</f>
        <v/>
      </c>
      <c r="G555" s="3" t="str">
        <f>IF($E555="","",INDEX(Рецепты!$M$6:$M$85,MATCH(Меню!$D$27,Рецепты!$H$6:$H$85,0)+24))</f>
        <v/>
      </c>
      <c r="H555" s="12">
        <f>IFERROR(IF(IFERROR(INDEX(Рецепты!$H$6:$H$85,MATCH(Меню!$D$27,Рецепты!$H$6:$H$85,0)+24)=Меню!$D$27,FALSE),INDEX(Рецепты!$L$6:$L$85,MATCH(Меню!$D$27,Рецепты!$H$6:$H$85,0)+24),0),0)</f>
        <v>0</v>
      </c>
      <c r="I555" s="12" t="str">
        <f>IF($F555="","",Меню!$E$27)</f>
        <v/>
      </c>
      <c r="J555" s="12">
        <f t="shared" si="8"/>
        <v>0</v>
      </c>
      <c r="K555" s="12">
        <f>IFERROR($J555/100*INDEX(Продукты!$G$6:$G$66,MATCH($E555,Продукты!$A$6:$A$66,0)),0)</f>
        <v>0</v>
      </c>
      <c r="L555" s="12">
        <f>IFERROR($J555/100*INDEX(Продукты!$H$6:$H$66,MATCH($E555,Продукты!$A$6:$A$66,0)),0)</f>
        <v>0</v>
      </c>
      <c r="M555" s="12">
        <f>IFERROR($J555/100*INDEX(Продукты!$I$6:$I$66,MATCH($E555,Продукты!$A$6:$A$66,0)),0)</f>
        <v>0</v>
      </c>
      <c r="N555" s="12">
        <f>IFERROR($J555/100*INDEX(Продукты!$J$6:$J$66,MATCH($E555,Продукты!$A$6:$A$66,0)),0)</f>
        <v>0</v>
      </c>
      <c r="O555" s="3" t="str">
        <f>IFERROR(IF(IFERROR(INDEX(Рецепты!$H$6:$H$85,MATCH(Меню!$D$27,Рецепты!$H$6:$H$85,0)+24)=Меню!$D$27,FALSE),INDEX(Рецепты!$N$6:$N$85,MATCH(Меню!$D$27,Рецепты!$H$6:$H$85,0)+24),""),"")</f>
        <v/>
      </c>
    </row>
    <row r="556" spans="1:15">
      <c r="A556" s="3" t="str">
        <f>IF($E556="","",Меню!$A$28)</f>
        <v/>
      </c>
      <c r="B556" s="3" t="str">
        <f>IF($E556="","",Меню!$B$28)</f>
        <v/>
      </c>
      <c r="C556" s="3" t="str">
        <f>IF($E556="","",Меню!$C$28)</f>
        <v/>
      </c>
      <c r="D556" s="3" t="str">
        <f>IF($E556="","",Меню!$D$28)</f>
        <v/>
      </c>
      <c r="E556" s="3" t="str">
        <f>IFERROR(IF(IFERROR(INDEX(Рецепты!$H$6:$H$85,MATCH(Меню!$D$28,Рецепты!$H$6:$H$85,0)+0)=Меню!$D$28,FALSE),INDEX(Рецепты!$J$6:$J$85,MATCH(Меню!$D$28,Рецепты!$H$6:$H$85,0)+0),""),"")</f>
        <v/>
      </c>
      <c r="F556" s="3" t="str">
        <f>IF($E556="","",INDEX(Рецепты!$K$6:$K$85,MATCH(Меню!$D$28,Рецепты!$H$6:$H$85,0)+0))</f>
        <v/>
      </c>
      <c r="G556" s="3" t="str">
        <f>IF($E556="","",INDEX(Рецепты!$M$6:$M$85,MATCH(Меню!$D$28,Рецепты!$H$6:$H$85,0)+0))</f>
        <v/>
      </c>
      <c r="H556" s="12">
        <f>IFERROR(IF(IFERROR(INDEX(Рецепты!$H$6:$H$85,MATCH(Меню!$D$28,Рецепты!$H$6:$H$85,0)+0)=Меню!$D$28,FALSE),INDEX(Рецепты!$L$6:$L$85,MATCH(Меню!$D$28,Рецепты!$H$6:$H$85,0)+0),0),0)</f>
        <v>0</v>
      </c>
      <c r="I556" s="12" t="str">
        <f>IF($F556="","",Меню!$E$28)</f>
        <v/>
      </c>
      <c r="J556" s="12">
        <f t="shared" si="8"/>
        <v>0</v>
      </c>
      <c r="K556" s="12">
        <f>IFERROR($J556/100*INDEX(Продукты!$G$6:$G$66,MATCH($E556,Продукты!$A$6:$A$66,0)),0)</f>
        <v>0</v>
      </c>
      <c r="L556" s="12">
        <f>IFERROR($J556/100*INDEX(Продукты!$H$6:$H$66,MATCH($E556,Продукты!$A$6:$A$66,0)),0)</f>
        <v>0</v>
      </c>
      <c r="M556" s="12">
        <f>IFERROR($J556/100*INDEX(Продукты!$I$6:$I$66,MATCH($E556,Продукты!$A$6:$A$66,0)),0)</f>
        <v>0</v>
      </c>
      <c r="N556" s="12">
        <f>IFERROR($J556/100*INDEX(Продукты!$J$6:$J$66,MATCH($E556,Продукты!$A$6:$A$66,0)),0)</f>
        <v>0</v>
      </c>
      <c r="O556" s="3" t="str">
        <f>IFERROR(IF(IFERROR(INDEX(Рецепты!$H$6:$H$85,MATCH(Меню!$D$28,Рецепты!$H$6:$H$85,0)+0)=Меню!$D$28,FALSE),INDEX(Рецепты!$N$6:$N$85,MATCH(Меню!$D$28,Рецепты!$H$6:$H$85,0)+0),""),"")</f>
        <v/>
      </c>
    </row>
    <row r="557" spans="1:15">
      <c r="A557" s="3" t="str">
        <f>IF($E557="","",Меню!$A$28)</f>
        <v/>
      </c>
      <c r="B557" s="3" t="str">
        <f>IF($E557="","",Меню!$B$28)</f>
        <v/>
      </c>
      <c r="C557" s="3" t="str">
        <f>IF($E557="","",Меню!$C$28)</f>
        <v/>
      </c>
      <c r="D557" s="3" t="str">
        <f>IF($E557="","",Меню!$D$28)</f>
        <v/>
      </c>
      <c r="E557" s="3" t="str">
        <f>IFERROR(IF(IFERROR(INDEX(Рецепты!$H$6:$H$85,MATCH(Меню!$D$28,Рецепты!$H$6:$H$85,0)+1)=Меню!$D$28,FALSE),INDEX(Рецепты!$J$6:$J$85,MATCH(Меню!$D$28,Рецепты!$H$6:$H$85,0)+1),""),"")</f>
        <v/>
      </c>
      <c r="F557" s="3" t="str">
        <f>IF($E557="","",INDEX(Рецепты!$K$6:$K$85,MATCH(Меню!$D$28,Рецепты!$H$6:$H$85,0)+1))</f>
        <v/>
      </c>
      <c r="G557" s="3" t="str">
        <f>IF($E557="","",INDEX(Рецепты!$M$6:$M$85,MATCH(Меню!$D$28,Рецепты!$H$6:$H$85,0)+1))</f>
        <v/>
      </c>
      <c r="H557" s="12">
        <f>IFERROR(IF(IFERROR(INDEX(Рецепты!$H$6:$H$85,MATCH(Меню!$D$28,Рецепты!$H$6:$H$85,0)+1)=Меню!$D$28,FALSE),INDEX(Рецепты!$L$6:$L$85,MATCH(Меню!$D$28,Рецепты!$H$6:$H$85,0)+1),0),0)</f>
        <v>0</v>
      </c>
      <c r="I557" s="12" t="str">
        <f>IF($F557="","",Меню!$E$28)</f>
        <v/>
      </c>
      <c r="J557" s="12">
        <f t="shared" si="8"/>
        <v>0</v>
      </c>
      <c r="K557" s="12">
        <f>IFERROR($J557/100*INDEX(Продукты!$G$6:$G$66,MATCH($E557,Продукты!$A$6:$A$66,0)),0)</f>
        <v>0</v>
      </c>
      <c r="L557" s="12">
        <f>IFERROR($J557/100*INDEX(Продукты!$H$6:$H$66,MATCH($E557,Продукты!$A$6:$A$66,0)),0)</f>
        <v>0</v>
      </c>
      <c r="M557" s="12">
        <f>IFERROR($J557/100*INDEX(Продукты!$I$6:$I$66,MATCH($E557,Продукты!$A$6:$A$66,0)),0)</f>
        <v>0</v>
      </c>
      <c r="N557" s="12">
        <f>IFERROR($J557/100*INDEX(Продукты!$J$6:$J$66,MATCH($E557,Продукты!$A$6:$A$66,0)),0)</f>
        <v>0</v>
      </c>
      <c r="O557" s="3" t="str">
        <f>IFERROR(IF(IFERROR(INDEX(Рецепты!$H$6:$H$85,MATCH(Меню!$D$28,Рецепты!$H$6:$H$85,0)+1)=Меню!$D$28,FALSE),INDEX(Рецепты!$N$6:$N$85,MATCH(Меню!$D$28,Рецепты!$H$6:$H$85,0)+1),""),"")</f>
        <v/>
      </c>
    </row>
    <row r="558" spans="1:15">
      <c r="A558" s="3" t="str">
        <f>IF($E558="","",Меню!$A$28)</f>
        <v/>
      </c>
      <c r="B558" s="3" t="str">
        <f>IF($E558="","",Меню!$B$28)</f>
        <v/>
      </c>
      <c r="C558" s="3" t="str">
        <f>IF($E558="","",Меню!$C$28)</f>
        <v/>
      </c>
      <c r="D558" s="3" t="str">
        <f>IF($E558="","",Меню!$D$28)</f>
        <v/>
      </c>
      <c r="E558" s="3" t="str">
        <f>IFERROR(IF(IFERROR(INDEX(Рецепты!$H$6:$H$85,MATCH(Меню!$D$28,Рецепты!$H$6:$H$85,0)+2)=Меню!$D$28,FALSE),INDEX(Рецепты!$J$6:$J$85,MATCH(Меню!$D$28,Рецепты!$H$6:$H$85,0)+2),""),"")</f>
        <v/>
      </c>
      <c r="F558" s="3" t="str">
        <f>IF($E558="","",INDEX(Рецепты!$K$6:$K$85,MATCH(Меню!$D$28,Рецепты!$H$6:$H$85,0)+2))</f>
        <v/>
      </c>
      <c r="G558" s="3" t="str">
        <f>IF($E558="","",INDEX(Рецепты!$M$6:$M$85,MATCH(Меню!$D$28,Рецепты!$H$6:$H$85,0)+2))</f>
        <v/>
      </c>
      <c r="H558" s="12">
        <f>IFERROR(IF(IFERROR(INDEX(Рецепты!$H$6:$H$85,MATCH(Меню!$D$28,Рецепты!$H$6:$H$85,0)+2)=Меню!$D$28,FALSE),INDEX(Рецепты!$L$6:$L$85,MATCH(Меню!$D$28,Рецепты!$H$6:$H$85,0)+2),0),0)</f>
        <v>0</v>
      </c>
      <c r="I558" s="12" t="str">
        <f>IF($F558="","",Меню!$E$28)</f>
        <v/>
      </c>
      <c r="J558" s="12">
        <f t="shared" si="8"/>
        <v>0</v>
      </c>
      <c r="K558" s="12">
        <f>IFERROR($J558/100*INDEX(Продукты!$G$6:$G$66,MATCH($E558,Продукты!$A$6:$A$66,0)),0)</f>
        <v>0</v>
      </c>
      <c r="L558" s="12">
        <f>IFERROR($J558/100*INDEX(Продукты!$H$6:$H$66,MATCH($E558,Продукты!$A$6:$A$66,0)),0)</f>
        <v>0</v>
      </c>
      <c r="M558" s="12">
        <f>IFERROR($J558/100*INDEX(Продукты!$I$6:$I$66,MATCH($E558,Продукты!$A$6:$A$66,0)),0)</f>
        <v>0</v>
      </c>
      <c r="N558" s="12">
        <f>IFERROR($J558/100*INDEX(Продукты!$J$6:$J$66,MATCH($E558,Продукты!$A$6:$A$66,0)),0)</f>
        <v>0</v>
      </c>
      <c r="O558" s="3" t="str">
        <f>IFERROR(IF(IFERROR(INDEX(Рецепты!$H$6:$H$85,MATCH(Меню!$D$28,Рецепты!$H$6:$H$85,0)+2)=Меню!$D$28,FALSE),INDEX(Рецепты!$N$6:$N$85,MATCH(Меню!$D$28,Рецепты!$H$6:$H$85,0)+2),""),"")</f>
        <v/>
      </c>
    </row>
    <row r="559" spans="1:15">
      <c r="A559" s="3" t="str">
        <f>IF($E559="","",Меню!$A$28)</f>
        <v/>
      </c>
      <c r="B559" s="3" t="str">
        <f>IF($E559="","",Меню!$B$28)</f>
        <v/>
      </c>
      <c r="C559" s="3" t="str">
        <f>IF($E559="","",Меню!$C$28)</f>
        <v/>
      </c>
      <c r="D559" s="3" t="str">
        <f>IF($E559="","",Меню!$D$28)</f>
        <v/>
      </c>
      <c r="E559" s="3" t="str">
        <f>IFERROR(IF(IFERROR(INDEX(Рецепты!$H$6:$H$85,MATCH(Меню!$D$28,Рецепты!$H$6:$H$85,0)+3)=Меню!$D$28,FALSE),INDEX(Рецепты!$J$6:$J$85,MATCH(Меню!$D$28,Рецепты!$H$6:$H$85,0)+3),""),"")</f>
        <v/>
      </c>
      <c r="F559" s="3" t="str">
        <f>IF($E559="","",INDEX(Рецепты!$K$6:$K$85,MATCH(Меню!$D$28,Рецепты!$H$6:$H$85,0)+3))</f>
        <v/>
      </c>
      <c r="G559" s="3" t="str">
        <f>IF($E559="","",INDEX(Рецепты!$M$6:$M$85,MATCH(Меню!$D$28,Рецепты!$H$6:$H$85,0)+3))</f>
        <v/>
      </c>
      <c r="H559" s="12">
        <f>IFERROR(IF(IFERROR(INDEX(Рецепты!$H$6:$H$85,MATCH(Меню!$D$28,Рецепты!$H$6:$H$85,0)+3)=Меню!$D$28,FALSE),INDEX(Рецепты!$L$6:$L$85,MATCH(Меню!$D$28,Рецепты!$H$6:$H$85,0)+3),0),0)</f>
        <v>0</v>
      </c>
      <c r="I559" s="12" t="str">
        <f>IF($F559="","",Меню!$E$28)</f>
        <v/>
      </c>
      <c r="J559" s="12">
        <f t="shared" si="8"/>
        <v>0</v>
      </c>
      <c r="K559" s="12">
        <f>IFERROR($J559/100*INDEX(Продукты!$G$6:$G$66,MATCH($E559,Продукты!$A$6:$A$66,0)),0)</f>
        <v>0</v>
      </c>
      <c r="L559" s="12">
        <f>IFERROR($J559/100*INDEX(Продукты!$H$6:$H$66,MATCH($E559,Продукты!$A$6:$A$66,0)),0)</f>
        <v>0</v>
      </c>
      <c r="M559" s="12">
        <f>IFERROR($J559/100*INDEX(Продукты!$I$6:$I$66,MATCH($E559,Продукты!$A$6:$A$66,0)),0)</f>
        <v>0</v>
      </c>
      <c r="N559" s="12">
        <f>IFERROR($J559/100*INDEX(Продукты!$J$6:$J$66,MATCH($E559,Продукты!$A$6:$A$66,0)),0)</f>
        <v>0</v>
      </c>
      <c r="O559" s="3" t="str">
        <f>IFERROR(IF(IFERROR(INDEX(Рецепты!$H$6:$H$85,MATCH(Меню!$D$28,Рецепты!$H$6:$H$85,0)+3)=Меню!$D$28,FALSE),INDEX(Рецепты!$N$6:$N$85,MATCH(Меню!$D$28,Рецепты!$H$6:$H$85,0)+3),""),"")</f>
        <v/>
      </c>
    </row>
    <row r="560" spans="1:15">
      <c r="A560" s="3" t="str">
        <f>IF($E560="","",Меню!$A$28)</f>
        <v/>
      </c>
      <c r="B560" s="3" t="str">
        <f>IF($E560="","",Меню!$B$28)</f>
        <v/>
      </c>
      <c r="C560" s="3" t="str">
        <f>IF($E560="","",Меню!$C$28)</f>
        <v/>
      </c>
      <c r="D560" s="3" t="str">
        <f>IF($E560="","",Меню!$D$28)</f>
        <v/>
      </c>
      <c r="E560" s="3" t="str">
        <f>IFERROR(IF(IFERROR(INDEX(Рецепты!$H$6:$H$85,MATCH(Меню!$D$28,Рецепты!$H$6:$H$85,0)+4)=Меню!$D$28,FALSE),INDEX(Рецепты!$J$6:$J$85,MATCH(Меню!$D$28,Рецепты!$H$6:$H$85,0)+4),""),"")</f>
        <v/>
      </c>
      <c r="F560" s="3" t="str">
        <f>IF($E560="","",INDEX(Рецепты!$K$6:$K$85,MATCH(Меню!$D$28,Рецепты!$H$6:$H$85,0)+4))</f>
        <v/>
      </c>
      <c r="G560" s="3" t="str">
        <f>IF($E560="","",INDEX(Рецепты!$M$6:$M$85,MATCH(Меню!$D$28,Рецепты!$H$6:$H$85,0)+4))</f>
        <v/>
      </c>
      <c r="H560" s="12">
        <f>IFERROR(IF(IFERROR(INDEX(Рецепты!$H$6:$H$85,MATCH(Меню!$D$28,Рецепты!$H$6:$H$85,0)+4)=Меню!$D$28,FALSE),INDEX(Рецепты!$L$6:$L$85,MATCH(Меню!$D$28,Рецепты!$H$6:$H$85,0)+4),0),0)</f>
        <v>0</v>
      </c>
      <c r="I560" s="12" t="str">
        <f>IF($F560="","",Меню!$E$28)</f>
        <v/>
      </c>
      <c r="J560" s="12">
        <f t="shared" si="8"/>
        <v>0</v>
      </c>
      <c r="K560" s="12">
        <f>IFERROR($J560/100*INDEX(Продукты!$G$6:$G$66,MATCH($E560,Продукты!$A$6:$A$66,0)),0)</f>
        <v>0</v>
      </c>
      <c r="L560" s="12">
        <f>IFERROR($J560/100*INDEX(Продукты!$H$6:$H$66,MATCH($E560,Продукты!$A$6:$A$66,0)),0)</f>
        <v>0</v>
      </c>
      <c r="M560" s="12">
        <f>IFERROR($J560/100*INDEX(Продукты!$I$6:$I$66,MATCH($E560,Продукты!$A$6:$A$66,0)),0)</f>
        <v>0</v>
      </c>
      <c r="N560" s="12">
        <f>IFERROR($J560/100*INDEX(Продукты!$J$6:$J$66,MATCH($E560,Продукты!$A$6:$A$66,0)),0)</f>
        <v>0</v>
      </c>
      <c r="O560" s="3" t="str">
        <f>IFERROR(IF(IFERROR(INDEX(Рецепты!$H$6:$H$85,MATCH(Меню!$D$28,Рецепты!$H$6:$H$85,0)+4)=Меню!$D$28,FALSE),INDEX(Рецепты!$N$6:$N$85,MATCH(Меню!$D$28,Рецепты!$H$6:$H$85,0)+4),""),"")</f>
        <v/>
      </c>
    </row>
    <row r="561" spans="1:15">
      <c r="A561" s="3" t="str">
        <f>IF($E561="","",Меню!$A$28)</f>
        <v/>
      </c>
      <c r="B561" s="3" t="str">
        <f>IF($E561="","",Меню!$B$28)</f>
        <v/>
      </c>
      <c r="C561" s="3" t="str">
        <f>IF($E561="","",Меню!$C$28)</f>
        <v/>
      </c>
      <c r="D561" s="3" t="str">
        <f>IF($E561="","",Меню!$D$28)</f>
        <v/>
      </c>
      <c r="E561" s="3" t="str">
        <f>IFERROR(IF(IFERROR(INDEX(Рецепты!$H$6:$H$85,MATCH(Меню!$D$28,Рецепты!$H$6:$H$85,0)+5)=Меню!$D$28,FALSE),INDEX(Рецепты!$J$6:$J$85,MATCH(Меню!$D$28,Рецепты!$H$6:$H$85,0)+5),""),"")</f>
        <v/>
      </c>
      <c r="F561" s="3" t="str">
        <f>IF($E561="","",INDEX(Рецепты!$K$6:$K$85,MATCH(Меню!$D$28,Рецепты!$H$6:$H$85,0)+5))</f>
        <v/>
      </c>
      <c r="G561" s="3" t="str">
        <f>IF($E561="","",INDEX(Рецепты!$M$6:$M$85,MATCH(Меню!$D$28,Рецепты!$H$6:$H$85,0)+5))</f>
        <v/>
      </c>
      <c r="H561" s="12">
        <f>IFERROR(IF(IFERROR(INDEX(Рецепты!$H$6:$H$85,MATCH(Меню!$D$28,Рецепты!$H$6:$H$85,0)+5)=Меню!$D$28,FALSE),INDEX(Рецепты!$L$6:$L$85,MATCH(Меню!$D$28,Рецепты!$H$6:$H$85,0)+5),0),0)</f>
        <v>0</v>
      </c>
      <c r="I561" s="12" t="str">
        <f>IF($F561="","",Меню!$E$28)</f>
        <v/>
      </c>
      <c r="J561" s="12">
        <f t="shared" si="8"/>
        <v>0</v>
      </c>
      <c r="K561" s="12">
        <f>IFERROR($J561/100*INDEX(Продукты!$G$6:$G$66,MATCH($E561,Продукты!$A$6:$A$66,0)),0)</f>
        <v>0</v>
      </c>
      <c r="L561" s="12">
        <f>IFERROR($J561/100*INDEX(Продукты!$H$6:$H$66,MATCH($E561,Продукты!$A$6:$A$66,0)),0)</f>
        <v>0</v>
      </c>
      <c r="M561" s="12">
        <f>IFERROR($J561/100*INDEX(Продукты!$I$6:$I$66,MATCH($E561,Продукты!$A$6:$A$66,0)),0)</f>
        <v>0</v>
      </c>
      <c r="N561" s="12">
        <f>IFERROR($J561/100*INDEX(Продукты!$J$6:$J$66,MATCH($E561,Продукты!$A$6:$A$66,0)),0)</f>
        <v>0</v>
      </c>
      <c r="O561" s="3" t="str">
        <f>IFERROR(IF(IFERROR(INDEX(Рецепты!$H$6:$H$85,MATCH(Меню!$D$28,Рецепты!$H$6:$H$85,0)+5)=Меню!$D$28,FALSE),INDEX(Рецепты!$N$6:$N$85,MATCH(Меню!$D$28,Рецепты!$H$6:$H$85,0)+5),""),"")</f>
        <v/>
      </c>
    </row>
    <row r="562" spans="1:15">
      <c r="A562" s="3" t="str">
        <f>IF($E562="","",Меню!$A$28)</f>
        <v/>
      </c>
      <c r="B562" s="3" t="str">
        <f>IF($E562="","",Меню!$B$28)</f>
        <v/>
      </c>
      <c r="C562" s="3" t="str">
        <f>IF($E562="","",Меню!$C$28)</f>
        <v/>
      </c>
      <c r="D562" s="3" t="str">
        <f>IF($E562="","",Меню!$D$28)</f>
        <v/>
      </c>
      <c r="E562" s="3" t="str">
        <f>IFERROR(IF(IFERROR(INDEX(Рецепты!$H$6:$H$85,MATCH(Меню!$D$28,Рецепты!$H$6:$H$85,0)+6)=Меню!$D$28,FALSE),INDEX(Рецепты!$J$6:$J$85,MATCH(Меню!$D$28,Рецепты!$H$6:$H$85,0)+6),""),"")</f>
        <v/>
      </c>
      <c r="F562" s="3" t="str">
        <f>IF($E562="","",INDEX(Рецепты!$K$6:$K$85,MATCH(Меню!$D$28,Рецепты!$H$6:$H$85,0)+6))</f>
        <v/>
      </c>
      <c r="G562" s="3" t="str">
        <f>IF($E562="","",INDEX(Рецепты!$M$6:$M$85,MATCH(Меню!$D$28,Рецепты!$H$6:$H$85,0)+6))</f>
        <v/>
      </c>
      <c r="H562" s="12">
        <f>IFERROR(IF(IFERROR(INDEX(Рецепты!$H$6:$H$85,MATCH(Меню!$D$28,Рецепты!$H$6:$H$85,0)+6)=Меню!$D$28,FALSE),INDEX(Рецепты!$L$6:$L$85,MATCH(Меню!$D$28,Рецепты!$H$6:$H$85,0)+6),0),0)</f>
        <v>0</v>
      </c>
      <c r="I562" s="12" t="str">
        <f>IF($F562="","",Меню!$E$28)</f>
        <v/>
      </c>
      <c r="J562" s="12">
        <f t="shared" si="8"/>
        <v>0</v>
      </c>
      <c r="K562" s="12">
        <f>IFERROR($J562/100*INDEX(Продукты!$G$6:$G$66,MATCH($E562,Продукты!$A$6:$A$66,0)),0)</f>
        <v>0</v>
      </c>
      <c r="L562" s="12">
        <f>IFERROR($J562/100*INDEX(Продукты!$H$6:$H$66,MATCH($E562,Продукты!$A$6:$A$66,0)),0)</f>
        <v>0</v>
      </c>
      <c r="M562" s="12">
        <f>IFERROR($J562/100*INDEX(Продукты!$I$6:$I$66,MATCH($E562,Продукты!$A$6:$A$66,0)),0)</f>
        <v>0</v>
      </c>
      <c r="N562" s="12">
        <f>IFERROR($J562/100*INDEX(Продукты!$J$6:$J$66,MATCH($E562,Продукты!$A$6:$A$66,0)),0)</f>
        <v>0</v>
      </c>
      <c r="O562" s="3" t="str">
        <f>IFERROR(IF(IFERROR(INDEX(Рецепты!$H$6:$H$85,MATCH(Меню!$D$28,Рецепты!$H$6:$H$85,0)+6)=Меню!$D$28,FALSE),INDEX(Рецепты!$N$6:$N$85,MATCH(Меню!$D$28,Рецепты!$H$6:$H$85,0)+6),""),"")</f>
        <v/>
      </c>
    </row>
    <row r="563" spans="1:15">
      <c r="A563" s="3" t="str">
        <f>IF($E563="","",Меню!$A$28)</f>
        <v/>
      </c>
      <c r="B563" s="3" t="str">
        <f>IF($E563="","",Меню!$B$28)</f>
        <v/>
      </c>
      <c r="C563" s="3" t="str">
        <f>IF($E563="","",Меню!$C$28)</f>
        <v/>
      </c>
      <c r="D563" s="3" t="str">
        <f>IF($E563="","",Меню!$D$28)</f>
        <v/>
      </c>
      <c r="E563" s="3" t="str">
        <f>IFERROR(IF(IFERROR(INDEX(Рецепты!$H$6:$H$85,MATCH(Меню!$D$28,Рецепты!$H$6:$H$85,0)+7)=Меню!$D$28,FALSE),INDEX(Рецепты!$J$6:$J$85,MATCH(Меню!$D$28,Рецепты!$H$6:$H$85,0)+7),""),"")</f>
        <v/>
      </c>
      <c r="F563" s="3" t="str">
        <f>IF($E563="","",INDEX(Рецепты!$K$6:$K$85,MATCH(Меню!$D$28,Рецепты!$H$6:$H$85,0)+7))</f>
        <v/>
      </c>
      <c r="G563" s="3" t="str">
        <f>IF($E563="","",INDEX(Рецепты!$M$6:$M$85,MATCH(Меню!$D$28,Рецепты!$H$6:$H$85,0)+7))</f>
        <v/>
      </c>
      <c r="H563" s="12">
        <f>IFERROR(IF(IFERROR(INDEX(Рецепты!$H$6:$H$85,MATCH(Меню!$D$28,Рецепты!$H$6:$H$85,0)+7)=Меню!$D$28,FALSE),INDEX(Рецепты!$L$6:$L$85,MATCH(Меню!$D$28,Рецепты!$H$6:$H$85,0)+7),0),0)</f>
        <v>0</v>
      </c>
      <c r="I563" s="12" t="str">
        <f>IF($F563="","",Меню!$E$28)</f>
        <v/>
      </c>
      <c r="J563" s="12">
        <f t="shared" si="8"/>
        <v>0</v>
      </c>
      <c r="K563" s="12">
        <f>IFERROR($J563/100*INDEX(Продукты!$G$6:$G$66,MATCH($E563,Продукты!$A$6:$A$66,0)),0)</f>
        <v>0</v>
      </c>
      <c r="L563" s="12">
        <f>IFERROR($J563/100*INDEX(Продукты!$H$6:$H$66,MATCH($E563,Продукты!$A$6:$A$66,0)),0)</f>
        <v>0</v>
      </c>
      <c r="M563" s="12">
        <f>IFERROR($J563/100*INDEX(Продукты!$I$6:$I$66,MATCH($E563,Продукты!$A$6:$A$66,0)),0)</f>
        <v>0</v>
      </c>
      <c r="N563" s="12">
        <f>IFERROR($J563/100*INDEX(Продукты!$J$6:$J$66,MATCH($E563,Продукты!$A$6:$A$66,0)),0)</f>
        <v>0</v>
      </c>
      <c r="O563" s="3" t="str">
        <f>IFERROR(IF(IFERROR(INDEX(Рецепты!$H$6:$H$85,MATCH(Меню!$D$28,Рецепты!$H$6:$H$85,0)+7)=Меню!$D$28,FALSE),INDEX(Рецепты!$N$6:$N$85,MATCH(Меню!$D$28,Рецепты!$H$6:$H$85,0)+7),""),"")</f>
        <v/>
      </c>
    </row>
    <row r="564" spans="1:15">
      <c r="A564" s="3" t="str">
        <f>IF($E564="","",Меню!$A$28)</f>
        <v/>
      </c>
      <c r="B564" s="3" t="str">
        <f>IF($E564="","",Меню!$B$28)</f>
        <v/>
      </c>
      <c r="C564" s="3" t="str">
        <f>IF($E564="","",Меню!$C$28)</f>
        <v/>
      </c>
      <c r="D564" s="3" t="str">
        <f>IF($E564="","",Меню!$D$28)</f>
        <v/>
      </c>
      <c r="E564" s="3" t="str">
        <f>IFERROR(IF(IFERROR(INDEX(Рецепты!$H$6:$H$85,MATCH(Меню!$D$28,Рецепты!$H$6:$H$85,0)+8)=Меню!$D$28,FALSE),INDEX(Рецепты!$J$6:$J$85,MATCH(Меню!$D$28,Рецепты!$H$6:$H$85,0)+8),""),"")</f>
        <v/>
      </c>
      <c r="F564" s="3" t="str">
        <f>IF($E564="","",INDEX(Рецепты!$K$6:$K$85,MATCH(Меню!$D$28,Рецепты!$H$6:$H$85,0)+8))</f>
        <v/>
      </c>
      <c r="G564" s="3" t="str">
        <f>IF($E564="","",INDEX(Рецепты!$M$6:$M$85,MATCH(Меню!$D$28,Рецепты!$H$6:$H$85,0)+8))</f>
        <v/>
      </c>
      <c r="H564" s="12">
        <f>IFERROR(IF(IFERROR(INDEX(Рецепты!$H$6:$H$85,MATCH(Меню!$D$28,Рецепты!$H$6:$H$85,0)+8)=Меню!$D$28,FALSE),INDEX(Рецепты!$L$6:$L$85,MATCH(Меню!$D$28,Рецепты!$H$6:$H$85,0)+8),0),0)</f>
        <v>0</v>
      </c>
      <c r="I564" s="12" t="str">
        <f>IF($F564="","",Меню!$E$28)</f>
        <v/>
      </c>
      <c r="J564" s="12">
        <f t="shared" si="8"/>
        <v>0</v>
      </c>
      <c r="K564" s="12">
        <f>IFERROR($J564/100*INDEX(Продукты!$G$6:$G$66,MATCH($E564,Продукты!$A$6:$A$66,0)),0)</f>
        <v>0</v>
      </c>
      <c r="L564" s="12">
        <f>IFERROR($J564/100*INDEX(Продукты!$H$6:$H$66,MATCH($E564,Продукты!$A$6:$A$66,0)),0)</f>
        <v>0</v>
      </c>
      <c r="M564" s="12">
        <f>IFERROR($J564/100*INDEX(Продукты!$I$6:$I$66,MATCH($E564,Продукты!$A$6:$A$66,0)),0)</f>
        <v>0</v>
      </c>
      <c r="N564" s="12">
        <f>IFERROR($J564/100*INDEX(Продукты!$J$6:$J$66,MATCH($E564,Продукты!$A$6:$A$66,0)),0)</f>
        <v>0</v>
      </c>
      <c r="O564" s="3" t="str">
        <f>IFERROR(IF(IFERROR(INDEX(Рецепты!$H$6:$H$85,MATCH(Меню!$D$28,Рецепты!$H$6:$H$85,0)+8)=Меню!$D$28,FALSE),INDEX(Рецепты!$N$6:$N$85,MATCH(Меню!$D$28,Рецепты!$H$6:$H$85,0)+8),""),"")</f>
        <v/>
      </c>
    </row>
    <row r="565" spans="1:15">
      <c r="A565" s="3" t="str">
        <f>IF($E565="","",Меню!$A$28)</f>
        <v/>
      </c>
      <c r="B565" s="3" t="str">
        <f>IF($E565="","",Меню!$B$28)</f>
        <v/>
      </c>
      <c r="C565" s="3" t="str">
        <f>IF($E565="","",Меню!$C$28)</f>
        <v/>
      </c>
      <c r="D565" s="3" t="str">
        <f>IF($E565="","",Меню!$D$28)</f>
        <v/>
      </c>
      <c r="E565" s="3" t="str">
        <f>IFERROR(IF(IFERROR(INDEX(Рецепты!$H$6:$H$85,MATCH(Меню!$D$28,Рецепты!$H$6:$H$85,0)+9)=Меню!$D$28,FALSE),INDEX(Рецепты!$J$6:$J$85,MATCH(Меню!$D$28,Рецепты!$H$6:$H$85,0)+9),""),"")</f>
        <v/>
      </c>
      <c r="F565" s="3" t="str">
        <f>IF($E565="","",INDEX(Рецепты!$K$6:$K$85,MATCH(Меню!$D$28,Рецепты!$H$6:$H$85,0)+9))</f>
        <v/>
      </c>
      <c r="G565" s="3" t="str">
        <f>IF($E565="","",INDEX(Рецепты!$M$6:$M$85,MATCH(Меню!$D$28,Рецепты!$H$6:$H$85,0)+9))</f>
        <v/>
      </c>
      <c r="H565" s="12">
        <f>IFERROR(IF(IFERROR(INDEX(Рецепты!$H$6:$H$85,MATCH(Меню!$D$28,Рецепты!$H$6:$H$85,0)+9)=Меню!$D$28,FALSE),INDEX(Рецепты!$L$6:$L$85,MATCH(Меню!$D$28,Рецепты!$H$6:$H$85,0)+9),0),0)</f>
        <v>0</v>
      </c>
      <c r="I565" s="12" t="str">
        <f>IF($F565="","",Меню!$E$28)</f>
        <v/>
      </c>
      <c r="J565" s="12">
        <f t="shared" si="8"/>
        <v>0</v>
      </c>
      <c r="K565" s="12">
        <f>IFERROR($J565/100*INDEX(Продукты!$G$6:$G$66,MATCH($E565,Продукты!$A$6:$A$66,0)),0)</f>
        <v>0</v>
      </c>
      <c r="L565" s="12">
        <f>IFERROR($J565/100*INDEX(Продукты!$H$6:$H$66,MATCH($E565,Продукты!$A$6:$A$66,0)),0)</f>
        <v>0</v>
      </c>
      <c r="M565" s="12">
        <f>IFERROR($J565/100*INDEX(Продукты!$I$6:$I$66,MATCH($E565,Продукты!$A$6:$A$66,0)),0)</f>
        <v>0</v>
      </c>
      <c r="N565" s="12">
        <f>IFERROR($J565/100*INDEX(Продукты!$J$6:$J$66,MATCH($E565,Продукты!$A$6:$A$66,0)),0)</f>
        <v>0</v>
      </c>
      <c r="O565" s="3" t="str">
        <f>IFERROR(IF(IFERROR(INDEX(Рецепты!$H$6:$H$85,MATCH(Меню!$D$28,Рецепты!$H$6:$H$85,0)+9)=Меню!$D$28,FALSE),INDEX(Рецепты!$N$6:$N$85,MATCH(Меню!$D$28,Рецепты!$H$6:$H$85,0)+9),""),"")</f>
        <v/>
      </c>
    </row>
    <row r="566" spans="1:15">
      <c r="A566" s="3" t="str">
        <f>IF($E566="","",Меню!$A$28)</f>
        <v/>
      </c>
      <c r="B566" s="3" t="str">
        <f>IF($E566="","",Меню!$B$28)</f>
        <v/>
      </c>
      <c r="C566" s="3" t="str">
        <f>IF($E566="","",Меню!$C$28)</f>
        <v/>
      </c>
      <c r="D566" s="3" t="str">
        <f>IF($E566="","",Меню!$D$28)</f>
        <v/>
      </c>
      <c r="E566" s="3" t="str">
        <f>IFERROR(IF(IFERROR(INDEX(Рецепты!$H$6:$H$85,MATCH(Меню!$D$28,Рецепты!$H$6:$H$85,0)+10)=Меню!$D$28,FALSE),INDEX(Рецепты!$J$6:$J$85,MATCH(Меню!$D$28,Рецепты!$H$6:$H$85,0)+10),""),"")</f>
        <v/>
      </c>
      <c r="F566" s="3" t="str">
        <f>IF($E566="","",INDEX(Рецепты!$K$6:$K$85,MATCH(Меню!$D$28,Рецепты!$H$6:$H$85,0)+10))</f>
        <v/>
      </c>
      <c r="G566" s="3" t="str">
        <f>IF($E566="","",INDEX(Рецепты!$M$6:$M$85,MATCH(Меню!$D$28,Рецепты!$H$6:$H$85,0)+10))</f>
        <v/>
      </c>
      <c r="H566" s="12">
        <f>IFERROR(IF(IFERROR(INDEX(Рецепты!$H$6:$H$85,MATCH(Меню!$D$28,Рецепты!$H$6:$H$85,0)+10)=Меню!$D$28,FALSE),INDEX(Рецепты!$L$6:$L$85,MATCH(Меню!$D$28,Рецепты!$H$6:$H$85,0)+10),0),0)</f>
        <v>0</v>
      </c>
      <c r="I566" s="12" t="str">
        <f>IF($F566="","",Меню!$E$28)</f>
        <v/>
      </c>
      <c r="J566" s="12">
        <f t="shared" si="8"/>
        <v>0</v>
      </c>
      <c r="K566" s="12">
        <f>IFERROR($J566/100*INDEX(Продукты!$G$6:$G$66,MATCH($E566,Продукты!$A$6:$A$66,0)),0)</f>
        <v>0</v>
      </c>
      <c r="L566" s="12">
        <f>IFERROR($J566/100*INDEX(Продукты!$H$6:$H$66,MATCH($E566,Продукты!$A$6:$A$66,0)),0)</f>
        <v>0</v>
      </c>
      <c r="M566" s="12">
        <f>IFERROR($J566/100*INDEX(Продукты!$I$6:$I$66,MATCH($E566,Продукты!$A$6:$A$66,0)),0)</f>
        <v>0</v>
      </c>
      <c r="N566" s="12">
        <f>IFERROR($J566/100*INDEX(Продукты!$J$6:$J$66,MATCH($E566,Продукты!$A$6:$A$66,0)),0)</f>
        <v>0</v>
      </c>
      <c r="O566" s="3" t="str">
        <f>IFERROR(IF(IFERROR(INDEX(Рецепты!$H$6:$H$85,MATCH(Меню!$D$28,Рецепты!$H$6:$H$85,0)+10)=Меню!$D$28,FALSE),INDEX(Рецепты!$N$6:$N$85,MATCH(Меню!$D$28,Рецепты!$H$6:$H$85,0)+10),""),"")</f>
        <v/>
      </c>
    </row>
    <row r="567" spans="1:15">
      <c r="A567" s="3" t="str">
        <f>IF($E567="","",Меню!$A$28)</f>
        <v/>
      </c>
      <c r="B567" s="3" t="str">
        <f>IF($E567="","",Меню!$B$28)</f>
        <v/>
      </c>
      <c r="C567" s="3" t="str">
        <f>IF($E567="","",Меню!$C$28)</f>
        <v/>
      </c>
      <c r="D567" s="3" t="str">
        <f>IF($E567="","",Меню!$D$28)</f>
        <v/>
      </c>
      <c r="E567" s="3" t="str">
        <f>IFERROR(IF(IFERROR(INDEX(Рецепты!$H$6:$H$85,MATCH(Меню!$D$28,Рецепты!$H$6:$H$85,0)+11)=Меню!$D$28,FALSE),INDEX(Рецепты!$J$6:$J$85,MATCH(Меню!$D$28,Рецепты!$H$6:$H$85,0)+11),""),"")</f>
        <v/>
      </c>
      <c r="F567" s="3" t="str">
        <f>IF($E567="","",INDEX(Рецепты!$K$6:$K$85,MATCH(Меню!$D$28,Рецепты!$H$6:$H$85,0)+11))</f>
        <v/>
      </c>
      <c r="G567" s="3" t="str">
        <f>IF($E567="","",INDEX(Рецепты!$M$6:$M$85,MATCH(Меню!$D$28,Рецепты!$H$6:$H$85,0)+11))</f>
        <v/>
      </c>
      <c r="H567" s="12">
        <f>IFERROR(IF(IFERROR(INDEX(Рецепты!$H$6:$H$85,MATCH(Меню!$D$28,Рецепты!$H$6:$H$85,0)+11)=Меню!$D$28,FALSE),INDEX(Рецепты!$L$6:$L$85,MATCH(Меню!$D$28,Рецепты!$H$6:$H$85,0)+11),0),0)</f>
        <v>0</v>
      </c>
      <c r="I567" s="12" t="str">
        <f>IF($F567="","",Меню!$E$28)</f>
        <v/>
      </c>
      <c r="J567" s="12">
        <f t="shared" si="8"/>
        <v>0</v>
      </c>
      <c r="K567" s="12">
        <f>IFERROR($J567/100*INDEX(Продукты!$G$6:$G$66,MATCH($E567,Продукты!$A$6:$A$66,0)),0)</f>
        <v>0</v>
      </c>
      <c r="L567" s="12">
        <f>IFERROR($J567/100*INDEX(Продукты!$H$6:$H$66,MATCH($E567,Продукты!$A$6:$A$66,0)),0)</f>
        <v>0</v>
      </c>
      <c r="M567" s="12">
        <f>IFERROR($J567/100*INDEX(Продукты!$I$6:$I$66,MATCH($E567,Продукты!$A$6:$A$66,0)),0)</f>
        <v>0</v>
      </c>
      <c r="N567" s="12">
        <f>IFERROR($J567/100*INDEX(Продукты!$J$6:$J$66,MATCH($E567,Продукты!$A$6:$A$66,0)),0)</f>
        <v>0</v>
      </c>
      <c r="O567" s="3" t="str">
        <f>IFERROR(IF(IFERROR(INDEX(Рецепты!$H$6:$H$85,MATCH(Меню!$D$28,Рецепты!$H$6:$H$85,0)+11)=Меню!$D$28,FALSE),INDEX(Рецепты!$N$6:$N$85,MATCH(Меню!$D$28,Рецепты!$H$6:$H$85,0)+11),""),"")</f>
        <v/>
      </c>
    </row>
    <row r="568" spans="1:15">
      <c r="A568" s="3" t="str">
        <f>IF($E568="","",Меню!$A$28)</f>
        <v/>
      </c>
      <c r="B568" s="3" t="str">
        <f>IF($E568="","",Меню!$B$28)</f>
        <v/>
      </c>
      <c r="C568" s="3" t="str">
        <f>IF($E568="","",Меню!$C$28)</f>
        <v/>
      </c>
      <c r="D568" s="3" t="str">
        <f>IF($E568="","",Меню!$D$28)</f>
        <v/>
      </c>
      <c r="E568" s="3" t="str">
        <f>IFERROR(IF(IFERROR(INDEX(Рецепты!$H$6:$H$85,MATCH(Меню!$D$28,Рецепты!$H$6:$H$85,0)+12)=Меню!$D$28,FALSE),INDEX(Рецепты!$J$6:$J$85,MATCH(Меню!$D$28,Рецепты!$H$6:$H$85,0)+12),""),"")</f>
        <v/>
      </c>
      <c r="F568" s="3" t="str">
        <f>IF($E568="","",INDEX(Рецепты!$K$6:$K$85,MATCH(Меню!$D$28,Рецепты!$H$6:$H$85,0)+12))</f>
        <v/>
      </c>
      <c r="G568" s="3" t="str">
        <f>IF($E568="","",INDEX(Рецепты!$M$6:$M$85,MATCH(Меню!$D$28,Рецепты!$H$6:$H$85,0)+12))</f>
        <v/>
      </c>
      <c r="H568" s="12">
        <f>IFERROR(IF(IFERROR(INDEX(Рецепты!$H$6:$H$85,MATCH(Меню!$D$28,Рецепты!$H$6:$H$85,0)+12)=Меню!$D$28,FALSE),INDEX(Рецепты!$L$6:$L$85,MATCH(Меню!$D$28,Рецепты!$H$6:$H$85,0)+12),0),0)</f>
        <v>0</v>
      </c>
      <c r="I568" s="12" t="str">
        <f>IF($F568="","",Меню!$E$28)</f>
        <v/>
      </c>
      <c r="J568" s="12">
        <f t="shared" si="8"/>
        <v>0</v>
      </c>
      <c r="K568" s="12">
        <f>IFERROR($J568/100*INDEX(Продукты!$G$6:$G$66,MATCH($E568,Продукты!$A$6:$A$66,0)),0)</f>
        <v>0</v>
      </c>
      <c r="L568" s="12">
        <f>IFERROR($J568/100*INDEX(Продукты!$H$6:$H$66,MATCH($E568,Продукты!$A$6:$A$66,0)),0)</f>
        <v>0</v>
      </c>
      <c r="M568" s="12">
        <f>IFERROR($J568/100*INDEX(Продукты!$I$6:$I$66,MATCH($E568,Продукты!$A$6:$A$66,0)),0)</f>
        <v>0</v>
      </c>
      <c r="N568" s="12">
        <f>IFERROR($J568/100*INDEX(Продукты!$J$6:$J$66,MATCH($E568,Продукты!$A$6:$A$66,0)),0)</f>
        <v>0</v>
      </c>
      <c r="O568" s="3" t="str">
        <f>IFERROR(IF(IFERROR(INDEX(Рецепты!$H$6:$H$85,MATCH(Меню!$D$28,Рецепты!$H$6:$H$85,0)+12)=Меню!$D$28,FALSE),INDEX(Рецепты!$N$6:$N$85,MATCH(Меню!$D$28,Рецепты!$H$6:$H$85,0)+12),""),"")</f>
        <v/>
      </c>
    </row>
    <row r="569" spans="1:15">
      <c r="A569" s="3" t="str">
        <f>IF($E569="","",Меню!$A$28)</f>
        <v/>
      </c>
      <c r="B569" s="3" t="str">
        <f>IF($E569="","",Меню!$B$28)</f>
        <v/>
      </c>
      <c r="C569" s="3" t="str">
        <f>IF($E569="","",Меню!$C$28)</f>
        <v/>
      </c>
      <c r="D569" s="3" t="str">
        <f>IF($E569="","",Меню!$D$28)</f>
        <v/>
      </c>
      <c r="E569" s="3" t="str">
        <f>IFERROR(IF(IFERROR(INDEX(Рецепты!$H$6:$H$85,MATCH(Меню!$D$28,Рецепты!$H$6:$H$85,0)+13)=Меню!$D$28,FALSE),INDEX(Рецепты!$J$6:$J$85,MATCH(Меню!$D$28,Рецепты!$H$6:$H$85,0)+13),""),"")</f>
        <v/>
      </c>
      <c r="F569" s="3" t="str">
        <f>IF($E569="","",INDEX(Рецепты!$K$6:$K$85,MATCH(Меню!$D$28,Рецепты!$H$6:$H$85,0)+13))</f>
        <v/>
      </c>
      <c r="G569" s="3" t="str">
        <f>IF($E569="","",INDEX(Рецепты!$M$6:$M$85,MATCH(Меню!$D$28,Рецепты!$H$6:$H$85,0)+13))</f>
        <v/>
      </c>
      <c r="H569" s="12">
        <f>IFERROR(IF(IFERROR(INDEX(Рецепты!$H$6:$H$85,MATCH(Меню!$D$28,Рецепты!$H$6:$H$85,0)+13)=Меню!$D$28,FALSE),INDEX(Рецепты!$L$6:$L$85,MATCH(Меню!$D$28,Рецепты!$H$6:$H$85,0)+13),0),0)</f>
        <v>0</v>
      </c>
      <c r="I569" s="12" t="str">
        <f>IF($F569="","",Меню!$E$28)</f>
        <v/>
      </c>
      <c r="J569" s="12">
        <f t="shared" si="8"/>
        <v>0</v>
      </c>
      <c r="K569" s="12">
        <f>IFERROR($J569/100*INDEX(Продукты!$G$6:$G$66,MATCH($E569,Продукты!$A$6:$A$66,0)),0)</f>
        <v>0</v>
      </c>
      <c r="L569" s="12">
        <f>IFERROR($J569/100*INDEX(Продукты!$H$6:$H$66,MATCH($E569,Продукты!$A$6:$A$66,0)),0)</f>
        <v>0</v>
      </c>
      <c r="M569" s="12">
        <f>IFERROR($J569/100*INDEX(Продукты!$I$6:$I$66,MATCH($E569,Продукты!$A$6:$A$66,0)),0)</f>
        <v>0</v>
      </c>
      <c r="N569" s="12">
        <f>IFERROR($J569/100*INDEX(Продукты!$J$6:$J$66,MATCH($E569,Продукты!$A$6:$A$66,0)),0)</f>
        <v>0</v>
      </c>
      <c r="O569" s="3" t="str">
        <f>IFERROR(IF(IFERROR(INDEX(Рецепты!$H$6:$H$85,MATCH(Меню!$D$28,Рецепты!$H$6:$H$85,0)+13)=Меню!$D$28,FALSE),INDEX(Рецепты!$N$6:$N$85,MATCH(Меню!$D$28,Рецепты!$H$6:$H$85,0)+13),""),"")</f>
        <v/>
      </c>
    </row>
    <row r="570" spans="1:15">
      <c r="A570" s="3" t="str">
        <f>IF($E570="","",Меню!$A$28)</f>
        <v/>
      </c>
      <c r="B570" s="3" t="str">
        <f>IF($E570="","",Меню!$B$28)</f>
        <v/>
      </c>
      <c r="C570" s="3" t="str">
        <f>IF($E570="","",Меню!$C$28)</f>
        <v/>
      </c>
      <c r="D570" s="3" t="str">
        <f>IF($E570="","",Меню!$D$28)</f>
        <v/>
      </c>
      <c r="E570" s="3" t="str">
        <f>IFERROR(IF(IFERROR(INDEX(Рецепты!$H$6:$H$85,MATCH(Меню!$D$28,Рецепты!$H$6:$H$85,0)+14)=Меню!$D$28,FALSE),INDEX(Рецепты!$J$6:$J$85,MATCH(Меню!$D$28,Рецепты!$H$6:$H$85,0)+14),""),"")</f>
        <v/>
      </c>
      <c r="F570" s="3" t="str">
        <f>IF($E570="","",INDEX(Рецепты!$K$6:$K$85,MATCH(Меню!$D$28,Рецепты!$H$6:$H$85,0)+14))</f>
        <v/>
      </c>
      <c r="G570" s="3" t="str">
        <f>IF($E570="","",INDEX(Рецепты!$M$6:$M$85,MATCH(Меню!$D$28,Рецепты!$H$6:$H$85,0)+14))</f>
        <v/>
      </c>
      <c r="H570" s="12">
        <f>IFERROR(IF(IFERROR(INDEX(Рецепты!$H$6:$H$85,MATCH(Меню!$D$28,Рецепты!$H$6:$H$85,0)+14)=Меню!$D$28,FALSE),INDEX(Рецепты!$L$6:$L$85,MATCH(Меню!$D$28,Рецепты!$H$6:$H$85,0)+14),0),0)</f>
        <v>0</v>
      </c>
      <c r="I570" s="12" t="str">
        <f>IF($F570="","",Меню!$E$28)</f>
        <v/>
      </c>
      <c r="J570" s="12">
        <f t="shared" si="8"/>
        <v>0</v>
      </c>
      <c r="K570" s="12">
        <f>IFERROR($J570/100*INDEX(Продукты!$G$6:$G$66,MATCH($E570,Продукты!$A$6:$A$66,0)),0)</f>
        <v>0</v>
      </c>
      <c r="L570" s="12">
        <f>IFERROR($J570/100*INDEX(Продукты!$H$6:$H$66,MATCH($E570,Продукты!$A$6:$A$66,0)),0)</f>
        <v>0</v>
      </c>
      <c r="M570" s="12">
        <f>IFERROR($J570/100*INDEX(Продукты!$I$6:$I$66,MATCH($E570,Продукты!$A$6:$A$66,0)),0)</f>
        <v>0</v>
      </c>
      <c r="N570" s="12">
        <f>IFERROR($J570/100*INDEX(Продукты!$J$6:$J$66,MATCH($E570,Продукты!$A$6:$A$66,0)),0)</f>
        <v>0</v>
      </c>
      <c r="O570" s="3" t="str">
        <f>IFERROR(IF(IFERROR(INDEX(Рецепты!$H$6:$H$85,MATCH(Меню!$D$28,Рецепты!$H$6:$H$85,0)+14)=Меню!$D$28,FALSE),INDEX(Рецепты!$N$6:$N$85,MATCH(Меню!$D$28,Рецепты!$H$6:$H$85,0)+14),""),"")</f>
        <v/>
      </c>
    </row>
    <row r="571" spans="1:15">
      <c r="A571" s="3" t="str">
        <f>IF($E571="","",Меню!$A$28)</f>
        <v/>
      </c>
      <c r="B571" s="3" t="str">
        <f>IF($E571="","",Меню!$B$28)</f>
        <v/>
      </c>
      <c r="C571" s="3" t="str">
        <f>IF($E571="","",Меню!$C$28)</f>
        <v/>
      </c>
      <c r="D571" s="3" t="str">
        <f>IF($E571="","",Меню!$D$28)</f>
        <v/>
      </c>
      <c r="E571" s="3" t="str">
        <f>IFERROR(IF(IFERROR(INDEX(Рецепты!$H$6:$H$85,MATCH(Меню!$D$28,Рецепты!$H$6:$H$85,0)+15)=Меню!$D$28,FALSE),INDEX(Рецепты!$J$6:$J$85,MATCH(Меню!$D$28,Рецепты!$H$6:$H$85,0)+15),""),"")</f>
        <v/>
      </c>
      <c r="F571" s="3" t="str">
        <f>IF($E571="","",INDEX(Рецепты!$K$6:$K$85,MATCH(Меню!$D$28,Рецепты!$H$6:$H$85,0)+15))</f>
        <v/>
      </c>
      <c r="G571" s="3" t="str">
        <f>IF($E571="","",INDEX(Рецепты!$M$6:$M$85,MATCH(Меню!$D$28,Рецепты!$H$6:$H$85,0)+15))</f>
        <v/>
      </c>
      <c r="H571" s="12">
        <f>IFERROR(IF(IFERROR(INDEX(Рецепты!$H$6:$H$85,MATCH(Меню!$D$28,Рецепты!$H$6:$H$85,0)+15)=Меню!$D$28,FALSE),INDEX(Рецепты!$L$6:$L$85,MATCH(Меню!$D$28,Рецепты!$H$6:$H$85,0)+15),0),0)</f>
        <v>0</v>
      </c>
      <c r="I571" s="12" t="str">
        <f>IF($F571="","",Меню!$E$28)</f>
        <v/>
      </c>
      <c r="J571" s="12">
        <f t="shared" si="8"/>
        <v>0</v>
      </c>
      <c r="K571" s="12">
        <f>IFERROR($J571/100*INDEX(Продукты!$G$6:$G$66,MATCH($E571,Продукты!$A$6:$A$66,0)),0)</f>
        <v>0</v>
      </c>
      <c r="L571" s="12">
        <f>IFERROR($J571/100*INDEX(Продукты!$H$6:$H$66,MATCH($E571,Продукты!$A$6:$A$66,0)),0)</f>
        <v>0</v>
      </c>
      <c r="M571" s="12">
        <f>IFERROR($J571/100*INDEX(Продукты!$I$6:$I$66,MATCH($E571,Продукты!$A$6:$A$66,0)),0)</f>
        <v>0</v>
      </c>
      <c r="N571" s="12">
        <f>IFERROR($J571/100*INDEX(Продукты!$J$6:$J$66,MATCH($E571,Продукты!$A$6:$A$66,0)),0)</f>
        <v>0</v>
      </c>
      <c r="O571" s="3" t="str">
        <f>IFERROR(IF(IFERROR(INDEX(Рецепты!$H$6:$H$85,MATCH(Меню!$D$28,Рецепты!$H$6:$H$85,0)+15)=Меню!$D$28,FALSE),INDEX(Рецепты!$N$6:$N$85,MATCH(Меню!$D$28,Рецепты!$H$6:$H$85,0)+15),""),"")</f>
        <v/>
      </c>
    </row>
    <row r="572" spans="1:15">
      <c r="A572" s="3" t="str">
        <f>IF($E572="","",Меню!$A$28)</f>
        <v/>
      </c>
      <c r="B572" s="3" t="str">
        <f>IF($E572="","",Меню!$B$28)</f>
        <v/>
      </c>
      <c r="C572" s="3" t="str">
        <f>IF($E572="","",Меню!$C$28)</f>
        <v/>
      </c>
      <c r="D572" s="3" t="str">
        <f>IF($E572="","",Меню!$D$28)</f>
        <v/>
      </c>
      <c r="E572" s="3" t="str">
        <f>IFERROR(IF(IFERROR(INDEX(Рецепты!$H$6:$H$85,MATCH(Меню!$D$28,Рецепты!$H$6:$H$85,0)+16)=Меню!$D$28,FALSE),INDEX(Рецепты!$J$6:$J$85,MATCH(Меню!$D$28,Рецепты!$H$6:$H$85,0)+16),""),"")</f>
        <v/>
      </c>
      <c r="F572" s="3" t="str">
        <f>IF($E572="","",INDEX(Рецепты!$K$6:$K$85,MATCH(Меню!$D$28,Рецепты!$H$6:$H$85,0)+16))</f>
        <v/>
      </c>
      <c r="G572" s="3" t="str">
        <f>IF($E572="","",INDEX(Рецепты!$M$6:$M$85,MATCH(Меню!$D$28,Рецепты!$H$6:$H$85,0)+16))</f>
        <v/>
      </c>
      <c r="H572" s="12">
        <f>IFERROR(IF(IFERROR(INDEX(Рецепты!$H$6:$H$85,MATCH(Меню!$D$28,Рецепты!$H$6:$H$85,0)+16)=Меню!$D$28,FALSE),INDEX(Рецепты!$L$6:$L$85,MATCH(Меню!$D$28,Рецепты!$H$6:$H$85,0)+16),0),0)</f>
        <v>0</v>
      </c>
      <c r="I572" s="12" t="str">
        <f>IF($F572="","",Меню!$E$28)</f>
        <v/>
      </c>
      <c r="J572" s="12">
        <f t="shared" si="8"/>
        <v>0</v>
      </c>
      <c r="K572" s="12">
        <f>IFERROR($J572/100*INDEX(Продукты!$G$6:$G$66,MATCH($E572,Продукты!$A$6:$A$66,0)),0)</f>
        <v>0</v>
      </c>
      <c r="L572" s="12">
        <f>IFERROR($J572/100*INDEX(Продукты!$H$6:$H$66,MATCH($E572,Продукты!$A$6:$A$66,0)),0)</f>
        <v>0</v>
      </c>
      <c r="M572" s="12">
        <f>IFERROR($J572/100*INDEX(Продукты!$I$6:$I$66,MATCH($E572,Продукты!$A$6:$A$66,0)),0)</f>
        <v>0</v>
      </c>
      <c r="N572" s="12">
        <f>IFERROR($J572/100*INDEX(Продукты!$J$6:$J$66,MATCH($E572,Продукты!$A$6:$A$66,0)),0)</f>
        <v>0</v>
      </c>
      <c r="O572" s="3" t="str">
        <f>IFERROR(IF(IFERROR(INDEX(Рецепты!$H$6:$H$85,MATCH(Меню!$D$28,Рецепты!$H$6:$H$85,0)+16)=Меню!$D$28,FALSE),INDEX(Рецепты!$N$6:$N$85,MATCH(Меню!$D$28,Рецепты!$H$6:$H$85,0)+16),""),"")</f>
        <v/>
      </c>
    </row>
    <row r="573" spans="1:15">
      <c r="A573" s="3" t="str">
        <f>IF($E573="","",Меню!$A$28)</f>
        <v/>
      </c>
      <c r="B573" s="3" t="str">
        <f>IF($E573="","",Меню!$B$28)</f>
        <v/>
      </c>
      <c r="C573" s="3" t="str">
        <f>IF($E573="","",Меню!$C$28)</f>
        <v/>
      </c>
      <c r="D573" s="3" t="str">
        <f>IF($E573="","",Меню!$D$28)</f>
        <v/>
      </c>
      <c r="E573" s="3" t="str">
        <f>IFERROR(IF(IFERROR(INDEX(Рецепты!$H$6:$H$85,MATCH(Меню!$D$28,Рецепты!$H$6:$H$85,0)+17)=Меню!$D$28,FALSE),INDEX(Рецепты!$J$6:$J$85,MATCH(Меню!$D$28,Рецепты!$H$6:$H$85,0)+17),""),"")</f>
        <v/>
      </c>
      <c r="F573" s="3" t="str">
        <f>IF($E573="","",INDEX(Рецепты!$K$6:$K$85,MATCH(Меню!$D$28,Рецепты!$H$6:$H$85,0)+17))</f>
        <v/>
      </c>
      <c r="G573" s="3" t="str">
        <f>IF($E573="","",INDEX(Рецепты!$M$6:$M$85,MATCH(Меню!$D$28,Рецепты!$H$6:$H$85,0)+17))</f>
        <v/>
      </c>
      <c r="H573" s="12">
        <f>IFERROR(IF(IFERROR(INDEX(Рецепты!$H$6:$H$85,MATCH(Меню!$D$28,Рецепты!$H$6:$H$85,0)+17)=Меню!$D$28,FALSE),INDEX(Рецепты!$L$6:$L$85,MATCH(Меню!$D$28,Рецепты!$H$6:$H$85,0)+17),0),0)</f>
        <v>0</v>
      </c>
      <c r="I573" s="12" t="str">
        <f>IF($F573="","",Меню!$E$28)</f>
        <v/>
      </c>
      <c r="J573" s="12">
        <f t="shared" si="8"/>
        <v>0</v>
      </c>
      <c r="K573" s="12">
        <f>IFERROR($J573/100*INDEX(Продукты!$G$6:$G$66,MATCH($E573,Продукты!$A$6:$A$66,0)),0)</f>
        <v>0</v>
      </c>
      <c r="L573" s="12">
        <f>IFERROR($J573/100*INDEX(Продукты!$H$6:$H$66,MATCH($E573,Продукты!$A$6:$A$66,0)),0)</f>
        <v>0</v>
      </c>
      <c r="M573" s="12">
        <f>IFERROR($J573/100*INDEX(Продукты!$I$6:$I$66,MATCH($E573,Продукты!$A$6:$A$66,0)),0)</f>
        <v>0</v>
      </c>
      <c r="N573" s="12">
        <f>IFERROR($J573/100*INDEX(Продукты!$J$6:$J$66,MATCH($E573,Продукты!$A$6:$A$66,0)),0)</f>
        <v>0</v>
      </c>
      <c r="O573" s="3" t="str">
        <f>IFERROR(IF(IFERROR(INDEX(Рецепты!$H$6:$H$85,MATCH(Меню!$D$28,Рецепты!$H$6:$H$85,0)+17)=Меню!$D$28,FALSE),INDEX(Рецепты!$N$6:$N$85,MATCH(Меню!$D$28,Рецепты!$H$6:$H$85,0)+17),""),"")</f>
        <v/>
      </c>
    </row>
    <row r="574" spans="1:15">
      <c r="A574" s="3" t="str">
        <f>IF($E574="","",Меню!$A$28)</f>
        <v/>
      </c>
      <c r="B574" s="3" t="str">
        <f>IF($E574="","",Меню!$B$28)</f>
        <v/>
      </c>
      <c r="C574" s="3" t="str">
        <f>IF($E574="","",Меню!$C$28)</f>
        <v/>
      </c>
      <c r="D574" s="3" t="str">
        <f>IF($E574="","",Меню!$D$28)</f>
        <v/>
      </c>
      <c r="E574" s="3" t="str">
        <f>IFERROR(IF(IFERROR(INDEX(Рецепты!$H$6:$H$85,MATCH(Меню!$D$28,Рецепты!$H$6:$H$85,0)+18)=Меню!$D$28,FALSE),INDEX(Рецепты!$J$6:$J$85,MATCH(Меню!$D$28,Рецепты!$H$6:$H$85,0)+18),""),"")</f>
        <v/>
      </c>
      <c r="F574" s="3" t="str">
        <f>IF($E574="","",INDEX(Рецепты!$K$6:$K$85,MATCH(Меню!$D$28,Рецепты!$H$6:$H$85,0)+18))</f>
        <v/>
      </c>
      <c r="G574" s="3" t="str">
        <f>IF($E574="","",INDEX(Рецепты!$M$6:$M$85,MATCH(Меню!$D$28,Рецепты!$H$6:$H$85,0)+18))</f>
        <v/>
      </c>
      <c r="H574" s="12">
        <f>IFERROR(IF(IFERROR(INDEX(Рецепты!$H$6:$H$85,MATCH(Меню!$D$28,Рецепты!$H$6:$H$85,0)+18)=Меню!$D$28,FALSE),INDEX(Рецепты!$L$6:$L$85,MATCH(Меню!$D$28,Рецепты!$H$6:$H$85,0)+18),0),0)</f>
        <v>0</v>
      </c>
      <c r="I574" s="12" t="str">
        <f>IF($F574="","",Меню!$E$28)</f>
        <v/>
      </c>
      <c r="J574" s="12">
        <f t="shared" si="8"/>
        <v>0</v>
      </c>
      <c r="K574" s="12">
        <f>IFERROR($J574/100*INDEX(Продукты!$G$6:$G$66,MATCH($E574,Продукты!$A$6:$A$66,0)),0)</f>
        <v>0</v>
      </c>
      <c r="L574" s="12">
        <f>IFERROR($J574/100*INDEX(Продукты!$H$6:$H$66,MATCH($E574,Продукты!$A$6:$A$66,0)),0)</f>
        <v>0</v>
      </c>
      <c r="M574" s="12">
        <f>IFERROR($J574/100*INDEX(Продукты!$I$6:$I$66,MATCH($E574,Продукты!$A$6:$A$66,0)),0)</f>
        <v>0</v>
      </c>
      <c r="N574" s="12">
        <f>IFERROR($J574/100*INDEX(Продукты!$J$6:$J$66,MATCH($E574,Продукты!$A$6:$A$66,0)),0)</f>
        <v>0</v>
      </c>
      <c r="O574" s="3" t="str">
        <f>IFERROR(IF(IFERROR(INDEX(Рецепты!$H$6:$H$85,MATCH(Меню!$D$28,Рецепты!$H$6:$H$85,0)+18)=Меню!$D$28,FALSE),INDEX(Рецепты!$N$6:$N$85,MATCH(Меню!$D$28,Рецепты!$H$6:$H$85,0)+18),""),"")</f>
        <v/>
      </c>
    </row>
    <row r="575" spans="1:15">
      <c r="A575" s="3" t="str">
        <f>IF($E575="","",Меню!$A$28)</f>
        <v/>
      </c>
      <c r="B575" s="3" t="str">
        <f>IF($E575="","",Меню!$B$28)</f>
        <v/>
      </c>
      <c r="C575" s="3" t="str">
        <f>IF($E575="","",Меню!$C$28)</f>
        <v/>
      </c>
      <c r="D575" s="3" t="str">
        <f>IF($E575="","",Меню!$D$28)</f>
        <v/>
      </c>
      <c r="E575" s="3" t="str">
        <f>IFERROR(IF(IFERROR(INDEX(Рецепты!$H$6:$H$85,MATCH(Меню!$D$28,Рецепты!$H$6:$H$85,0)+19)=Меню!$D$28,FALSE),INDEX(Рецепты!$J$6:$J$85,MATCH(Меню!$D$28,Рецепты!$H$6:$H$85,0)+19),""),"")</f>
        <v/>
      </c>
      <c r="F575" s="3" t="str">
        <f>IF($E575="","",INDEX(Рецепты!$K$6:$K$85,MATCH(Меню!$D$28,Рецепты!$H$6:$H$85,0)+19))</f>
        <v/>
      </c>
      <c r="G575" s="3" t="str">
        <f>IF($E575="","",INDEX(Рецепты!$M$6:$M$85,MATCH(Меню!$D$28,Рецепты!$H$6:$H$85,0)+19))</f>
        <v/>
      </c>
      <c r="H575" s="12">
        <f>IFERROR(IF(IFERROR(INDEX(Рецепты!$H$6:$H$85,MATCH(Меню!$D$28,Рецепты!$H$6:$H$85,0)+19)=Меню!$D$28,FALSE),INDEX(Рецепты!$L$6:$L$85,MATCH(Меню!$D$28,Рецепты!$H$6:$H$85,0)+19),0),0)</f>
        <v>0</v>
      </c>
      <c r="I575" s="12" t="str">
        <f>IF($F575="","",Меню!$E$28)</f>
        <v/>
      </c>
      <c r="J575" s="12">
        <f t="shared" si="8"/>
        <v>0</v>
      </c>
      <c r="K575" s="12">
        <f>IFERROR($J575/100*INDEX(Продукты!$G$6:$G$66,MATCH($E575,Продукты!$A$6:$A$66,0)),0)</f>
        <v>0</v>
      </c>
      <c r="L575" s="12">
        <f>IFERROR($J575/100*INDEX(Продукты!$H$6:$H$66,MATCH($E575,Продукты!$A$6:$A$66,0)),0)</f>
        <v>0</v>
      </c>
      <c r="M575" s="12">
        <f>IFERROR($J575/100*INDEX(Продукты!$I$6:$I$66,MATCH($E575,Продукты!$A$6:$A$66,0)),0)</f>
        <v>0</v>
      </c>
      <c r="N575" s="12">
        <f>IFERROR($J575/100*INDEX(Продукты!$J$6:$J$66,MATCH($E575,Продукты!$A$6:$A$66,0)),0)</f>
        <v>0</v>
      </c>
      <c r="O575" s="3" t="str">
        <f>IFERROR(IF(IFERROR(INDEX(Рецепты!$H$6:$H$85,MATCH(Меню!$D$28,Рецепты!$H$6:$H$85,0)+19)=Меню!$D$28,FALSE),INDEX(Рецепты!$N$6:$N$85,MATCH(Меню!$D$28,Рецепты!$H$6:$H$85,0)+19),""),"")</f>
        <v/>
      </c>
    </row>
    <row r="576" spans="1:15">
      <c r="A576" s="3" t="str">
        <f>IF($E576="","",Меню!$A$28)</f>
        <v/>
      </c>
      <c r="B576" s="3" t="str">
        <f>IF($E576="","",Меню!$B$28)</f>
        <v/>
      </c>
      <c r="C576" s="3" t="str">
        <f>IF($E576="","",Меню!$C$28)</f>
        <v/>
      </c>
      <c r="D576" s="3" t="str">
        <f>IF($E576="","",Меню!$D$28)</f>
        <v/>
      </c>
      <c r="E576" s="3" t="str">
        <f>IFERROR(IF(IFERROR(INDEX(Рецепты!$H$6:$H$85,MATCH(Меню!$D$28,Рецепты!$H$6:$H$85,0)+20)=Меню!$D$28,FALSE),INDEX(Рецепты!$J$6:$J$85,MATCH(Меню!$D$28,Рецепты!$H$6:$H$85,0)+20),""),"")</f>
        <v/>
      </c>
      <c r="F576" s="3" t="str">
        <f>IF($E576="","",INDEX(Рецепты!$K$6:$K$85,MATCH(Меню!$D$28,Рецепты!$H$6:$H$85,0)+20))</f>
        <v/>
      </c>
      <c r="G576" s="3" t="str">
        <f>IF($E576="","",INDEX(Рецепты!$M$6:$M$85,MATCH(Меню!$D$28,Рецепты!$H$6:$H$85,0)+20))</f>
        <v/>
      </c>
      <c r="H576" s="12">
        <f>IFERROR(IF(IFERROR(INDEX(Рецепты!$H$6:$H$85,MATCH(Меню!$D$28,Рецепты!$H$6:$H$85,0)+20)=Меню!$D$28,FALSE),INDEX(Рецепты!$L$6:$L$85,MATCH(Меню!$D$28,Рецепты!$H$6:$H$85,0)+20),0),0)</f>
        <v>0</v>
      </c>
      <c r="I576" s="12" t="str">
        <f>IF($F576="","",Меню!$E$28)</f>
        <v/>
      </c>
      <c r="J576" s="12">
        <f t="shared" si="8"/>
        <v>0</v>
      </c>
      <c r="K576" s="12">
        <f>IFERROR($J576/100*INDEX(Продукты!$G$6:$G$66,MATCH($E576,Продукты!$A$6:$A$66,0)),0)</f>
        <v>0</v>
      </c>
      <c r="L576" s="12">
        <f>IFERROR($J576/100*INDEX(Продукты!$H$6:$H$66,MATCH($E576,Продукты!$A$6:$A$66,0)),0)</f>
        <v>0</v>
      </c>
      <c r="M576" s="12">
        <f>IFERROR($J576/100*INDEX(Продукты!$I$6:$I$66,MATCH($E576,Продукты!$A$6:$A$66,0)),0)</f>
        <v>0</v>
      </c>
      <c r="N576" s="12">
        <f>IFERROR($J576/100*INDEX(Продукты!$J$6:$J$66,MATCH($E576,Продукты!$A$6:$A$66,0)),0)</f>
        <v>0</v>
      </c>
      <c r="O576" s="3" t="str">
        <f>IFERROR(IF(IFERROR(INDEX(Рецепты!$H$6:$H$85,MATCH(Меню!$D$28,Рецепты!$H$6:$H$85,0)+20)=Меню!$D$28,FALSE),INDEX(Рецепты!$N$6:$N$85,MATCH(Меню!$D$28,Рецепты!$H$6:$H$85,0)+20),""),"")</f>
        <v/>
      </c>
    </row>
    <row r="577" spans="1:15">
      <c r="A577" s="3" t="str">
        <f>IF($E577="","",Меню!$A$28)</f>
        <v/>
      </c>
      <c r="B577" s="3" t="str">
        <f>IF($E577="","",Меню!$B$28)</f>
        <v/>
      </c>
      <c r="C577" s="3" t="str">
        <f>IF($E577="","",Меню!$C$28)</f>
        <v/>
      </c>
      <c r="D577" s="3" t="str">
        <f>IF($E577="","",Меню!$D$28)</f>
        <v/>
      </c>
      <c r="E577" s="3" t="str">
        <f>IFERROR(IF(IFERROR(INDEX(Рецепты!$H$6:$H$85,MATCH(Меню!$D$28,Рецепты!$H$6:$H$85,0)+21)=Меню!$D$28,FALSE),INDEX(Рецепты!$J$6:$J$85,MATCH(Меню!$D$28,Рецепты!$H$6:$H$85,0)+21),""),"")</f>
        <v/>
      </c>
      <c r="F577" s="3" t="str">
        <f>IF($E577="","",INDEX(Рецепты!$K$6:$K$85,MATCH(Меню!$D$28,Рецепты!$H$6:$H$85,0)+21))</f>
        <v/>
      </c>
      <c r="G577" s="3" t="str">
        <f>IF($E577="","",INDEX(Рецепты!$M$6:$M$85,MATCH(Меню!$D$28,Рецепты!$H$6:$H$85,0)+21))</f>
        <v/>
      </c>
      <c r="H577" s="12">
        <f>IFERROR(IF(IFERROR(INDEX(Рецепты!$H$6:$H$85,MATCH(Меню!$D$28,Рецепты!$H$6:$H$85,0)+21)=Меню!$D$28,FALSE),INDEX(Рецепты!$L$6:$L$85,MATCH(Меню!$D$28,Рецепты!$H$6:$H$85,0)+21),0),0)</f>
        <v>0</v>
      </c>
      <c r="I577" s="12" t="str">
        <f>IF($F577="","",Меню!$E$28)</f>
        <v/>
      </c>
      <c r="J577" s="12">
        <f t="shared" si="8"/>
        <v>0</v>
      </c>
      <c r="K577" s="12">
        <f>IFERROR($J577/100*INDEX(Продукты!$G$6:$G$66,MATCH($E577,Продукты!$A$6:$A$66,0)),0)</f>
        <v>0</v>
      </c>
      <c r="L577" s="12">
        <f>IFERROR($J577/100*INDEX(Продукты!$H$6:$H$66,MATCH($E577,Продукты!$A$6:$A$66,0)),0)</f>
        <v>0</v>
      </c>
      <c r="M577" s="12">
        <f>IFERROR($J577/100*INDEX(Продукты!$I$6:$I$66,MATCH($E577,Продукты!$A$6:$A$66,0)),0)</f>
        <v>0</v>
      </c>
      <c r="N577" s="12">
        <f>IFERROR($J577/100*INDEX(Продукты!$J$6:$J$66,MATCH($E577,Продукты!$A$6:$A$66,0)),0)</f>
        <v>0</v>
      </c>
      <c r="O577" s="3" t="str">
        <f>IFERROR(IF(IFERROR(INDEX(Рецепты!$H$6:$H$85,MATCH(Меню!$D$28,Рецепты!$H$6:$H$85,0)+21)=Меню!$D$28,FALSE),INDEX(Рецепты!$N$6:$N$85,MATCH(Меню!$D$28,Рецепты!$H$6:$H$85,0)+21),""),"")</f>
        <v/>
      </c>
    </row>
    <row r="578" spans="1:15">
      <c r="A578" s="3" t="str">
        <f>IF($E578="","",Меню!$A$28)</f>
        <v/>
      </c>
      <c r="B578" s="3" t="str">
        <f>IF($E578="","",Меню!$B$28)</f>
        <v/>
      </c>
      <c r="C578" s="3" t="str">
        <f>IF($E578="","",Меню!$C$28)</f>
        <v/>
      </c>
      <c r="D578" s="3" t="str">
        <f>IF($E578="","",Меню!$D$28)</f>
        <v/>
      </c>
      <c r="E578" s="3" t="str">
        <f>IFERROR(IF(IFERROR(INDEX(Рецепты!$H$6:$H$85,MATCH(Меню!$D$28,Рецепты!$H$6:$H$85,0)+22)=Меню!$D$28,FALSE),INDEX(Рецепты!$J$6:$J$85,MATCH(Меню!$D$28,Рецепты!$H$6:$H$85,0)+22),""),"")</f>
        <v/>
      </c>
      <c r="F578" s="3" t="str">
        <f>IF($E578="","",INDEX(Рецепты!$K$6:$K$85,MATCH(Меню!$D$28,Рецепты!$H$6:$H$85,0)+22))</f>
        <v/>
      </c>
      <c r="G578" s="3" t="str">
        <f>IF($E578="","",INDEX(Рецепты!$M$6:$M$85,MATCH(Меню!$D$28,Рецепты!$H$6:$H$85,0)+22))</f>
        <v/>
      </c>
      <c r="H578" s="12">
        <f>IFERROR(IF(IFERROR(INDEX(Рецепты!$H$6:$H$85,MATCH(Меню!$D$28,Рецепты!$H$6:$H$85,0)+22)=Меню!$D$28,FALSE),INDEX(Рецепты!$L$6:$L$85,MATCH(Меню!$D$28,Рецепты!$H$6:$H$85,0)+22),0),0)</f>
        <v>0</v>
      </c>
      <c r="I578" s="12" t="str">
        <f>IF($F578="","",Меню!$E$28)</f>
        <v/>
      </c>
      <c r="J578" s="12">
        <f t="shared" si="8"/>
        <v>0</v>
      </c>
      <c r="K578" s="12">
        <f>IFERROR($J578/100*INDEX(Продукты!$G$6:$G$66,MATCH($E578,Продукты!$A$6:$A$66,0)),0)</f>
        <v>0</v>
      </c>
      <c r="L578" s="12">
        <f>IFERROR($J578/100*INDEX(Продукты!$H$6:$H$66,MATCH($E578,Продукты!$A$6:$A$66,0)),0)</f>
        <v>0</v>
      </c>
      <c r="M578" s="12">
        <f>IFERROR($J578/100*INDEX(Продукты!$I$6:$I$66,MATCH($E578,Продукты!$A$6:$A$66,0)),0)</f>
        <v>0</v>
      </c>
      <c r="N578" s="12">
        <f>IFERROR($J578/100*INDEX(Продукты!$J$6:$J$66,MATCH($E578,Продукты!$A$6:$A$66,0)),0)</f>
        <v>0</v>
      </c>
      <c r="O578" s="3" t="str">
        <f>IFERROR(IF(IFERROR(INDEX(Рецепты!$H$6:$H$85,MATCH(Меню!$D$28,Рецепты!$H$6:$H$85,0)+22)=Меню!$D$28,FALSE),INDEX(Рецепты!$N$6:$N$85,MATCH(Меню!$D$28,Рецепты!$H$6:$H$85,0)+22),""),"")</f>
        <v/>
      </c>
    </row>
    <row r="579" spans="1:15">
      <c r="A579" s="3" t="str">
        <f>IF($E579="","",Меню!$A$28)</f>
        <v/>
      </c>
      <c r="B579" s="3" t="str">
        <f>IF($E579="","",Меню!$B$28)</f>
        <v/>
      </c>
      <c r="C579" s="3" t="str">
        <f>IF($E579="","",Меню!$C$28)</f>
        <v/>
      </c>
      <c r="D579" s="3" t="str">
        <f>IF($E579="","",Меню!$D$28)</f>
        <v/>
      </c>
      <c r="E579" s="3" t="str">
        <f>IFERROR(IF(IFERROR(INDEX(Рецепты!$H$6:$H$85,MATCH(Меню!$D$28,Рецепты!$H$6:$H$85,0)+23)=Меню!$D$28,FALSE),INDEX(Рецепты!$J$6:$J$85,MATCH(Меню!$D$28,Рецепты!$H$6:$H$85,0)+23),""),"")</f>
        <v/>
      </c>
      <c r="F579" s="3" t="str">
        <f>IF($E579="","",INDEX(Рецепты!$K$6:$K$85,MATCH(Меню!$D$28,Рецепты!$H$6:$H$85,0)+23))</f>
        <v/>
      </c>
      <c r="G579" s="3" t="str">
        <f>IF($E579="","",INDEX(Рецепты!$M$6:$M$85,MATCH(Меню!$D$28,Рецепты!$H$6:$H$85,0)+23))</f>
        <v/>
      </c>
      <c r="H579" s="12">
        <f>IFERROR(IF(IFERROR(INDEX(Рецепты!$H$6:$H$85,MATCH(Меню!$D$28,Рецепты!$H$6:$H$85,0)+23)=Меню!$D$28,FALSE),INDEX(Рецепты!$L$6:$L$85,MATCH(Меню!$D$28,Рецепты!$H$6:$H$85,0)+23),0),0)</f>
        <v>0</v>
      </c>
      <c r="I579" s="12" t="str">
        <f>IF($F579="","",Меню!$E$28)</f>
        <v/>
      </c>
      <c r="J579" s="12">
        <f t="shared" si="8"/>
        <v>0</v>
      </c>
      <c r="K579" s="12">
        <f>IFERROR($J579/100*INDEX(Продукты!$G$6:$G$66,MATCH($E579,Продукты!$A$6:$A$66,0)),0)</f>
        <v>0</v>
      </c>
      <c r="L579" s="12">
        <f>IFERROR($J579/100*INDEX(Продукты!$H$6:$H$66,MATCH($E579,Продукты!$A$6:$A$66,0)),0)</f>
        <v>0</v>
      </c>
      <c r="M579" s="12">
        <f>IFERROR($J579/100*INDEX(Продукты!$I$6:$I$66,MATCH($E579,Продукты!$A$6:$A$66,0)),0)</f>
        <v>0</v>
      </c>
      <c r="N579" s="12">
        <f>IFERROR($J579/100*INDEX(Продукты!$J$6:$J$66,MATCH($E579,Продукты!$A$6:$A$66,0)),0)</f>
        <v>0</v>
      </c>
      <c r="O579" s="3" t="str">
        <f>IFERROR(IF(IFERROR(INDEX(Рецепты!$H$6:$H$85,MATCH(Меню!$D$28,Рецепты!$H$6:$H$85,0)+23)=Меню!$D$28,FALSE),INDEX(Рецепты!$N$6:$N$85,MATCH(Меню!$D$28,Рецепты!$H$6:$H$85,0)+23),""),"")</f>
        <v/>
      </c>
    </row>
    <row r="580" spans="1:15">
      <c r="A580" s="3" t="str">
        <f>IF($E580="","",Меню!$A$28)</f>
        <v/>
      </c>
      <c r="B580" s="3" t="str">
        <f>IF($E580="","",Меню!$B$28)</f>
        <v/>
      </c>
      <c r="C580" s="3" t="str">
        <f>IF($E580="","",Меню!$C$28)</f>
        <v/>
      </c>
      <c r="D580" s="3" t="str">
        <f>IF($E580="","",Меню!$D$28)</f>
        <v/>
      </c>
      <c r="E580" s="3" t="str">
        <f>IFERROR(IF(IFERROR(INDEX(Рецепты!$H$6:$H$85,MATCH(Меню!$D$28,Рецепты!$H$6:$H$85,0)+24)=Меню!$D$28,FALSE),INDEX(Рецепты!$J$6:$J$85,MATCH(Меню!$D$28,Рецепты!$H$6:$H$85,0)+24),""),"")</f>
        <v/>
      </c>
      <c r="F580" s="3" t="str">
        <f>IF($E580="","",INDEX(Рецепты!$K$6:$K$85,MATCH(Меню!$D$28,Рецепты!$H$6:$H$85,0)+24))</f>
        <v/>
      </c>
      <c r="G580" s="3" t="str">
        <f>IF($E580="","",INDEX(Рецепты!$M$6:$M$85,MATCH(Меню!$D$28,Рецепты!$H$6:$H$85,0)+24))</f>
        <v/>
      </c>
      <c r="H580" s="12">
        <f>IFERROR(IF(IFERROR(INDEX(Рецепты!$H$6:$H$85,MATCH(Меню!$D$28,Рецепты!$H$6:$H$85,0)+24)=Меню!$D$28,FALSE),INDEX(Рецепты!$L$6:$L$85,MATCH(Меню!$D$28,Рецепты!$H$6:$H$85,0)+24),0),0)</f>
        <v>0</v>
      </c>
      <c r="I580" s="12" t="str">
        <f>IF($F580="","",Меню!$E$28)</f>
        <v/>
      </c>
      <c r="J580" s="12">
        <f t="shared" si="8"/>
        <v>0</v>
      </c>
      <c r="K580" s="12">
        <f>IFERROR($J580/100*INDEX(Продукты!$G$6:$G$66,MATCH($E580,Продукты!$A$6:$A$66,0)),0)</f>
        <v>0</v>
      </c>
      <c r="L580" s="12">
        <f>IFERROR($J580/100*INDEX(Продукты!$H$6:$H$66,MATCH($E580,Продукты!$A$6:$A$66,0)),0)</f>
        <v>0</v>
      </c>
      <c r="M580" s="12">
        <f>IFERROR($J580/100*INDEX(Продукты!$I$6:$I$66,MATCH($E580,Продукты!$A$6:$A$66,0)),0)</f>
        <v>0</v>
      </c>
      <c r="N580" s="12">
        <f>IFERROR($J580/100*INDEX(Продукты!$J$6:$J$66,MATCH($E580,Продукты!$A$6:$A$66,0)),0)</f>
        <v>0</v>
      </c>
      <c r="O580" s="3" t="str">
        <f>IFERROR(IF(IFERROR(INDEX(Рецепты!$H$6:$H$85,MATCH(Меню!$D$28,Рецепты!$H$6:$H$85,0)+24)=Меню!$D$28,FALSE),INDEX(Рецепты!$N$6:$N$85,MATCH(Меню!$D$28,Рецепты!$H$6:$H$85,0)+24),""),"")</f>
        <v/>
      </c>
    </row>
    <row r="581" spans="1:15">
      <c r="A581" s="3" t="str">
        <f>IF($E581="","",Меню!$A$29)</f>
        <v/>
      </c>
      <c r="B581" s="3" t="str">
        <f>IF($E581="","",Меню!$B$29)</f>
        <v/>
      </c>
      <c r="C581" s="3" t="str">
        <f>IF($E581="","",Меню!$C$29)</f>
        <v/>
      </c>
      <c r="D581" s="3" t="str">
        <f>IF($E581="","",Меню!$D$29)</f>
        <v/>
      </c>
      <c r="E581" s="3" t="str">
        <f>IFERROR(IF(IFERROR(INDEX(Рецепты!$H$6:$H$85,MATCH(Меню!$D$29,Рецепты!$H$6:$H$85,0)+0)=Меню!$D$29,FALSE),INDEX(Рецепты!$J$6:$J$85,MATCH(Меню!$D$29,Рецепты!$H$6:$H$85,0)+0),""),"")</f>
        <v/>
      </c>
      <c r="F581" s="3" t="str">
        <f>IF($E581="","",INDEX(Рецепты!$K$6:$K$85,MATCH(Меню!$D$29,Рецепты!$H$6:$H$85,0)+0))</f>
        <v/>
      </c>
      <c r="G581" s="3" t="str">
        <f>IF($E581="","",INDEX(Рецепты!$M$6:$M$85,MATCH(Меню!$D$29,Рецепты!$H$6:$H$85,0)+0))</f>
        <v/>
      </c>
      <c r="H581" s="12">
        <f>IFERROR(IF(IFERROR(INDEX(Рецепты!$H$6:$H$85,MATCH(Меню!$D$29,Рецепты!$H$6:$H$85,0)+0)=Меню!$D$29,FALSE),INDEX(Рецепты!$L$6:$L$85,MATCH(Меню!$D$29,Рецепты!$H$6:$H$85,0)+0),0),0)</f>
        <v>0</v>
      </c>
      <c r="I581" s="12" t="str">
        <f>IF($F581="","",Меню!$E$29)</f>
        <v/>
      </c>
      <c r="J581" s="12">
        <f t="shared" si="8"/>
        <v>0</v>
      </c>
      <c r="K581" s="12">
        <f>IFERROR($J581/100*INDEX(Продукты!$G$6:$G$66,MATCH($E581,Продукты!$A$6:$A$66,0)),0)</f>
        <v>0</v>
      </c>
      <c r="L581" s="12">
        <f>IFERROR($J581/100*INDEX(Продукты!$H$6:$H$66,MATCH($E581,Продукты!$A$6:$A$66,0)),0)</f>
        <v>0</v>
      </c>
      <c r="M581" s="12">
        <f>IFERROR($J581/100*INDEX(Продукты!$I$6:$I$66,MATCH($E581,Продукты!$A$6:$A$66,0)),0)</f>
        <v>0</v>
      </c>
      <c r="N581" s="12">
        <f>IFERROR($J581/100*INDEX(Продукты!$J$6:$J$66,MATCH($E581,Продукты!$A$6:$A$66,0)),0)</f>
        <v>0</v>
      </c>
      <c r="O581" s="3" t="str">
        <f>IFERROR(IF(IFERROR(INDEX(Рецепты!$H$6:$H$85,MATCH(Меню!$D$29,Рецепты!$H$6:$H$85,0)+0)=Меню!$D$29,FALSE),INDEX(Рецепты!$N$6:$N$85,MATCH(Меню!$D$29,Рецепты!$H$6:$H$85,0)+0),""),"")</f>
        <v/>
      </c>
    </row>
    <row r="582" spans="1:15">
      <c r="A582" s="3" t="str">
        <f>IF($E582="","",Меню!$A$29)</f>
        <v/>
      </c>
      <c r="B582" s="3" t="str">
        <f>IF($E582="","",Меню!$B$29)</f>
        <v/>
      </c>
      <c r="C582" s="3" t="str">
        <f>IF($E582="","",Меню!$C$29)</f>
        <v/>
      </c>
      <c r="D582" s="3" t="str">
        <f>IF($E582="","",Меню!$D$29)</f>
        <v/>
      </c>
      <c r="E582" s="3" t="str">
        <f>IFERROR(IF(IFERROR(INDEX(Рецепты!$H$6:$H$85,MATCH(Меню!$D$29,Рецепты!$H$6:$H$85,0)+1)=Меню!$D$29,FALSE),INDEX(Рецепты!$J$6:$J$85,MATCH(Меню!$D$29,Рецепты!$H$6:$H$85,0)+1),""),"")</f>
        <v/>
      </c>
      <c r="F582" s="3" t="str">
        <f>IF($E582="","",INDEX(Рецепты!$K$6:$K$85,MATCH(Меню!$D$29,Рецепты!$H$6:$H$85,0)+1))</f>
        <v/>
      </c>
      <c r="G582" s="3" t="str">
        <f>IF($E582="","",INDEX(Рецепты!$M$6:$M$85,MATCH(Меню!$D$29,Рецепты!$H$6:$H$85,0)+1))</f>
        <v/>
      </c>
      <c r="H582" s="12">
        <f>IFERROR(IF(IFERROR(INDEX(Рецепты!$H$6:$H$85,MATCH(Меню!$D$29,Рецепты!$H$6:$H$85,0)+1)=Меню!$D$29,FALSE),INDEX(Рецепты!$L$6:$L$85,MATCH(Меню!$D$29,Рецепты!$H$6:$H$85,0)+1),0),0)</f>
        <v>0</v>
      </c>
      <c r="I582" s="12" t="str">
        <f>IF($F582="","",Меню!$E$29)</f>
        <v/>
      </c>
      <c r="J582" s="12">
        <f t="shared" ref="J582:J645" si="9">IFERROR($H582*$I582,0)</f>
        <v>0</v>
      </c>
      <c r="K582" s="12">
        <f>IFERROR($J582/100*INDEX(Продукты!$G$6:$G$66,MATCH($E582,Продукты!$A$6:$A$66,0)),0)</f>
        <v>0</v>
      </c>
      <c r="L582" s="12">
        <f>IFERROR($J582/100*INDEX(Продукты!$H$6:$H$66,MATCH($E582,Продукты!$A$6:$A$66,0)),0)</f>
        <v>0</v>
      </c>
      <c r="M582" s="12">
        <f>IFERROR($J582/100*INDEX(Продукты!$I$6:$I$66,MATCH($E582,Продукты!$A$6:$A$66,0)),0)</f>
        <v>0</v>
      </c>
      <c r="N582" s="12">
        <f>IFERROR($J582/100*INDEX(Продукты!$J$6:$J$66,MATCH($E582,Продукты!$A$6:$A$66,0)),0)</f>
        <v>0</v>
      </c>
      <c r="O582" s="3" t="str">
        <f>IFERROR(IF(IFERROR(INDEX(Рецепты!$H$6:$H$85,MATCH(Меню!$D$29,Рецепты!$H$6:$H$85,0)+1)=Меню!$D$29,FALSE),INDEX(Рецепты!$N$6:$N$85,MATCH(Меню!$D$29,Рецепты!$H$6:$H$85,0)+1),""),"")</f>
        <v/>
      </c>
    </row>
    <row r="583" spans="1:15">
      <c r="A583" s="3" t="str">
        <f>IF($E583="","",Меню!$A$29)</f>
        <v/>
      </c>
      <c r="B583" s="3" t="str">
        <f>IF($E583="","",Меню!$B$29)</f>
        <v/>
      </c>
      <c r="C583" s="3" t="str">
        <f>IF($E583="","",Меню!$C$29)</f>
        <v/>
      </c>
      <c r="D583" s="3" t="str">
        <f>IF($E583="","",Меню!$D$29)</f>
        <v/>
      </c>
      <c r="E583" s="3" t="str">
        <f>IFERROR(IF(IFERROR(INDEX(Рецепты!$H$6:$H$85,MATCH(Меню!$D$29,Рецепты!$H$6:$H$85,0)+2)=Меню!$D$29,FALSE),INDEX(Рецепты!$J$6:$J$85,MATCH(Меню!$D$29,Рецепты!$H$6:$H$85,0)+2),""),"")</f>
        <v/>
      </c>
      <c r="F583" s="3" t="str">
        <f>IF($E583="","",INDEX(Рецепты!$K$6:$K$85,MATCH(Меню!$D$29,Рецепты!$H$6:$H$85,0)+2))</f>
        <v/>
      </c>
      <c r="G583" s="3" t="str">
        <f>IF($E583="","",INDEX(Рецепты!$M$6:$M$85,MATCH(Меню!$D$29,Рецепты!$H$6:$H$85,0)+2))</f>
        <v/>
      </c>
      <c r="H583" s="12">
        <f>IFERROR(IF(IFERROR(INDEX(Рецепты!$H$6:$H$85,MATCH(Меню!$D$29,Рецепты!$H$6:$H$85,0)+2)=Меню!$D$29,FALSE),INDEX(Рецепты!$L$6:$L$85,MATCH(Меню!$D$29,Рецепты!$H$6:$H$85,0)+2),0),0)</f>
        <v>0</v>
      </c>
      <c r="I583" s="12" t="str">
        <f>IF($F583="","",Меню!$E$29)</f>
        <v/>
      </c>
      <c r="J583" s="12">
        <f t="shared" si="9"/>
        <v>0</v>
      </c>
      <c r="K583" s="12">
        <f>IFERROR($J583/100*INDEX(Продукты!$G$6:$G$66,MATCH($E583,Продукты!$A$6:$A$66,0)),0)</f>
        <v>0</v>
      </c>
      <c r="L583" s="12">
        <f>IFERROR($J583/100*INDEX(Продукты!$H$6:$H$66,MATCH($E583,Продукты!$A$6:$A$66,0)),0)</f>
        <v>0</v>
      </c>
      <c r="M583" s="12">
        <f>IFERROR($J583/100*INDEX(Продукты!$I$6:$I$66,MATCH($E583,Продукты!$A$6:$A$66,0)),0)</f>
        <v>0</v>
      </c>
      <c r="N583" s="12">
        <f>IFERROR($J583/100*INDEX(Продукты!$J$6:$J$66,MATCH($E583,Продукты!$A$6:$A$66,0)),0)</f>
        <v>0</v>
      </c>
      <c r="O583" s="3" t="str">
        <f>IFERROR(IF(IFERROR(INDEX(Рецепты!$H$6:$H$85,MATCH(Меню!$D$29,Рецепты!$H$6:$H$85,0)+2)=Меню!$D$29,FALSE),INDEX(Рецепты!$N$6:$N$85,MATCH(Меню!$D$29,Рецепты!$H$6:$H$85,0)+2),""),"")</f>
        <v/>
      </c>
    </row>
    <row r="584" spans="1:15">
      <c r="A584" s="3" t="str">
        <f>IF($E584="","",Меню!$A$29)</f>
        <v/>
      </c>
      <c r="B584" s="3" t="str">
        <f>IF($E584="","",Меню!$B$29)</f>
        <v/>
      </c>
      <c r="C584" s="3" t="str">
        <f>IF($E584="","",Меню!$C$29)</f>
        <v/>
      </c>
      <c r="D584" s="3" t="str">
        <f>IF($E584="","",Меню!$D$29)</f>
        <v/>
      </c>
      <c r="E584" s="3" t="str">
        <f>IFERROR(IF(IFERROR(INDEX(Рецепты!$H$6:$H$85,MATCH(Меню!$D$29,Рецепты!$H$6:$H$85,0)+3)=Меню!$D$29,FALSE),INDEX(Рецепты!$J$6:$J$85,MATCH(Меню!$D$29,Рецепты!$H$6:$H$85,0)+3),""),"")</f>
        <v/>
      </c>
      <c r="F584" s="3" t="str">
        <f>IF($E584="","",INDEX(Рецепты!$K$6:$K$85,MATCH(Меню!$D$29,Рецепты!$H$6:$H$85,0)+3))</f>
        <v/>
      </c>
      <c r="G584" s="3" t="str">
        <f>IF($E584="","",INDEX(Рецепты!$M$6:$M$85,MATCH(Меню!$D$29,Рецепты!$H$6:$H$85,0)+3))</f>
        <v/>
      </c>
      <c r="H584" s="12">
        <f>IFERROR(IF(IFERROR(INDEX(Рецепты!$H$6:$H$85,MATCH(Меню!$D$29,Рецепты!$H$6:$H$85,0)+3)=Меню!$D$29,FALSE),INDEX(Рецепты!$L$6:$L$85,MATCH(Меню!$D$29,Рецепты!$H$6:$H$85,0)+3),0),0)</f>
        <v>0</v>
      </c>
      <c r="I584" s="12" t="str">
        <f>IF($F584="","",Меню!$E$29)</f>
        <v/>
      </c>
      <c r="J584" s="12">
        <f t="shared" si="9"/>
        <v>0</v>
      </c>
      <c r="K584" s="12">
        <f>IFERROR($J584/100*INDEX(Продукты!$G$6:$G$66,MATCH($E584,Продукты!$A$6:$A$66,0)),0)</f>
        <v>0</v>
      </c>
      <c r="L584" s="12">
        <f>IFERROR($J584/100*INDEX(Продукты!$H$6:$H$66,MATCH($E584,Продукты!$A$6:$A$66,0)),0)</f>
        <v>0</v>
      </c>
      <c r="M584" s="12">
        <f>IFERROR($J584/100*INDEX(Продукты!$I$6:$I$66,MATCH($E584,Продукты!$A$6:$A$66,0)),0)</f>
        <v>0</v>
      </c>
      <c r="N584" s="12">
        <f>IFERROR($J584/100*INDEX(Продукты!$J$6:$J$66,MATCH($E584,Продукты!$A$6:$A$66,0)),0)</f>
        <v>0</v>
      </c>
      <c r="O584" s="3" t="str">
        <f>IFERROR(IF(IFERROR(INDEX(Рецепты!$H$6:$H$85,MATCH(Меню!$D$29,Рецепты!$H$6:$H$85,0)+3)=Меню!$D$29,FALSE),INDEX(Рецепты!$N$6:$N$85,MATCH(Меню!$D$29,Рецепты!$H$6:$H$85,0)+3),""),"")</f>
        <v/>
      </c>
    </row>
    <row r="585" spans="1:15">
      <c r="A585" s="3" t="str">
        <f>IF($E585="","",Меню!$A$29)</f>
        <v/>
      </c>
      <c r="B585" s="3" t="str">
        <f>IF($E585="","",Меню!$B$29)</f>
        <v/>
      </c>
      <c r="C585" s="3" t="str">
        <f>IF($E585="","",Меню!$C$29)</f>
        <v/>
      </c>
      <c r="D585" s="3" t="str">
        <f>IF($E585="","",Меню!$D$29)</f>
        <v/>
      </c>
      <c r="E585" s="3" t="str">
        <f>IFERROR(IF(IFERROR(INDEX(Рецепты!$H$6:$H$85,MATCH(Меню!$D$29,Рецепты!$H$6:$H$85,0)+4)=Меню!$D$29,FALSE),INDEX(Рецепты!$J$6:$J$85,MATCH(Меню!$D$29,Рецепты!$H$6:$H$85,0)+4),""),"")</f>
        <v/>
      </c>
      <c r="F585" s="3" t="str">
        <f>IF($E585="","",INDEX(Рецепты!$K$6:$K$85,MATCH(Меню!$D$29,Рецепты!$H$6:$H$85,0)+4))</f>
        <v/>
      </c>
      <c r="G585" s="3" t="str">
        <f>IF($E585="","",INDEX(Рецепты!$M$6:$M$85,MATCH(Меню!$D$29,Рецепты!$H$6:$H$85,0)+4))</f>
        <v/>
      </c>
      <c r="H585" s="12">
        <f>IFERROR(IF(IFERROR(INDEX(Рецепты!$H$6:$H$85,MATCH(Меню!$D$29,Рецепты!$H$6:$H$85,0)+4)=Меню!$D$29,FALSE),INDEX(Рецепты!$L$6:$L$85,MATCH(Меню!$D$29,Рецепты!$H$6:$H$85,0)+4),0),0)</f>
        <v>0</v>
      </c>
      <c r="I585" s="12" t="str">
        <f>IF($F585="","",Меню!$E$29)</f>
        <v/>
      </c>
      <c r="J585" s="12">
        <f t="shared" si="9"/>
        <v>0</v>
      </c>
      <c r="K585" s="12">
        <f>IFERROR($J585/100*INDEX(Продукты!$G$6:$G$66,MATCH($E585,Продукты!$A$6:$A$66,0)),0)</f>
        <v>0</v>
      </c>
      <c r="L585" s="12">
        <f>IFERROR($J585/100*INDEX(Продукты!$H$6:$H$66,MATCH($E585,Продукты!$A$6:$A$66,0)),0)</f>
        <v>0</v>
      </c>
      <c r="M585" s="12">
        <f>IFERROR($J585/100*INDEX(Продукты!$I$6:$I$66,MATCH($E585,Продукты!$A$6:$A$66,0)),0)</f>
        <v>0</v>
      </c>
      <c r="N585" s="12">
        <f>IFERROR($J585/100*INDEX(Продукты!$J$6:$J$66,MATCH($E585,Продукты!$A$6:$A$66,0)),0)</f>
        <v>0</v>
      </c>
      <c r="O585" s="3" t="str">
        <f>IFERROR(IF(IFERROR(INDEX(Рецепты!$H$6:$H$85,MATCH(Меню!$D$29,Рецепты!$H$6:$H$85,0)+4)=Меню!$D$29,FALSE),INDEX(Рецепты!$N$6:$N$85,MATCH(Меню!$D$29,Рецепты!$H$6:$H$85,0)+4),""),"")</f>
        <v/>
      </c>
    </row>
    <row r="586" spans="1:15">
      <c r="A586" s="3" t="str">
        <f>IF($E586="","",Меню!$A$29)</f>
        <v/>
      </c>
      <c r="B586" s="3" t="str">
        <f>IF($E586="","",Меню!$B$29)</f>
        <v/>
      </c>
      <c r="C586" s="3" t="str">
        <f>IF($E586="","",Меню!$C$29)</f>
        <v/>
      </c>
      <c r="D586" s="3" t="str">
        <f>IF($E586="","",Меню!$D$29)</f>
        <v/>
      </c>
      <c r="E586" s="3" t="str">
        <f>IFERROR(IF(IFERROR(INDEX(Рецепты!$H$6:$H$85,MATCH(Меню!$D$29,Рецепты!$H$6:$H$85,0)+5)=Меню!$D$29,FALSE),INDEX(Рецепты!$J$6:$J$85,MATCH(Меню!$D$29,Рецепты!$H$6:$H$85,0)+5),""),"")</f>
        <v/>
      </c>
      <c r="F586" s="3" t="str">
        <f>IF($E586="","",INDEX(Рецепты!$K$6:$K$85,MATCH(Меню!$D$29,Рецепты!$H$6:$H$85,0)+5))</f>
        <v/>
      </c>
      <c r="G586" s="3" t="str">
        <f>IF($E586="","",INDEX(Рецепты!$M$6:$M$85,MATCH(Меню!$D$29,Рецепты!$H$6:$H$85,0)+5))</f>
        <v/>
      </c>
      <c r="H586" s="12">
        <f>IFERROR(IF(IFERROR(INDEX(Рецепты!$H$6:$H$85,MATCH(Меню!$D$29,Рецепты!$H$6:$H$85,0)+5)=Меню!$D$29,FALSE),INDEX(Рецепты!$L$6:$L$85,MATCH(Меню!$D$29,Рецепты!$H$6:$H$85,0)+5),0),0)</f>
        <v>0</v>
      </c>
      <c r="I586" s="12" t="str">
        <f>IF($F586="","",Меню!$E$29)</f>
        <v/>
      </c>
      <c r="J586" s="12">
        <f t="shared" si="9"/>
        <v>0</v>
      </c>
      <c r="K586" s="12">
        <f>IFERROR($J586/100*INDEX(Продукты!$G$6:$G$66,MATCH($E586,Продукты!$A$6:$A$66,0)),0)</f>
        <v>0</v>
      </c>
      <c r="L586" s="12">
        <f>IFERROR($J586/100*INDEX(Продукты!$H$6:$H$66,MATCH($E586,Продукты!$A$6:$A$66,0)),0)</f>
        <v>0</v>
      </c>
      <c r="M586" s="12">
        <f>IFERROR($J586/100*INDEX(Продукты!$I$6:$I$66,MATCH($E586,Продукты!$A$6:$A$66,0)),0)</f>
        <v>0</v>
      </c>
      <c r="N586" s="12">
        <f>IFERROR($J586/100*INDEX(Продукты!$J$6:$J$66,MATCH($E586,Продукты!$A$6:$A$66,0)),0)</f>
        <v>0</v>
      </c>
      <c r="O586" s="3" t="str">
        <f>IFERROR(IF(IFERROR(INDEX(Рецепты!$H$6:$H$85,MATCH(Меню!$D$29,Рецепты!$H$6:$H$85,0)+5)=Меню!$D$29,FALSE),INDEX(Рецепты!$N$6:$N$85,MATCH(Меню!$D$29,Рецепты!$H$6:$H$85,0)+5),""),"")</f>
        <v/>
      </c>
    </row>
    <row r="587" spans="1:15">
      <c r="A587" s="3" t="str">
        <f>IF($E587="","",Меню!$A$29)</f>
        <v/>
      </c>
      <c r="B587" s="3" t="str">
        <f>IF($E587="","",Меню!$B$29)</f>
        <v/>
      </c>
      <c r="C587" s="3" t="str">
        <f>IF($E587="","",Меню!$C$29)</f>
        <v/>
      </c>
      <c r="D587" s="3" t="str">
        <f>IF($E587="","",Меню!$D$29)</f>
        <v/>
      </c>
      <c r="E587" s="3" t="str">
        <f>IFERROR(IF(IFERROR(INDEX(Рецепты!$H$6:$H$85,MATCH(Меню!$D$29,Рецепты!$H$6:$H$85,0)+6)=Меню!$D$29,FALSE),INDEX(Рецепты!$J$6:$J$85,MATCH(Меню!$D$29,Рецепты!$H$6:$H$85,0)+6),""),"")</f>
        <v/>
      </c>
      <c r="F587" s="3" t="str">
        <f>IF($E587="","",INDEX(Рецепты!$K$6:$K$85,MATCH(Меню!$D$29,Рецепты!$H$6:$H$85,0)+6))</f>
        <v/>
      </c>
      <c r="G587" s="3" t="str">
        <f>IF($E587="","",INDEX(Рецепты!$M$6:$M$85,MATCH(Меню!$D$29,Рецепты!$H$6:$H$85,0)+6))</f>
        <v/>
      </c>
      <c r="H587" s="12">
        <f>IFERROR(IF(IFERROR(INDEX(Рецепты!$H$6:$H$85,MATCH(Меню!$D$29,Рецепты!$H$6:$H$85,0)+6)=Меню!$D$29,FALSE),INDEX(Рецепты!$L$6:$L$85,MATCH(Меню!$D$29,Рецепты!$H$6:$H$85,0)+6),0),0)</f>
        <v>0</v>
      </c>
      <c r="I587" s="12" t="str">
        <f>IF($F587="","",Меню!$E$29)</f>
        <v/>
      </c>
      <c r="J587" s="12">
        <f t="shared" si="9"/>
        <v>0</v>
      </c>
      <c r="K587" s="12">
        <f>IFERROR($J587/100*INDEX(Продукты!$G$6:$G$66,MATCH($E587,Продукты!$A$6:$A$66,0)),0)</f>
        <v>0</v>
      </c>
      <c r="L587" s="12">
        <f>IFERROR($J587/100*INDEX(Продукты!$H$6:$H$66,MATCH($E587,Продукты!$A$6:$A$66,0)),0)</f>
        <v>0</v>
      </c>
      <c r="M587" s="12">
        <f>IFERROR($J587/100*INDEX(Продукты!$I$6:$I$66,MATCH($E587,Продукты!$A$6:$A$66,0)),0)</f>
        <v>0</v>
      </c>
      <c r="N587" s="12">
        <f>IFERROR($J587/100*INDEX(Продукты!$J$6:$J$66,MATCH($E587,Продукты!$A$6:$A$66,0)),0)</f>
        <v>0</v>
      </c>
      <c r="O587" s="3" t="str">
        <f>IFERROR(IF(IFERROR(INDEX(Рецепты!$H$6:$H$85,MATCH(Меню!$D$29,Рецепты!$H$6:$H$85,0)+6)=Меню!$D$29,FALSE),INDEX(Рецепты!$N$6:$N$85,MATCH(Меню!$D$29,Рецепты!$H$6:$H$85,0)+6),""),"")</f>
        <v/>
      </c>
    </row>
    <row r="588" spans="1:15">
      <c r="A588" s="3" t="str">
        <f>IF($E588="","",Меню!$A$29)</f>
        <v/>
      </c>
      <c r="B588" s="3" t="str">
        <f>IF($E588="","",Меню!$B$29)</f>
        <v/>
      </c>
      <c r="C588" s="3" t="str">
        <f>IF($E588="","",Меню!$C$29)</f>
        <v/>
      </c>
      <c r="D588" s="3" t="str">
        <f>IF($E588="","",Меню!$D$29)</f>
        <v/>
      </c>
      <c r="E588" s="3" t="str">
        <f>IFERROR(IF(IFERROR(INDEX(Рецепты!$H$6:$H$85,MATCH(Меню!$D$29,Рецепты!$H$6:$H$85,0)+7)=Меню!$D$29,FALSE),INDEX(Рецепты!$J$6:$J$85,MATCH(Меню!$D$29,Рецепты!$H$6:$H$85,0)+7),""),"")</f>
        <v/>
      </c>
      <c r="F588" s="3" t="str">
        <f>IF($E588="","",INDEX(Рецепты!$K$6:$K$85,MATCH(Меню!$D$29,Рецепты!$H$6:$H$85,0)+7))</f>
        <v/>
      </c>
      <c r="G588" s="3" t="str">
        <f>IF($E588="","",INDEX(Рецепты!$M$6:$M$85,MATCH(Меню!$D$29,Рецепты!$H$6:$H$85,0)+7))</f>
        <v/>
      </c>
      <c r="H588" s="12">
        <f>IFERROR(IF(IFERROR(INDEX(Рецепты!$H$6:$H$85,MATCH(Меню!$D$29,Рецепты!$H$6:$H$85,0)+7)=Меню!$D$29,FALSE),INDEX(Рецепты!$L$6:$L$85,MATCH(Меню!$D$29,Рецепты!$H$6:$H$85,0)+7),0),0)</f>
        <v>0</v>
      </c>
      <c r="I588" s="12" t="str">
        <f>IF($F588="","",Меню!$E$29)</f>
        <v/>
      </c>
      <c r="J588" s="12">
        <f t="shared" si="9"/>
        <v>0</v>
      </c>
      <c r="K588" s="12">
        <f>IFERROR($J588/100*INDEX(Продукты!$G$6:$G$66,MATCH($E588,Продукты!$A$6:$A$66,0)),0)</f>
        <v>0</v>
      </c>
      <c r="L588" s="12">
        <f>IFERROR($J588/100*INDEX(Продукты!$H$6:$H$66,MATCH($E588,Продукты!$A$6:$A$66,0)),0)</f>
        <v>0</v>
      </c>
      <c r="M588" s="12">
        <f>IFERROR($J588/100*INDEX(Продукты!$I$6:$I$66,MATCH($E588,Продукты!$A$6:$A$66,0)),0)</f>
        <v>0</v>
      </c>
      <c r="N588" s="12">
        <f>IFERROR($J588/100*INDEX(Продукты!$J$6:$J$66,MATCH($E588,Продукты!$A$6:$A$66,0)),0)</f>
        <v>0</v>
      </c>
      <c r="O588" s="3" t="str">
        <f>IFERROR(IF(IFERROR(INDEX(Рецепты!$H$6:$H$85,MATCH(Меню!$D$29,Рецепты!$H$6:$H$85,0)+7)=Меню!$D$29,FALSE),INDEX(Рецепты!$N$6:$N$85,MATCH(Меню!$D$29,Рецепты!$H$6:$H$85,0)+7),""),"")</f>
        <v/>
      </c>
    </row>
    <row r="589" spans="1:15">
      <c r="A589" s="3" t="str">
        <f>IF($E589="","",Меню!$A$29)</f>
        <v/>
      </c>
      <c r="B589" s="3" t="str">
        <f>IF($E589="","",Меню!$B$29)</f>
        <v/>
      </c>
      <c r="C589" s="3" t="str">
        <f>IF($E589="","",Меню!$C$29)</f>
        <v/>
      </c>
      <c r="D589" s="3" t="str">
        <f>IF($E589="","",Меню!$D$29)</f>
        <v/>
      </c>
      <c r="E589" s="3" t="str">
        <f>IFERROR(IF(IFERROR(INDEX(Рецепты!$H$6:$H$85,MATCH(Меню!$D$29,Рецепты!$H$6:$H$85,0)+8)=Меню!$D$29,FALSE),INDEX(Рецепты!$J$6:$J$85,MATCH(Меню!$D$29,Рецепты!$H$6:$H$85,0)+8),""),"")</f>
        <v/>
      </c>
      <c r="F589" s="3" t="str">
        <f>IF($E589="","",INDEX(Рецепты!$K$6:$K$85,MATCH(Меню!$D$29,Рецепты!$H$6:$H$85,0)+8))</f>
        <v/>
      </c>
      <c r="G589" s="3" t="str">
        <f>IF($E589="","",INDEX(Рецепты!$M$6:$M$85,MATCH(Меню!$D$29,Рецепты!$H$6:$H$85,0)+8))</f>
        <v/>
      </c>
      <c r="H589" s="12">
        <f>IFERROR(IF(IFERROR(INDEX(Рецепты!$H$6:$H$85,MATCH(Меню!$D$29,Рецепты!$H$6:$H$85,0)+8)=Меню!$D$29,FALSE),INDEX(Рецепты!$L$6:$L$85,MATCH(Меню!$D$29,Рецепты!$H$6:$H$85,0)+8),0),0)</f>
        <v>0</v>
      </c>
      <c r="I589" s="12" t="str">
        <f>IF($F589="","",Меню!$E$29)</f>
        <v/>
      </c>
      <c r="J589" s="12">
        <f t="shared" si="9"/>
        <v>0</v>
      </c>
      <c r="K589" s="12">
        <f>IFERROR($J589/100*INDEX(Продукты!$G$6:$G$66,MATCH($E589,Продукты!$A$6:$A$66,0)),0)</f>
        <v>0</v>
      </c>
      <c r="L589" s="12">
        <f>IFERROR($J589/100*INDEX(Продукты!$H$6:$H$66,MATCH($E589,Продукты!$A$6:$A$66,0)),0)</f>
        <v>0</v>
      </c>
      <c r="M589" s="12">
        <f>IFERROR($J589/100*INDEX(Продукты!$I$6:$I$66,MATCH($E589,Продукты!$A$6:$A$66,0)),0)</f>
        <v>0</v>
      </c>
      <c r="N589" s="12">
        <f>IFERROR($J589/100*INDEX(Продукты!$J$6:$J$66,MATCH($E589,Продукты!$A$6:$A$66,0)),0)</f>
        <v>0</v>
      </c>
      <c r="O589" s="3" t="str">
        <f>IFERROR(IF(IFERROR(INDEX(Рецепты!$H$6:$H$85,MATCH(Меню!$D$29,Рецепты!$H$6:$H$85,0)+8)=Меню!$D$29,FALSE),INDEX(Рецепты!$N$6:$N$85,MATCH(Меню!$D$29,Рецепты!$H$6:$H$85,0)+8),""),"")</f>
        <v/>
      </c>
    </row>
    <row r="590" spans="1:15">
      <c r="A590" s="3" t="str">
        <f>IF($E590="","",Меню!$A$29)</f>
        <v/>
      </c>
      <c r="B590" s="3" t="str">
        <f>IF($E590="","",Меню!$B$29)</f>
        <v/>
      </c>
      <c r="C590" s="3" t="str">
        <f>IF($E590="","",Меню!$C$29)</f>
        <v/>
      </c>
      <c r="D590" s="3" t="str">
        <f>IF($E590="","",Меню!$D$29)</f>
        <v/>
      </c>
      <c r="E590" s="3" t="str">
        <f>IFERROR(IF(IFERROR(INDEX(Рецепты!$H$6:$H$85,MATCH(Меню!$D$29,Рецепты!$H$6:$H$85,0)+9)=Меню!$D$29,FALSE),INDEX(Рецепты!$J$6:$J$85,MATCH(Меню!$D$29,Рецепты!$H$6:$H$85,0)+9),""),"")</f>
        <v/>
      </c>
      <c r="F590" s="3" t="str">
        <f>IF($E590="","",INDEX(Рецепты!$K$6:$K$85,MATCH(Меню!$D$29,Рецепты!$H$6:$H$85,0)+9))</f>
        <v/>
      </c>
      <c r="G590" s="3" t="str">
        <f>IF($E590="","",INDEX(Рецепты!$M$6:$M$85,MATCH(Меню!$D$29,Рецепты!$H$6:$H$85,0)+9))</f>
        <v/>
      </c>
      <c r="H590" s="12">
        <f>IFERROR(IF(IFERROR(INDEX(Рецепты!$H$6:$H$85,MATCH(Меню!$D$29,Рецепты!$H$6:$H$85,0)+9)=Меню!$D$29,FALSE),INDEX(Рецепты!$L$6:$L$85,MATCH(Меню!$D$29,Рецепты!$H$6:$H$85,0)+9),0),0)</f>
        <v>0</v>
      </c>
      <c r="I590" s="12" t="str">
        <f>IF($F590="","",Меню!$E$29)</f>
        <v/>
      </c>
      <c r="J590" s="12">
        <f t="shared" si="9"/>
        <v>0</v>
      </c>
      <c r="K590" s="12">
        <f>IFERROR($J590/100*INDEX(Продукты!$G$6:$G$66,MATCH($E590,Продукты!$A$6:$A$66,0)),0)</f>
        <v>0</v>
      </c>
      <c r="L590" s="12">
        <f>IFERROR($J590/100*INDEX(Продукты!$H$6:$H$66,MATCH($E590,Продукты!$A$6:$A$66,0)),0)</f>
        <v>0</v>
      </c>
      <c r="M590" s="12">
        <f>IFERROR($J590/100*INDEX(Продукты!$I$6:$I$66,MATCH($E590,Продукты!$A$6:$A$66,0)),0)</f>
        <v>0</v>
      </c>
      <c r="N590" s="12">
        <f>IFERROR($J590/100*INDEX(Продукты!$J$6:$J$66,MATCH($E590,Продукты!$A$6:$A$66,0)),0)</f>
        <v>0</v>
      </c>
      <c r="O590" s="3" t="str">
        <f>IFERROR(IF(IFERROR(INDEX(Рецепты!$H$6:$H$85,MATCH(Меню!$D$29,Рецепты!$H$6:$H$85,0)+9)=Меню!$D$29,FALSE),INDEX(Рецепты!$N$6:$N$85,MATCH(Меню!$D$29,Рецепты!$H$6:$H$85,0)+9),""),"")</f>
        <v/>
      </c>
    </row>
    <row r="591" spans="1:15">
      <c r="A591" s="3" t="str">
        <f>IF($E591="","",Меню!$A$29)</f>
        <v/>
      </c>
      <c r="B591" s="3" t="str">
        <f>IF($E591="","",Меню!$B$29)</f>
        <v/>
      </c>
      <c r="C591" s="3" t="str">
        <f>IF($E591="","",Меню!$C$29)</f>
        <v/>
      </c>
      <c r="D591" s="3" t="str">
        <f>IF($E591="","",Меню!$D$29)</f>
        <v/>
      </c>
      <c r="E591" s="3" t="str">
        <f>IFERROR(IF(IFERROR(INDEX(Рецепты!$H$6:$H$85,MATCH(Меню!$D$29,Рецепты!$H$6:$H$85,0)+10)=Меню!$D$29,FALSE),INDEX(Рецепты!$J$6:$J$85,MATCH(Меню!$D$29,Рецепты!$H$6:$H$85,0)+10),""),"")</f>
        <v/>
      </c>
      <c r="F591" s="3" t="str">
        <f>IF($E591="","",INDEX(Рецепты!$K$6:$K$85,MATCH(Меню!$D$29,Рецепты!$H$6:$H$85,0)+10))</f>
        <v/>
      </c>
      <c r="G591" s="3" t="str">
        <f>IF($E591="","",INDEX(Рецепты!$M$6:$M$85,MATCH(Меню!$D$29,Рецепты!$H$6:$H$85,0)+10))</f>
        <v/>
      </c>
      <c r="H591" s="12">
        <f>IFERROR(IF(IFERROR(INDEX(Рецепты!$H$6:$H$85,MATCH(Меню!$D$29,Рецепты!$H$6:$H$85,0)+10)=Меню!$D$29,FALSE),INDEX(Рецепты!$L$6:$L$85,MATCH(Меню!$D$29,Рецепты!$H$6:$H$85,0)+10),0),0)</f>
        <v>0</v>
      </c>
      <c r="I591" s="12" t="str">
        <f>IF($F591="","",Меню!$E$29)</f>
        <v/>
      </c>
      <c r="J591" s="12">
        <f t="shared" si="9"/>
        <v>0</v>
      </c>
      <c r="K591" s="12">
        <f>IFERROR($J591/100*INDEX(Продукты!$G$6:$G$66,MATCH($E591,Продукты!$A$6:$A$66,0)),0)</f>
        <v>0</v>
      </c>
      <c r="L591" s="12">
        <f>IFERROR($J591/100*INDEX(Продукты!$H$6:$H$66,MATCH($E591,Продукты!$A$6:$A$66,0)),0)</f>
        <v>0</v>
      </c>
      <c r="M591" s="12">
        <f>IFERROR($J591/100*INDEX(Продукты!$I$6:$I$66,MATCH($E591,Продукты!$A$6:$A$66,0)),0)</f>
        <v>0</v>
      </c>
      <c r="N591" s="12">
        <f>IFERROR($J591/100*INDEX(Продукты!$J$6:$J$66,MATCH($E591,Продукты!$A$6:$A$66,0)),0)</f>
        <v>0</v>
      </c>
      <c r="O591" s="3" t="str">
        <f>IFERROR(IF(IFERROR(INDEX(Рецепты!$H$6:$H$85,MATCH(Меню!$D$29,Рецепты!$H$6:$H$85,0)+10)=Меню!$D$29,FALSE),INDEX(Рецепты!$N$6:$N$85,MATCH(Меню!$D$29,Рецепты!$H$6:$H$85,0)+10),""),"")</f>
        <v/>
      </c>
    </row>
    <row r="592" spans="1:15">
      <c r="A592" s="3" t="str">
        <f>IF($E592="","",Меню!$A$29)</f>
        <v/>
      </c>
      <c r="B592" s="3" t="str">
        <f>IF($E592="","",Меню!$B$29)</f>
        <v/>
      </c>
      <c r="C592" s="3" t="str">
        <f>IF($E592="","",Меню!$C$29)</f>
        <v/>
      </c>
      <c r="D592" s="3" t="str">
        <f>IF($E592="","",Меню!$D$29)</f>
        <v/>
      </c>
      <c r="E592" s="3" t="str">
        <f>IFERROR(IF(IFERROR(INDEX(Рецепты!$H$6:$H$85,MATCH(Меню!$D$29,Рецепты!$H$6:$H$85,0)+11)=Меню!$D$29,FALSE),INDEX(Рецепты!$J$6:$J$85,MATCH(Меню!$D$29,Рецепты!$H$6:$H$85,0)+11),""),"")</f>
        <v/>
      </c>
      <c r="F592" s="3" t="str">
        <f>IF($E592="","",INDEX(Рецепты!$K$6:$K$85,MATCH(Меню!$D$29,Рецепты!$H$6:$H$85,0)+11))</f>
        <v/>
      </c>
      <c r="G592" s="3" t="str">
        <f>IF($E592="","",INDEX(Рецепты!$M$6:$M$85,MATCH(Меню!$D$29,Рецепты!$H$6:$H$85,0)+11))</f>
        <v/>
      </c>
      <c r="H592" s="12">
        <f>IFERROR(IF(IFERROR(INDEX(Рецепты!$H$6:$H$85,MATCH(Меню!$D$29,Рецепты!$H$6:$H$85,0)+11)=Меню!$D$29,FALSE),INDEX(Рецепты!$L$6:$L$85,MATCH(Меню!$D$29,Рецепты!$H$6:$H$85,0)+11),0),0)</f>
        <v>0</v>
      </c>
      <c r="I592" s="12" t="str">
        <f>IF($F592="","",Меню!$E$29)</f>
        <v/>
      </c>
      <c r="J592" s="12">
        <f t="shared" si="9"/>
        <v>0</v>
      </c>
      <c r="K592" s="12">
        <f>IFERROR($J592/100*INDEX(Продукты!$G$6:$G$66,MATCH($E592,Продукты!$A$6:$A$66,0)),0)</f>
        <v>0</v>
      </c>
      <c r="L592" s="12">
        <f>IFERROR($J592/100*INDEX(Продукты!$H$6:$H$66,MATCH($E592,Продукты!$A$6:$A$66,0)),0)</f>
        <v>0</v>
      </c>
      <c r="M592" s="12">
        <f>IFERROR($J592/100*INDEX(Продукты!$I$6:$I$66,MATCH($E592,Продукты!$A$6:$A$66,0)),0)</f>
        <v>0</v>
      </c>
      <c r="N592" s="12">
        <f>IFERROR($J592/100*INDEX(Продукты!$J$6:$J$66,MATCH($E592,Продукты!$A$6:$A$66,0)),0)</f>
        <v>0</v>
      </c>
      <c r="O592" s="3" t="str">
        <f>IFERROR(IF(IFERROR(INDEX(Рецепты!$H$6:$H$85,MATCH(Меню!$D$29,Рецепты!$H$6:$H$85,0)+11)=Меню!$D$29,FALSE),INDEX(Рецепты!$N$6:$N$85,MATCH(Меню!$D$29,Рецепты!$H$6:$H$85,0)+11),""),"")</f>
        <v/>
      </c>
    </row>
    <row r="593" spans="1:15">
      <c r="A593" s="3" t="str">
        <f>IF($E593="","",Меню!$A$29)</f>
        <v/>
      </c>
      <c r="B593" s="3" t="str">
        <f>IF($E593="","",Меню!$B$29)</f>
        <v/>
      </c>
      <c r="C593" s="3" t="str">
        <f>IF($E593="","",Меню!$C$29)</f>
        <v/>
      </c>
      <c r="D593" s="3" t="str">
        <f>IF($E593="","",Меню!$D$29)</f>
        <v/>
      </c>
      <c r="E593" s="3" t="str">
        <f>IFERROR(IF(IFERROR(INDEX(Рецепты!$H$6:$H$85,MATCH(Меню!$D$29,Рецепты!$H$6:$H$85,0)+12)=Меню!$D$29,FALSE),INDEX(Рецепты!$J$6:$J$85,MATCH(Меню!$D$29,Рецепты!$H$6:$H$85,0)+12),""),"")</f>
        <v/>
      </c>
      <c r="F593" s="3" t="str">
        <f>IF($E593="","",INDEX(Рецепты!$K$6:$K$85,MATCH(Меню!$D$29,Рецепты!$H$6:$H$85,0)+12))</f>
        <v/>
      </c>
      <c r="G593" s="3" t="str">
        <f>IF($E593="","",INDEX(Рецепты!$M$6:$M$85,MATCH(Меню!$D$29,Рецепты!$H$6:$H$85,0)+12))</f>
        <v/>
      </c>
      <c r="H593" s="12">
        <f>IFERROR(IF(IFERROR(INDEX(Рецепты!$H$6:$H$85,MATCH(Меню!$D$29,Рецепты!$H$6:$H$85,0)+12)=Меню!$D$29,FALSE),INDEX(Рецепты!$L$6:$L$85,MATCH(Меню!$D$29,Рецепты!$H$6:$H$85,0)+12),0),0)</f>
        <v>0</v>
      </c>
      <c r="I593" s="12" t="str">
        <f>IF($F593="","",Меню!$E$29)</f>
        <v/>
      </c>
      <c r="J593" s="12">
        <f t="shared" si="9"/>
        <v>0</v>
      </c>
      <c r="K593" s="12">
        <f>IFERROR($J593/100*INDEX(Продукты!$G$6:$G$66,MATCH($E593,Продукты!$A$6:$A$66,0)),0)</f>
        <v>0</v>
      </c>
      <c r="L593" s="12">
        <f>IFERROR($J593/100*INDEX(Продукты!$H$6:$H$66,MATCH($E593,Продукты!$A$6:$A$66,0)),0)</f>
        <v>0</v>
      </c>
      <c r="M593" s="12">
        <f>IFERROR($J593/100*INDEX(Продукты!$I$6:$I$66,MATCH($E593,Продукты!$A$6:$A$66,0)),0)</f>
        <v>0</v>
      </c>
      <c r="N593" s="12">
        <f>IFERROR($J593/100*INDEX(Продукты!$J$6:$J$66,MATCH($E593,Продукты!$A$6:$A$66,0)),0)</f>
        <v>0</v>
      </c>
      <c r="O593" s="3" t="str">
        <f>IFERROR(IF(IFERROR(INDEX(Рецепты!$H$6:$H$85,MATCH(Меню!$D$29,Рецепты!$H$6:$H$85,0)+12)=Меню!$D$29,FALSE),INDEX(Рецепты!$N$6:$N$85,MATCH(Меню!$D$29,Рецепты!$H$6:$H$85,0)+12),""),"")</f>
        <v/>
      </c>
    </row>
    <row r="594" spans="1:15">
      <c r="A594" s="3" t="str">
        <f>IF($E594="","",Меню!$A$29)</f>
        <v/>
      </c>
      <c r="B594" s="3" t="str">
        <f>IF($E594="","",Меню!$B$29)</f>
        <v/>
      </c>
      <c r="C594" s="3" t="str">
        <f>IF($E594="","",Меню!$C$29)</f>
        <v/>
      </c>
      <c r="D594" s="3" t="str">
        <f>IF($E594="","",Меню!$D$29)</f>
        <v/>
      </c>
      <c r="E594" s="3" t="str">
        <f>IFERROR(IF(IFERROR(INDEX(Рецепты!$H$6:$H$85,MATCH(Меню!$D$29,Рецепты!$H$6:$H$85,0)+13)=Меню!$D$29,FALSE),INDEX(Рецепты!$J$6:$J$85,MATCH(Меню!$D$29,Рецепты!$H$6:$H$85,0)+13),""),"")</f>
        <v/>
      </c>
      <c r="F594" s="3" t="str">
        <f>IF($E594="","",INDEX(Рецепты!$K$6:$K$85,MATCH(Меню!$D$29,Рецепты!$H$6:$H$85,0)+13))</f>
        <v/>
      </c>
      <c r="G594" s="3" t="str">
        <f>IF($E594="","",INDEX(Рецепты!$M$6:$M$85,MATCH(Меню!$D$29,Рецепты!$H$6:$H$85,0)+13))</f>
        <v/>
      </c>
      <c r="H594" s="12">
        <f>IFERROR(IF(IFERROR(INDEX(Рецепты!$H$6:$H$85,MATCH(Меню!$D$29,Рецепты!$H$6:$H$85,0)+13)=Меню!$D$29,FALSE),INDEX(Рецепты!$L$6:$L$85,MATCH(Меню!$D$29,Рецепты!$H$6:$H$85,0)+13),0),0)</f>
        <v>0</v>
      </c>
      <c r="I594" s="12" t="str">
        <f>IF($F594="","",Меню!$E$29)</f>
        <v/>
      </c>
      <c r="J594" s="12">
        <f t="shared" si="9"/>
        <v>0</v>
      </c>
      <c r="K594" s="12">
        <f>IFERROR($J594/100*INDEX(Продукты!$G$6:$G$66,MATCH($E594,Продукты!$A$6:$A$66,0)),0)</f>
        <v>0</v>
      </c>
      <c r="L594" s="12">
        <f>IFERROR($J594/100*INDEX(Продукты!$H$6:$H$66,MATCH($E594,Продукты!$A$6:$A$66,0)),0)</f>
        <v>0</v>
      </c>
      <c r="M594" s="12">
        <f>IFERROR($J594/100*INDEX(Продукты!$I$6:$I$66,MATCH($E594,Продукты!$A$6:$A$66,0)),0)</f>
        <v>0</v>
      </c>
      <c r="N594" s="12">
        <f>IFERROR($J594/100*INDEX(Продукты!$J$6:$J$66,MATCH($E594,Продукты!$A$6:$A$66,0)),0)</f>
        <v>0</v>
      </c>
      <c r="O594" s="3" t="str">
        <f>IFERROR(IF(IFERROR(INDEX(Рецепты!$H$6:$H$85,MATCH(Меню!$D$29,Рецепты!$H$6:$H$85,0)+13)=Меню!$D$29,FALSE),INDEX(Рецепты!$N$6:$N$85,MATCH(Меню!$D$29,Рецепты!$H$6:$H$85,0)+13),""),"")</f>
        <v/>
      </c>
    </row>
    <row r="595" spans="1:15">
      <c r="A595" s="3" t="str">
        <f>IF($E595="","",Меню!$A$29)</f>
        <v/>
      </c>
      <c r="B595" s="3" t="str">
        <f>IF($E595="","",Меню!$B$29)</f>
        <v/>
      </c>
      <c r="C595" s="3" t="str">
        <f>IF($E595="","",Меню!$C$29)</f>
        <v/>
      </c>
      <c r="D595" s="3" t="str">
        <f>IF($E595="","",Меню!$D$29)</f>
        <v/>
      </c>
      <c r="E595" s="3" t="str">
        <f>IFERROR(IF(IFERROR(INDEX(Рецепты!$H$6:$H$85,MATCH(Меню!$D$29,Рецепты!$H$6:$H$85,0)+14)=Меню!$D$29,FALSE),INDEX(Рецепты!$J$6:$J$85,MATCH(Меню!$D$29,Рецепты!$H$6:$H$85,0)+14),""),"")</f>
        <v/>
      </c>
      <c r="F595" s="3" t="str">
        <f>IF($E595="","",INDEX(Рецепты!$K$6:$K$85,MATCH(Меню!$D$29,Рецепты!$H$6:$H$85,0)+14))</f>
        <v/>
      </c>
      <c r="G595" s="3" t="str">
        <f>IF($E595="","",INDEX(Рецепты!$M$6:$M$85,MATCH(Меню!$D$29,Рецепты!$H$6:$H$85,0)+14))</f>
        <v/>
      </c>
      <c r="H595" s="12">
        <f>IFERROR(IF(IFERROR(INDEX(Рецепты!$H$6:$H$85,MATCH(Меню!$D$29,Рецепты!$H$6:$H$85,0)+14)=Меню!$D$29,FALSE),INDEX(Рецепты!$L$6:$L$85,MATCH(Меню!$D$29,Рецепты!$H$6:$H$85,0)+14),0),0)</f>
        <v>0</v>
      </c>
      <c r="I595" s="12" t="str">
        <f>IF($F595="","",Меню!$E$29)</f>
        <v/>
      </c>
      <c r="J595" s="12">
        <f t="shared" si="9"/>
        <v>0</v>
      </c>
      <c r="K595" s="12">
        <f>IFERROR($J595/100*INDEX(Продукты!$G$6:$G$66,MATCH($E595,Продукты!$A$6:$A$66,0)),0)</f>
        <v>0</v>
      </c>
      <c r="L595" s="12">
        <f>IFERROR($J595/100*INDEX(Продукты!$H$6:$H$66,MATCH($E595,Продукты!$A$6:$A$66,0)),0)</f>
        <v>0</v>
      </c>
      <c r="M595" s="12">
        <f>IFERROR($J595/100*INDEX(Продукты!$I$6:$I$66,MATCH($E595,Продукты!$A$6:$A$66,0)),0)</f>
        <v>0</v>
      </c>
      <c r="N595" s="12">
        <f>IFERROR($J595/100*INDEX(Продукты!$J$6:$J$66,MATCH($E595,Продукты!$A$6:$A$66,0)),0)</f>
        <v>0</v>
      </c>
      <c r="O595" s="3" t="str">
        <f>IFERROR(IF(IFERROR(INDEX(Рецепты!$H$6:$H$85,MATCH(Меню!$D$29,Рецепты!$H$6:$H$85,0)+14)=Меню!$D$29,FALSE),INDEX(Рецепты!$N$6:$N$85,MATCH(Меню!$D$29,Рецепты!$H$6:$H$85,0)+14),""),"")</f>
        <v/>
      </c>
    </row>
    <row r="596" spans="1:15">
      <c r="A596" s="3" t="str">
        <f>IF($E596="","",Меню!$A$29)</f>
        <v/>
      </c>
      <c r="B596" s="3" t="str">
        <f>IF($E596="","",Меню!$B$29)</f>
        <v/>
      </c>
      <c r="C596" s="3" t="str">
        <f>IF($E596="","",Меню!$C$29)</f>
        <v/>
      </c>
      <c r="D596" s="3" t="str">
        <f>IF($E596="","",Меню!$D$29)</f>
        <v/>
      </c>
      <c r="E596" s="3" t="str">
        <f>IFERROR(IF(IFERROR(INDEX(Рецепты!$H$6:$H$85,MATCH(Меню!$D$29,Рецепты!$H$6:$H$85,0)+15)=Меню!$D$29,FALSE),INDEX(Рецепты!$J$6:$J$85,MATCH(Меню!$D$29,Рецепты!$H$6:$H$85,0)+15),""),"")</f>
        <v/>
      </c>
      <c r="F596" s="3" t="str">
        <f>IF($E596="","",INDEX(Рецепты!$K$6:$K$85,MATCH(Меню!$D$29,Рецепты!$H$6:$H$85,0)+15))</f>
        <v/>
      </c>
      <c r="G596" s="3" t="str">
        <f>IF($E596="","",INDEX(Рецепты!$M$6:$M$85,MATCH(Меню!$D$29,Рецепты!$H$6:$H$85,0)+15))</f>
        <v/>
      </c>
      <c r="H596" s="12">
        <f>IFERROR(IF(IFERROR(INDEX(Рецепты!$H$6:$H$85,MATCH(Меню!$D$29,Рецепты!$H$6:$H$85,0)+15)=Меню!$D$29,FALSE),INDEX(Рецепты!$L$6:$L$85,MATCH(Меню!$D$29,Рецепты!$H$6:$H$85,0)+15),0),0)</f>
        <v>0</v>
      </c>
      <c r="I596" s="12" t="str">
        <f>IF($F596="","",Меню!$E$29)</f>
        <v/>
      </c>
      <c r="J596" s="12">
        <f t="shared" si="9"/>
        <v>0</v>
      </c>
      <c r="K596" s="12">
        <f>IFERROR($J596/100*INDEX(Продукты!$G$6:$G$66,MATCH($E596,Продукты!$A$6:$A$66,0)),0)</f>
        <v>0</v>
      </c>
      <c r="L596" s="12">
        <f>IFERROR($J596/100*INDEX(Продукты!$H$6:$H$66,MATCH($E596,Продукты!$A$6:$A$66,0)),0)</f>
        <v>0</v>
      </c>
      <c r="M596" s="12">
        <f>IFERROR($J596/100*INDEX(Продукты!$I$6:$I$66,MATCH($E596,Продукты!$A$6:$A$66,0)),0)</f>
        <v>0</v>
      </c>
      <c r="N596" s="12">
        <f>IFERROR($J596/100*INDEX(Продукты!$J$6:$J$66,MATCH($E596,Продукты!$A$6:$A$66,0)),0)</f>
        <v>0</v>
      </c>
      <c r="O596" s="3" t="str">
        <f>IFERROR(IF(IFERROR(INDEX(Рецепты!$H$6:$H$85,MATCH(Меню!$D$29,Рецепты!$H$6:$H$85,0)+15)=Меню!$D$29,FALSE),INDEX(Рецепты!$N$6:$N$85,MATCH(Меню!$D$29,Рецепты!$H$6:$H$85,0)+15),""),"")</f>
        <v/>
      </c>
    </row>
    <row r="597" spans="1:15">
      <c r="A597" s="3" t="str">
        <f>IF($E597="","",Меню!$A$29)</f>
        <v/>
      </c>
      <c r="B597" s="3" t="str">
        <f>IF($E597="","",Меню!$B$29)</f>
        <v/>
      </c>
      <c r="C597" s="3" t="str">
        <f>IF($E597="","",Меню!$C$29)</f>
        <v/>
      </c>
      <c r="D597" s="3" t="str">
        <f>IF($E597="","",Меню!$D$29)</f>
        <v/>
      </c>
      <c r="E597" s="3" t="str">
        <f>IFERROR(IF(IFERROR(INDEX(Рецепты!$H$6:$H$85,MATCH(Меню!$D$29,Рецепты!$H$6:$H$85,0)+16)=Меню!$D$29,FALSE),INDEX(Рецепты!$J$6:$J$85,MATCH(Меню!$D$29,Рецепты!$H$6:$H$85,0)+16),""),"")</f>
        <v/>
      </c>
      <c r="F597" s="3" t="str">
        <f>IF($E597="","",INDEX(Рецепты!$K$6:$K$85,MATCH(Меню!$D$29,Рецепты!$H$6:$H$85,0)+16))</f>
        <v/>
      </c>
      <c r="G597" s="3" t="str">
        <f>IF($E597="","",INDEX(Рецепты!$M$6:$M$85,MATCH(Меню!$D$29,Рецепты!$H$6:$H$85,0)+16))</f>
        <v/>
      </c>
      <c r="H597" s="12">
        <f>IFERROR(IF(IFERROR(INDEX(Рецепты!$H$6:$H$85,MATCH(Меню!$D$29,Рецепты!$H$6:$H$85,0)+16)=Меню!$D$29,FALSE),INDEX(Рецепты!$L$6:$L$85,MATCH(Меню!$D$29,Рецепты!$H$6:$H$85,0)+16),0),0)</f>
        <v>0</v>
      </c>
      <c r="I597" s="12" t="str">
        <f>IF($F597="","",Меню!$E$29)</f>
        <v/>
      </c>
      <c r="J597" s="12">
        <f t="shared" si="9"/>
        <v>0</v>
      </c>
      <c r="K597" s="12">
        <f>IFERROR($J597/100*INDEX(Продукты!$G$6:$G$66,MATCH($E597,Продукты!$A$6:$A$66,0)),0)</f>
        <v>0</v>
      </c>
      <c r="L597" s="12">
        <f>IFERROR($J597/100*INDEX(Продукты!$H$6:$H$66,MATCH($E597,Продукты!$A$6:$A$66,0)),0)</f>
        <v>0</v>
      </c>
      <c r="M597" s="12">
        <f>IFERROR($J597/100*INDEX(Продукты!$I$6:$I$66,MATCH($E597,Продукты!$A$6:$A$66,0)),0)</f>
        <v>0</v>
      </c>
      <c r="N597" s="12">
        <f>IFERROR($J597/100*INDEX(Продукты!$J$6:$J$66,MATCH($E597,Продукты!$A$6:$A$66,0)),0)</f>
        <v>0</v>
      </c>
      <c r="O597" s="3" t="str">
        <f>IFERROR(IF(IFERROR(INDEX(Рецепты!$H$6:$H$85,MATCH(Меню!$D$29,Рецепты!$H$6:$H$85,0)+16)=Меню!$D$29,FALSE),INDEX(Рецепты!$N$6:$N$85,MATCH(Меню!$D$29,Рецепты!$H$6:$H$85,0)+16),""),"")</f>
        <v/>
      </c>
    </row>
    <row r="598" spans="1:15">
      <c r="A598" s="3" t="str">
        <f>IF($E598="","",Меню!$A$29)</f>
        <v/>
      </c>
      <c r="B598" s="3" t="str">
        <f>IF($E598="","",Меню!$B$29)</f>
        <v/>
      </c>
      <c r="C598" s="3" t="str">
        <f>IF($E598="","",Меню!$C$29)</f>
        <v/>
      </c>
      <c r="D598" s="3" t="str">
        <f>IF($E598="","",Меню!$D$29)</f>
        <v/>
      </c>
      <c r="E598" s="3" t="str">
        <f>IFERROR(IF(IFERROR(INDEX(Рецепты!$H$6:$H$85,MATCH(Меню!$D$29,Рецепты!$H$6:$H$85,0)+17)=Меню!$D$29,FALSE),INDEX(Рецепты!$J$6:$J$85,MATCH(Меню!$D$29,Рецепты!$H$6:$H$85,0)+17),""),"")</f>
        <v/>
      </c>
      <c r="F598" s="3" t="str">
        <f>IF($E598="","",INDEX(Рецепты!$K$6:$K$85,MATCH(Меню!$D$29,Рецепты!$H$6:$H$85,0)+17))</f>
        <v/>
      </c>
      <c r="G598" s="3" t="str">
        <f>IF($E598="","",INDEX(Рецепты!$M$6:$M$85,MATCH(Меню!$D$29,Рецепты!$H$6:$H$85,0)+17))</f>
        <v/>
      </c>
      <c r="H598" s="12">
        <f>IFERROR(IF(IFERROR(INDEX(Рецепты!$H$6:$H$85,MATCH(Меню!$D$29,Рецепты!$H$6:$H$85,0)+17)=Меню!$D$29,FALSE),INDEX(Рецепты!$L$6:$L$85,MATCH(Меню!$D$29,Рецепты!$H$6:$H$85,0)+17),0),0)</f>
        <v>0</v>
      </c>
      <c r="I598" s="12" t="str">
        <f>IF($F598="","",Меню!$E$29)</f>
        <v/>
      </c>
      <c r="J598" s="12">
        <f t="shared" si="9"/>
        <v>0</v>
      </c>
      <c r="K598" s="12">
        <f>IFERROR($J598/100*INDEX(Продукты!$G$6:$G$66,MATCH($E598,Продукты!$A$6:$A$66,0)),0)</f>
        <v>0</v>
      </c>
      <c r="L598" s="12">
        <f>IFERROR($J598/100*INDEX(Продукты!$H$6:$H$66,MATCH($E598,Продукты!$A$6:$A$66,0)),0)</f>
        <v>0</v>
      </c>
      <c r="M598" s="12">
        <f>IFERROR($J598/100*INDEX(Продукты!$I$6:$I$66,MATCH($E598,Продукты!$A$6:$A$66,0)),0)</f>
        <v>0</v>
      </c>
      <c r="N598" s="12">
        <f>IFERROR($J598/100*INDEX(Продукты!$J$6:$J$66,MATCH($E598,Продукты!$A$6:$A$66,0)),0)</f>
        <v>0</v>
      </c>
      <c r="O598" s="3" t="str">
        <f>IFERROR(IF(IFERROR(INDEX(Рецепты!$H$6:$H$85,MATCH(Меню!$D$29,Рецепты!$H$6:$H$85,0)+17)=Меню!$D$29,FALSE),INDEX(Рецепты!$N$6:$N$85,MATCH(Меню!$D$29,Рецепты!$H$6:$H$85,0)+17),""),"")</f>
        <v/>
      </c>
    </row>
    <row r="599" spans="1:15">
      <c r="A599" s="3" t="str">
        <f>IF($E599="","",Меню!$A$29)</f>
        <v/>
      </c>
      <c r="B599" s="3" t="str">
        <f>IF($E599="","",Меню!$B$29)</f>
        <v/>
      </c>
      <c r="C599" s="3" t="str">
        <f>IF($E599="","",Меню!$C$29)</f>
        <v/>
      </c>
      <c r="D599" s="3" t="str">
        <f>IF($E599="","",Меню!$D$29)</f>
        <v/>
      </c>
      <c r="E599" s="3" t="str">
        <f>IFERROR(IF(IFERROR(INDEX(Рецепты!$H$6:$H$85,MATCH(Меню!$D$29,Рецепты!$H$6:$H$85,0)+18)=Меню!$D$29,FALSE),INDEX(Рецепты!$J$6:$J$85,MATCH(Меню!$D$29,Рецепты!$H$6:$H$85,0)+18),""),"")</f>
        <v/>
      </c>
      <c r="F599" s="3" t="str">
        <f>IF($E599="","",INDEX(Рецепты!$K$6:$K$85,MATCH(Меню!$D$29,Рецепты!$H$6:$H$85,0)+18))</f>
        <v/>
      </c>
      <c r="G599" s="3" t="str">
        <f>IF($E599="","",INDEX(Рецепты!$M$6:$M$85,MATCH(Меню!$D$29,Рецепты!$H$6:$H$85,0)+18))</f>
        <v/>
      </c>
      <c r="H599" s="12">
        <f>IFERROR(IF(IFERROR(INDEX(Рецепты!$H$6:$H$85,MATCH(Меню!$D$29,Рецепты!$H$6:$H$85,0)+18)=Меню!$D$29,FALSE),INDEX(Рецепты!$L$6:$L$85,MATCH(Меню!$D$29,Рецепты!$H$6:$H$85,0)+18),0),0)</f>
        <v>0</v>
      </c>
      <c r="I599" s="12" t="str">
        <f>IF($F599="","",Меню!$E$29)</f>
        <v/>
      </c>
      <c r="J599" s="12">
        <f t="shared" si="9"/>
        <v>0</v>
      </c>
      <c r="K599" s="12">
        <f>IFERROR($J599/100*INDEX(Продукты!$G$6:$G$66,MATCH($E599,Продукты!$A$6:$A$66,0)),0)</f>
        <v>0</v>
      </c>
      <c r="L599" s="12">
        <f>IFERROR($J599/100*INDEX(Продукты!$H$6:$H$66,MATCH($E599,Продукты!$A$6:$A$66,0)),0)</f>
        <v>0</v>
      </c>
      <c r="M599" s="12">
        <f>IFERROR($J599/100*INDEX(Продукты!$I$6:$I$66,MATCH($E599,Продукты!$A$6:$A$66,0)),0)</f>
        <v>0</v>
      </c>
      <c r="N599" s="12">
        <f>IFERROR($J599/100*INDEX(Продукты!$J$6:$J$66,MATCH($E599,Продукты!$A$6:$A$66,0)),0)</f>
        <v>0</v>
      </c>
      <c r="O599" s="3" t="str">
        <f>IFERROR(IF(IFERROR(INDEX(Рецепты!$H$6:$H$85,MATCH(Меню!$D$29,Рецепты!$H$6:$H$85,0)+18)=Меню!$D$29,FALSE),INDEX(Рецепты!$N$6:$N$85,MATCH(Меню!$D$29,Рецепты!$H$6:$H$85,0)+18),""),"")</f>
        <v/>
      </c>
    </row>
    <row r="600" spans="1:15">
      <c r="A600" s="3" t="str">
        <f>IF($E600="","",Меню!$A$29)</f>
        <v/>
      </c>
      <c r="B600" s="3" t="str">
        <f>IF($E600="","",Меню!$B$29)</f>
        <v/>
      </c>
      <c r="C600" s="3" t="str">
        <f>IF($E600="","",Меню!$C$29)</f>
        <v/>
      </c>
      <c r="D600" s="3" t="str">
        <f>IF($E600="","",Меню!$D$29)</f>
        <v/>
      </c>
      <c r="E600" s="3" t="str">
        <f>IFERROR(IF(IFERROR(INDEX(Рецепты!$H$6:$H$85,MATCH(Меню!$D$29,Рецепты!$H$6:$H$85,0)+19)=Меню!$D$29,FALSE),INDEX(Рецепты!$J$6:$J$85,MATCH(Меню!$D$29,Рецепты!$H$6:$H$85,0)+19),""),"")</f>
        <v/>
      </c>
      <c r="F600" s="3" t="str">
        <f>IF($E600="","",INDEX(Рецепты!$K$6:$K$85,MATCH(Меню!$D$29,Рецепты!$H$6:$H$85,0)+19))</f>
        <v/>
      </c>
      <c r="G600" s="3" t="str">
        <f>IF($E600="","",INDEX(Рецепты!$M$6:$M$85,MATCH(Меню!$D$29,Рецепты!$H$6:$H$85,0)+19))</f>
        <v/>
      </c>
      <c r="H600" s="12">
        <f>IFERROR(IF(IFERROR(INDEX(Рецепты!$H$6:$H$85,MATCH(Меню!$D$29,Рецепты!$H$6:$H$85,0)+19)=Меню!$D$29,FALSE),INDEX(Рецепты!$L$6:$L$85,MATCH(Меню!$D$29,Рецепты!$H$6:$H$85,0)+19),0),0)</f>
        <v>0</v>
      </c>
      <c r="I600" s="12" t="str">
        <f>IF($F600="","",Меню!$E$29)</f>
        <v/>
      </c>
      <c r="J600" s="12">
        <f t="shared" si="9"/>
        <v>0</v>
      </c>
      <c r="K600" s="12">
        <f>IFERROR($J600/100*INDEX(Продукты!$G$6:$G$66,MATCH($E600,Продукты!$A$6:$A$66,0)),0)</f>
        <v>0</v>
      </c>
      <c r="L600" s="12">
        <f>IFERROR($J600/100*INDEX(Продукты!$H$6:$H$66,MATCH($E600,Продукты!$A$6:$A$66,0)),0)</f>
        <v>0</v>
      </c>
      <c r="M600" s="12">
        <f>IFERROR($J600/100*INDEX(Продукты!$I$6:$I$66,MATCH($E600,Продукты!$A$6:$A$66,0)),0)</f>
        <v>0</v>
      </c>
      <c r="N600" s="12">
        <f>IFERROR($J600/100*INDEX(Продукты!$J$6:$J$66,MATCH($E600,Продукты!$A$6:$A$66,0)),0)</f>
        <v>0</v>
      </c>
      <c r="O600" s="3" t="str">
        <f>IFERROR(IF(IFERROR(INDEX(Рецепты!$H$6:$H$85,MATCH(Меню!$D$29,Рецепты!$H$6:$H$85,0)+19)=Меню!$D$29,FALSE),INDEX(Рецепты!$N$6:$N$85,MATCH(Меню!$D$29,Рецепты!$H$6:$H$85,0)+19),""),"")</f>
        <v/>
      </c>
    </row>
    <row r="601" spans="1:15">
      <c r="A601" s="3" t="str">
        <f>IF($E601="","",Меню!$A$29)</f>
        <v/>
      </c>
      <c r="B601" s="3" t="str">
        <f>IF($E601="","",Меню!$B$29)</f>
        <v/>
      </c>
      <c r="C601" s="3" t="str">
        <f>IF($E601="","",Меню!$C$29)</f>
        <v/>
      </c>
      <c r="D601" s="3" t="str">
        <f>IF($E601="","",Меню!$D$29)</f>
        <v/>
      </c>
      <c r="E601" s="3" t="str">
        <f>IFERROR(IF(IFERROR(INDEX(Рецепты!$H$6:$H$85,MATCH(Меню!$D$29,Рецепты!$H$6:$H$85,0)+20)=Меню!$D$29,FALSE),INDEX(Рецепты!$J$6:$J$85,MATCH(Меню!$D$29,Рецепты!$H$6:$H$85,0)+20),""),"")</f>
        <v/>
      </c>
      <c r="F601" s="3" t="str">
        <f>IF($E601="","",INDEX(Рецепты!$K$6:$K$85,MATCH(Меню!$D$29,Рецепты!$H$6:$H$85,0)+20))</f>
        <v/>
      </c>
      <c r="G601" s="3" t="str">
        <f>IF($E601="","",INDEX(Рецепты!$M$6:$M$85,MATCH(Меню!$D$29,Рецепты!$H$6:$H$85,0)+20))</f>
        <v/>
      </c>
      <c r="H601" s="12">
        <f>IFERROR(IF(IFERROR(INDEX(Рецепты!$H$6:$H$85,MATCH(Меню!$D$29,Рецепты!$H$6:$H$85,0)+20)=Меню!$D$29,FALSE),INDEX(Рецепты!$L$6:$L$85,MATCH(Меню!$D$29,Рецепты!$H$6:$H$85,0)+20),0),0)</f>
        <v>0</v>
      </c>
      <c r="I601" s="12" t="str">
        <f>IF($F601="","",Меню!$E$29)</f>
        <v/>
      </c>
      <c r="J601" s="12">
        <f t="shared" si="9"/>
        <v>0</v>
      </c>
      <c r="K601" s="12">
        <f>IFERROR($J601/100*INDEX(Продукты!$G$6:$G$66,MATCH($E601,Продукты!$A$6:$A$66,0)),0)</f>
        <v>0</v>
      </c>
      <c r="L601" s="12">
        <f>IFERROR($J601/100*INDEX(Продукты!$H$6:$H$66,MATCH($E601,Продукты!$A$6:$A$66,0)),0)</f>
        <v>0</v>
      </c>
      <c r="M601" s="12">
        <f>IFERROR($J601/100*INDEX(Продукты!$I$6:$I$66,MATCH($E601,Продукты!$A$6:$A$66,0)),0)</f>
        <v>0</v>
      </c>
      <c r="N601" s="12">
        <f>IFERROR($J601/100*INDEX(Продукты!$J$6:$J$66,MATCH($E601,Продукты!$A$6:$A$66,0)),0)</f>
        <v>0</v>
      </c>
      <c r="O601" s="3" t="str">
        <f>IFERROR(IF(IFERROR(INDEX(Рецепты!$H$6:$H$85,MATCH(Меню!$D$29,Рецепты!$H$6:$H$85,0)+20)=Меню!$D$29,FALSE),INDEX(Рецепты!$N$6:$N$85,MATCH(Меню!$D$29,Рецепты!$H$6:$H$85,0)+20),""),"")</f>
        <v/>
      </c>
    </row>
    <row r="602" spans="1:15">
      <c r="A602" s="3" t="str">
        <f>IF($E602="","",Меню!$A$29)</f>
        <v/>
      </c>
      <c r="B602" s="3" t="str">
        <f>IF($E602="","",Меню!$B$29)</f>
        <v/>
      </c>
      <c r="C602" s="3" t="str">
        <f>IF($E602="","",Меню!$C$29)</f>
        <v/>
      </c>
      <c r="D602" s="3" t="str">
        <f>IF($E602="","",Меню!$D$29)</f>
        <v/>
      </c>
      <c r="E602" s="3" t="str">
        <f>IFERROR(IF(IFERROR(INDEX(Рецепты!$H$6:$H$85,MATCH(Меню!$D$29,Рецепты!$H$6:$H$85,0)+21)=Меню!$D$29,FALSE),INDEX(Рецепты!$J$6:$J$85,MATCH(Меню!$D$29,Рецепты!$H$6:$H$85,0)+21),""),"")</f>
        <v/>
      </c>
      <c r="F602" s="3" t="str">
        <f>IF($E602="","",INDEX(Рецепты!$K$6:$K$85,MATCH(Меню!$D$29,Рецепты!$H$6:$H$85,0)+21))</f>
        <v/>
      </c>
      <c r="G602" s="3" t="str">
        <f>IF($E602="","",INDEX(Рецепты!$M$6:$M$85,MATCH(Меню!$D$29,Рецепты!$H$6:$H$85,0)+21))</f>
        <v/>
      </c>
      <c r="H602" s="12">
        <f>IFERROR(IF(IFERROR(INDEX(Рецепты!$H$6:$H$85,MATCH(Меню!$D$29,Рецепты!$H$6:$H$85,0)+21)=Меню!$D$29,FALSE),INDEX(Рецепты!$L$6:$L$85,MATCH(Меню!$D$29,Рецепты!$H$6:$H$85,0)+21),0),0)</f>
        <v>0</v>
      </c>
      <c r="I602" s="12" t="str">
        <f>IF($F602="","",Меню!$E$29)</f>
        <v/>
      </c>
      <c r="J602" s="12">
        <f t="shared" si="9"/>
        <v>0</v>
      </c>
      <c r="K602" s="12">
        <f>IFERROR($J602/100*INDEX(Продукты!$G$6:$G$66,MATCH($E602,Продукты!$A$6:$A$66,0)),0)</f>
        <v>0</v>
      </c>
      <c r="L602" s="12">
        <f>IFERROR($J602/100*INDEX(Продукты!$H$6:$H$66,MATCH($E602,Продукты!$A$6:$A$66,0)),0)</f>
        <v>0</v>
      </c>
      <c r="M602" s="12">
        <f>IFERROR($J602/100*INDEX(Продукты!$I$6:$I$66,MATCH($E602,Продукты!$A$6:$A$66,0)),0)</f>
        <v>0</v>
      </c>
      <c r="N602" s="12">
        <f>IFERROR($J602/100*INDEX(Продукты!$J$6:$J$66,MATCH($E602,Продукты!$A$6:$A$66,0)),0)</f>
        <v>0</v>
      </c>
      <c r="O602" s="3" t="str">
        <f>IFERROR(IF(IFERROR(INDEX(Рецепты!$H$6:$H$85,MATCH(Меню!$D$29,Рецепты!$H$6:$H$85,0)+21)=Меню!$D$29,FALSE),INDEX(Рецепты!$N$6:$N$85,MATCH(Меню!$D$29,Рецепты!$H$6:$H$85,0)+21),""),"")</f>
        <v/>
      </c>
    </row>
    <row r="603" spans="1:15">
      <c r="A603" s="3" t="str">
        <f>IF($E603="","",Меню!$A$29)</f>
        <v/>
      </c>
      <c r="B603" s="3" t="str">
        <f>IF($E603="","",Меню!$B$29)</f>
        <v/>
      </c>
      <c r="C603" s="3" t="str">
        <f>IF($E603="","",Меню!$C$29)</f>
        <v/>
      </c>
      <c r="D603" s="3" t="str">
        <f>IF($E603="","",Меню!$D$29)</f>
        <v/>
      </c>
      <c r="E603" s="3" t="str">
        <f>IFERROR(IF(IFERROR(INDEX(Рецепты!$H$6:$H$85,MATCH(Меню!$D$29,Рецепты!$H$6:$H$85,0)+22)=Меню!$D$29,FALSE),INDEX(Рецепты!$J$6:$J$85,MATCH(Меню!$D$29,Рецепты!$H$6:$H$85,0)+22),""),"")</f>
        <v/>
      </c>
      <c r="F603" s="3" t="str">
        <f>IF($E603="","",INDEX(Рецепты!$K$6:$K$85,MATCH(Меню!$D$29,Рецепты!$H$6:$H$85,0)+22))</f>
        <v/>
      </c>
      <c r="G603" s="3" t="str">
        <f>IF($E603="","",INDEX(Рецепты!$M$6:$M$85,MATCH(Меню!$D$29,Рецепты!$H$6:$H$85,0)+22))</f>
        <v/>
      </c>
      <c r="H603" s="12">
        <f>IFERROR(IF(IFERROR(INDEX(Рецепты!$H$6:$H$85,MATCH(Меню!$D$29,Рецепты!$H$6:$H$85,0)+22)=Меню!$D$29,FALSE),INDEX(Рецепты!$L$6:$L$85,MATCH(Меню!$D$29,Рецепты!$H$6:$H$85,0)+22),0),0)</f>
        <v>0</v>
      </c>
      <c r="I603" s="12" t="str">
        <f>IF($F603="","",Меню!$E$29)</f>
        <v/>
      </c>
      <c r="J603" s="12">
        <f t="shared" si="9"/>
        <v>0</v>
      </c>
      <c r="K603" s="12">
        <f>IFERROR($J603/100*INDEX(Продукты!$G$6:$G$66,MATCH($E603,Продукты!$A$6:$A$66,0)),0)</f>
        <v>0</v>
      </c>
      <c r="L603" s="12">
        <f>IFERROR($J603/100*INDEX(Продукты!$H$6:$H$66,MATCH($E603,Продукты!$A$6:$A$66,0)),0)</f>
        <v>0</v>
      </c>
      <c r="M603" s="12">
        <f>IFERROR($J603/100*INDEX(Продукты!$I$6:$I$66,MATCH($E603,Продукты!$A$6:$A$66,0)),0)</f>
        <v>0</v>
      </c>
      <c r="N603" s="12">
        <f>IFERROR($J603/100*INDEX(Продукты!$J$6:$J$66,MATCH($E603,Продукты!$A$6:$A$66,0)),0)</f>
        <v>0</v>
      </c>
      <c r="O603" s="3" t="str">
        <f>IFERROR(IF(IFERROR(INDEX(Рецепты!$H$6:$H$85,MATCH(Меню!$D$29,Рецепты!$H$6:$H$85,0)+22)=Меню!$D$29,FALSE),INDEX(Рецепты!$N$6:$N$85,MATCH(Меню!$D$29,Рецепты!$H$6:$H$85,0)+22),""),"")</f>
        <v/>
      </c>
    </row>
    <row r="604" spans="1:15">
      <c r="A604" s="3" t="str">
        <f>IF($E604="","",Меню!$A$29)</f>
        <v/>
      </c>
      <c r="B604" s="3" t="str">
        <f>IF($E604="","",Меню!$B$29)</f>
        <v/>
      </c>
      <c r="C604" s="3" t="str">
        <f>IF($E604="","",Меню!$C$29)</f>
        <v/>
      </c>
      <c r="D604" s="3" t="str">
        <f>IF($E604="","",Меню!$D$29)</f>
        <v/>
      </c>
      <c r="E604" s="3" t="str">
        <f>IFERROR(IF(IFERROR(INDEX(Рецепты!$H$6:$H$85,MATCH(Меню!$D$29,Рецепты!$H$6:$H$85,0)+23)=Меню!$D$29,FALSE),INDEX(Рецепты!$J$6:$J$85,MATCH(Меню!$D$29,Рецепты!$H$6:$H$85,0)+23),""),"")</f>
        <v/>
      </c>
      <c r="F604" s="3" t="str">
        <f>IF($E604="","",INDEX(Рецепты!$K$6:$K$85,MATCH(Меню!$D$29,Рецепты!$H$6:$H$85,0)+23))</f>
        <v/>
      </c>
      <c r="G604" s="3" t="str">
        <f>IF($E604="","",INDEX(Рецепты!$M$6:$M$85,MATCH(Меню!$D$29,Рецепты!$H$6:$H$85,0)+23))</f>
        <v/>
      </c>
      <c r="H604" s="12">
        <f>IFERROR(IF(IFERROR(INDEX(Рецепты!$H$6:$H$85,MATCH(Меню!$D$29,Рецепты!$H$6:$H$85,0)+23)=Меню!$D$29,FALSE),INDEX(Рецепты!$L$6:$L$85,MATCH(Меню!$D$29,Рецепты!$H$6:$H$85,0)+23),0),0)</f>
        <v>0</v>
      </c>
      <c r="I604" s="12" t="str">
        <f>IF($F604="","",Меню!$E$29)</f>
        <v/>
      </c>
      <c r="J604" s="12">
        <f t="shared" si="9"/>
        <v>0</v>
      </c>
      <c r="K604" s="12">
        <f>IFERROR($J604/100*INDEX(Продукты!$G$6:$G$66,MATCH($E604,Продукты!$A$6:$A$66,0)),0)</f>
        <v>0</v>
      </c>
      <c r="L604" s="12">
        <f>IFERROR($J604/100*INDEX(Продукты!$H$6:$H$66,MATCH($E604,Продукты!$A$6:$A$66,0)),0)</f>
        <v>0</v>
      </c>
      <c r="M604" s="12">
        <f>IFERROR($J604/100*INDEX(Продукты!$I$6:$I$66,MATCH($E604,Продукты!$A$6:$A$66,0)),0)</f>
        <v>0</v>
      </c>
      <c r="N604" s="12">
        <f>IFERROR($J604/100*INDEX(Продукты!$J$6:$J$66,MATCH($E604,Продукты!$A$6:$A$66,0)),0)</f>
        <v>0</v>
      </c>
      <c r="O604" s="3" t="str">
        <f>IFERROR(IF(IFERROR(INDEX(Рецепты!$H$6:$H$85,MATCH(Меню!$D$29,Рецепты!$H$6:$H$85,0)+23)=Меню!$D$29,FALSE),INDEX(Рецепты!$N$6:$N$85,MATCH(Меню!$D$29,Рецепты!$H$6:$H$85,0)+23),""),"")</f>
        <v/>
      </c>
    </row>
    <row r="605" spans="1:15">
      <c r="A605" s="3" t="str">
        <f>IF($E605="","",Меню!$A$29)</f>
        <v/>
      </c>
      <c r="B605" s="3" t="str">
        <f>IF($E605="","",Меню!$B$29)</f>
        <v/>
      </c>
      <c r="C605" s="3" t="str">
        <f>IF($E605="","",Меню!$C$29)</f>
        <v/>
      </c>
      <c r="D605" s="3" t="str">
        <f>IF($E605="","",Меню!$D$29)</f>
        <v/>
      </c>
      <c r="E605" s="3" t="str">
        <f>IFERROR(IF(IFERROR(INDEX(Рецепты!$H$6:$H$85,MATCH(Меню!$D$29,Рецепты!$H$6:$H$85,0)+24)=Меню!$D$29,FALSE),INDEX(Рецепты!$J$6:$J$85,MATCH(Меню!$D$29,Рецепты!$H$6:$H$85,0)+24),""),"")</f>
        <v/>
      </c>
      <c r="F605" s="3" t="str">
        <f>IF($E605="","",INDEX(Рецепты!$K$6:$K$85,MATCH(Меню!$D$29,Рецепты!$H$6:$H$85,0)+24))</f>
        <v/>
      </c>
      <c r="G605" s="3" t="str">
        <f>IF($E605="","",INDEX(Рецепты!$M$6:$M$85,MATCH(Меню!$D$29,Рецепты!$H$6:$H$85,0)+24))</f>
        <v/>
      </c>
      <c r="H605" s="12">
        <f>IFERROR(IF(IFERROR(INDEX(Рецепты!$H$6:$H$85,MATCH(Меню!$D$29,Рецепты!$H$6:$H$85,0)+24)=Меню!$D$29,FALSE),INDEX(Рецепты!$L$6:$L$85,MATCH(Меню!$D$29,Рецепты!$H$6:$H$85,0)+24),0),0)</f>
        <v>0</v>
      </c>
      <c r="I605" s="12" t="str">
        <f>IF($F605="","",Меню!$E$29)</f>
        <v/>
      </c>
      <c r="J605" s="12">
        <f t="shared" si="9"/>
        <v>0</v>
      </c>
      <c r="K605" s="12">
        <f>IFERROR($J605/100*INDEX(Продукты!$G$6:$G$66,MATCH($E605,Продукты!$A$6:$A$66,0)),0)</f>
        <v>0</v>
      </c>
      <c r="L605" s="12">
        <f>IFERROR($J605/100*INDEX(Продукты!$H$6:$H$66,MATCH($E605,Продукты!$A$6:$A$66,0)),0)</f>
        <v>0</v>
      </c>
      <c r="M605" s="12">
        <f>IFERROR($J605/100*INDEX(Продукты!$I$6:$I$66,MATCH($E605,Продукты!$A$6:$A$66,0)),0)</f>
        <v>0</v>
      </c>
      <c r="N605" s="12">
        <f>IFERROR($J605/100*INDEX(Продукты!$J$6:$J$66,MATCH($E605,Продукты!$A$6:$A$66,0)),0)</f>
        <v>0</v>
      </c>
      <c r="O605" s="3" t="str">
        <f>IFERROR(IF(IFERROR(INDEX(Рецепты!$H$6:$H$85,MATCH(Меню!$D$29,Рецепты!$H$6:$H$85,0)+24)=Меню!$D$29,FALSE),INDEX(Рецепты!$N$6:$N$85,MATCH(Меню!$D$29,Рецепты!$H$6:$H$85,0)+24),""),"")</f>
        <v/>
      </c>
    </row>
    <row r="606" spans="1:15">
      <c r="A606" s="3" t="str">
        <f>IF($E606="","",Меню!$A$30)</f>
        <v/>
      </c>
      <c r="B606" s="3" t="str">
        <f>IF($E606="","",Меню!$B$30)</f>
        <v/>
      </c>
      <c r="C606" s="3" t="str">
        <f>IF($E606="","",Меню!$C$30)</f>
        <v/>
      </c>
      <c r="D606" s="3" t="str">
        <f>IF($E606="","",Меню!$D$30)</f>
        <v/>
      </c>
      <c r="E606" s="3" t="str">
        <f>IFERROR(IF(IFERROR(INDEX(Рецепты!$H$6:$H$85,MATCH(Меню!$D$30,Рецепты!$H$6:$H$85,0)+0)=Меню!$D$30,FALSE),INDEX(Рецепты!$J$6:$J$85,MATCH(Меню!$D$30,Рецепты!$H$6:$H$85,0)+0),""),"")</f>
        <v/>
      </c>
      <c r="F606" s="3" t="str">
        <f>IF($E606="","",INDEX(Рецепты!$K$6:$K$85,MATCH(Меню!$D$30,Рецепты!$H$6:$H$85,0)+0))</f>
        <v/>
      </c>
      <c r="G606" s="3" t="str">
        <f>IF($E606="","",INDEX(Рецепты!$M$6:$M$85,MATCH(Меню!$D$30,Рецепты!$H$6:$H$85,0)+0))</f>
        <v/>
      </c>
      <c r="H606" s="12">
        <f>IFERROR(IF(IFERROR(INDEX(Рецепты!$H$6:$H$85,MATCH(Меню!$D$30,Рецепты!$H$6:$H$85,0)+0)=Меню!$D$30,FALSE),INDEX(Рецепты!$L$6:$L$85,MATCH(Меню!$D$30,Рецепты!$H$6:$H$85,0)+0),0),0)</f>
        <v>0</v>
      </c>
      <c r="I606" s="12" t="str">
        <f>IF($F606="","",Меню!$E$30)</f>
        <v/>
      </c>
      <c r="J606" s="12">
        <f t="shared" si="9"/>
        <v>0</v>
      </c>
      <c r="K606" s="12">
        <f>IFERROR($J606/100*INDEX(Продукты!$G$6:$G$66,MATCH($E606,Продукты!$A$6:$A$66,0)),0)</f>
        <v>0</v>
      </c>
      <c r="L606" s="12">
        <f>IFERROR($J606/100*INDEX(Продукты!$H$6:$H$66,MATCH($E606,Продукты!$A$6:$A$66,0)),0)</f>
        <v>0</v>
      </c>
      <c r="M606" s="12">
        <f>IFERROR($J606/100*INDEX(Продукты!$I$6:$I$66,MATCH($E606,Продукты!$A$6:$A$66,0)),0)</f>
        <v>0</v>
      </c>
      <c r="N606" s="12">
        <f>IFERROR($J606/100*INDEX(Продукты!$J$6:$J$66,MATCH($E606,Продукты!$A$6:$A$66,0)),0)</f>
        <v>0</v>
      </c>
      <c r="O606" s="3" t="str">
        <f>IFERROR(IF(IFERROR(INDEX(Рецепты!$H$6:$H$85,MATCH(Меню!$D$30,Рецепты!$H$6:$H$85,0)+0)=Меню!$D$30,FALSE),INDEX(Рецепты!$N$6:$N$85,MATCH(Меню!$D$30,Рецепты!$H$6:$H$85,0)+0),""),"")</f>
        <v/>
      </c>
    </row>
    <row r="607" spans="1:15">
      <c r="A607" s="3" t="str">
        <f>IF($E607="","",Меню!$A$30)</f>
        <v/>
      </c>
      <c r="B607" s="3" t="str">
        <f>IF($E607="","",Меню!$B$30)</f>
        <v/>
      </c>
      <c r="C607" s="3" t="str">
        <f>IF($E607="","",Меню!$C$30)</f>
        <v/>
      </c>
      <c r="D607" s="3" t="str">
        <f>IF($E607="","",Меню!$D$30)</f>
        <v/>
      </c>
      <c r="E607" s="3" t="str">
        <f>IFERROR(IF(IFERROR(INDEX(Рецепты!$H$6:$H$85,MATCH(Меню!$D$30,Рецепты!$H$6:$H$85,0)+1)=Меню!$D$30,FALSE),INDEX(Рецепты!$J$6:$J$85,MATCH(Меню!$D$30,Рецепты!$H$6:$H$85,0)+1),""),"")</f>
        <v/>
      </c>
      <c r="F607" s="3" t="str">
        <f>IF($E607="","",INDEX(Рецепты!$K$6:$K$85,MATCH(Меню!$D$30,Рецепты!$H$6:$H$85,0)+1))</f>
        <v/>
      </c>
      <c r="G607" s="3" t="str">
        <f>IF($E607="","",INDEX(Рецепты!$M$6:$M$85,MATCH(Меню!$D$30,Рецепты!$H$6:$H$85,0)+1))</f>
        <v/>
      </c>
      <c r="H607" s="12">
        <f>IFERROR(IF(IFERROR(INDEX(Рецепты!$H$6:$H$85,MATCH(Меню!$D$30,Рецепты!$H$6:$H$85,0)+1)=Меню!$D$30,FALSE),INDEX(Рецепты!$L$6:$L$85,MATCH(Меню!$D$30,Рецепты!$H$6:$H$85,0)+1),0),0)</f>
        <v>0</v>
      </c>
      <c r="I607" s="12" t="str">
        <f>IF($F607="","",Меню!$E$30)</f>
        <v/>
      </c>
      <c r="J607" s="12">
        <f t="shared" si="9"/>
        <v>0</v>
      </c>
      <c r="K607" s="12">
        <f>IFERROR($J607/100*INDEX(Продукты!$G$6:$G$66,MATCH($E607,Продукты!$A$6:$A$66,0)),0)</f>
        <v>0</v>
      </c>
      <c r="L607" s="12">
        <f>IFERROR($J607/100*INDEX(Продукты!$H$6:$H$66,MATCH($E607,Продукты!$A$6:$A$66,0)),0)</f>
        <v>0</v>
      </c>
      <c r="M607" s="12">
        <f>IFERROR($J607/100*INDEX(Продукты!$I$6:$I$66,MATCH($E607,Продукты!$A$6:$A$66,0)),0)</f>
        <v>0</v>
      </c>
      <c r="N607" s="12">
        <f>IFERROR($J607/100*INDEX(Продукты!$J$6:$J$66,MATCH($E607,Продукты!$A$6:$A$66,0)),0)</f>
        <v>0</v>
      </c>
      <c r="O607" s="3" t="str">
        <f>IFERROR(IF(IFERROR(INDEX(Рецепты!$H$6:$H$85,MATCH(Меню!$D$30,Рецепты!$H$6:$H$85,0)+1)=Меню!$D$30,FALSE),INDEX(Рецепты!$N$6:$N$85,MATCH(Меню!$D$30,Рецепты!$H$6:$H$85,0)+1),""),"")</f>
        <v/>
      </c>
    </row>
    <row r="608" spans="1:15">
      <c r="A608" s="3" t="str">
        <f>IF($E608="","",Меню!$A$30)</f>
        <v/>
      </c>
      <c r="B608" s="3" t="str">
        <f>IF($E608="","",Меню!$B$30)</f>
        <v/>
      </c>
      <c r="C608" s="3" t="str">
        <f>IF($E608="","",Меню!$C$30)</f>
        <v/>
      </c>
      <c r="D608" s="3" t="str">
        <f>IF($E608="","",Меню!$D$30)</f>
        <v/>
      </c>
      <c r="E608" s="3" t="str">
        <f>IFERROR(IF(IFERROR(INDEX(Рецепты!$H$6:$H$85,MATCH(Меню!$D$30,Рецепты!$H$6:$H$85,0)+2)=Меню!$D$30,FALSE),INDEX(Рецепты!$J$6:$J$85,MATCH(Меню!$D$30,Рецепты!$H$6:$H$85,0)+2),""),"")</f>
        <v/>
      </c>
      <c r="F608" s="3" t="str">
        <f>IF($E608="","",INDEX(Рецепты!$K$6:$K$85,MATCH(Меню!$D$30,Рецепты!$H$6:$H$85,0)+2))</f>
        <v/>
      </c>
      <c r="G608" s="3" t="str">
        <f>IF($E608="","",INDEX(Рецепты!$M$6:$M$85,MATCH(Меню!$D$30,Рецепты!$H$6:$H$85,0)+2))</f>
        <v/>
      </c>
      <c r="H608" s="12">
        <f>IFERROR(IF(IFERROR(INDEX(Рецепты!$H$6:$H$85,MATCH(Меню!$D$30,Рецепты!$H$6:$H$85,0)+2)=Меню!$D$30,FALSE),INDEX(Рецепты!$L$6:$L$85,MATCH(Меню!$D$30,Рецепты!$H$6:$H$85,0)+2),0),0)</f>
        <v>0</v>
      </c>
      <c r="I608" s="12" t="str">
        <f>IF($F608="","",Меню!$E$30)</f>
        <v/>
      </c>
      <c r="J608" s="12">
        <f t="shared" si="9"/>
        <v>0</v>
      </c>
      <c r="K608" s="12">
        <f>IFERROR($J608/100*INDEX(Продукты!$G$6:$G$66,MATCH($E608,Продукты!$A$6:$A$66,0)),0)</f>
        <v>0</v>
      </c>
      <c r="L608" s="12">
        <f>IFERROR($J608/100*INDEX(Продукты!$H$6:$H$66,MATCH($E608,Продукты!$A$6:$A$66,0)),0)</f>
        <v>0</v>
      </c>
      <c r="M608" s="12">
        <f>IFERROR($J608/100*INDEX(Продукты!$I$6:$I$66,MATCH($E608,Продукты!$A$6:$A$66,0)),0)</f>
        <v>0</v>
      </c>
      <c r="N608" s="12">
        <f>IFERROR($J608/100*INDEX(Продукты!$J$6:$J$66,MATCH($E608,Продукты!$A$6:$A$66,0)),0)</f>
        <v>0</v>
      </c>
      <c r="O608" s="3" t="str">
        <f>IFERROR(IF(IFERROR(INDEX(Рецепты!$H$6:$H$85,MATCH(Меню!$D$30,Рецепты!$H$6:$H$85,0)+2)=Меню!$D$30,FALSE),INDEX(Рецепты!$N$6:$N$85,MATCH(Меню!$D$30,Рецепты!$H$6:$H$85,0)+2),""),"")</f>
        <v/>
      </c>
    </row>
    <row r="609" spans="1:15">
      <c r="A609" s="3" t="str">
        <f>IF($E609="","",Меню!$A$30)</f>
        <v/>
      </c>
      <c r="B609" s="3" t="str">
        <f>IF($E609="","",Меню!$B$30)</f>
        <v/>
      </c>
      <c r="C609" s="3" t="str">
        <f>IF($E609="","",Меню!$C$30)</f>
        <v/>
      </c>
      <c r="D609" s="3" t="str">
        <f>IF($E609="","",Меню!$D$30)</f>
        <v/>
      </c>
      <c r="E609" s="3" t="str">
        <f>IFERROR(IF(IFERROR(INDEX(Рецепты!$H$6:$H$85,MATCH(Меню!$D$30,Рецепты!$H$6:$H$85,0)+3)=Меню!$D$30,FALSE),INDEX(Рецепты!$J$6:$J$85,MATCH(Меню!$D$30,Рецепты!$H$6:$H$85,0)+3),""),"")</f>
        <v/>
      </c>
      <c r="F609" s="3" t="str">
        <f>IF($E609="","",INDEX(Рецепты!$K$6:$K$85,MATCH(Меню!$D$30,Рецепты!$H$6:$H$85,0)+3))</f>
        <v/>
      </c>
      <c r="G609" s="3" t="str">
        <f>IF($E609="","",INDEX(Рецепты!$M$6:$M$85,MATCH(Меню!$D$30,Рецепты!$H$6:$H$85,0)+3))</f>
        <v/>
      </c>
      <c r="H609" s="12">
        <f>IFERROR(IF(IFERROR(INDEX(Рецепты!$H$6:$H$85,MATCH(Меню!$D$30,Рецепты!$H$6:$H$85,0)+3)=Меню!$D$30,FALSE),INDEX(Рецепты!$L$6:$L$85,MATCH(Меню!$D$30,Рецепты!$H$6:$H$85,0)+3),0),0)</f>
        <v>0</v>
      </c>
      <c r="I609" s="12" t="str">
        <f>IF($F609="","",Меню!$E$30)</f>
        <v/>
      </c>
      <c r="J609" s="12">
        <f t="shared" si="9"/>
        <v>0</v>
      </c>
      <c r="K609" s="12">
        <f>IFERROR($J609/100*INDEX(Продукты!$G$6:$G$66,MATCH($E609,Продукты!$A$6:$A$66,0)),0)</f>
        <v>0</v>
      </c>
      <c r="L609" s="12">
        <f>IFERROR($J609/100*INDEX(Продукты!$H$6:$H$66,MATCH($E609,Продукты!$A$6:$A$66,0)),0)</f>
        <v>0</v>
      </c>
      <c r="M609" s="12">
        <f>IFERROR($J609/100*INDEX(Продукты!$I$6:$I$66,MATCH($E609,Продукты!$A$6:$A$66,0)),0)</f>
        <v>0</v>
      </c>
      <c r="N609" s="12">
        <f>IFERROR($J609/100*INDEX(Продукты!$J$6:$J$66,MATCH($E609,Продукты!$A$6:$A$66,0)),0)</f>
        <v>0</v>
      </c>
      <c r="O609" s="3" t="str">
        <f>IFERROR(IF(IFERROR(INDEX(Рецепты!$H$6:$H$85,MATCH(Меню!$D$30,Рецепты!$H$6:$H$85,0)+3)=Меню!$D$30,FALSE),INDEX(Рецепты!$N$6:$N$85,MATCH(Меню!$D$30,Рецепты!$H$6:$H$85,0)+3),""),"")</f>
        <v/>
      </c>
    </row>
    <row r="610" spans="1:15">
      <c r="A610" s="3" t="str">
        <f>IF($E610="","",Меню!$A$30)</f>
        <v/>
      </c>
      <c r="B610" s="3" t="str">
        <f>IF($E610="","",Меню!$B$30)</f>
        <v/>
      </c>
      <c r="C610" s="3" t="str">
        <f>IF($E610="","",Меню!$C$30)</f>
        <v/>
      </c>
      <c r="D610" s="3" t="str">
        <f>IF($E610="","",Меню!$D$30)</f>
        <v/>
      </c>
      <c r="E610" s="3" t="str">
        <f>IFERROR(IF(IFERROR(INDEX(Рецепты!$H$6:$H$85,MATCH(Меню!$D$30,Рецепты!$H$6:$H$85,0)+4)=Меню!$D$30,FALSE),INDEX(Рецепты!$J$6:$J$85,MATCH(Меню!$D$30,Рецепты!$H$6:$H$85,0)+4),""),"")</f>
        <v/>
      </c>
      <c r="F610" s="3" t="str">
        <f>IF($E610="","",INDEX(Рецепты!$K$6:$K$85,MATCH(Меню!$D$30,Рецепты!$H$6:$H$85,0)+4))</f>
        <v/>
      </c>
      <c r="G610" s="3" t="str">
        <f>IF($E610="","",INDEX(Рецепты!$M$6:$M$85,MATCH(Меню!$D$30,Рецепты!$H$6:$H$85,0)+4))</f>
        <v/>
      </c>
      <c r="H610" s="12">
        <f>IFERROR(IF(IFERROR(INDEX(Рецепты!$H$6:$H$85,MATCH(Меню!$D$30,Рецепты!$H$6:$H$85,0)+4)=Меню!$D$30,FALSE),INDEX(Рецепты!$L$6:$L$85,MATCH(Меню!$D$30,Рецепты!$H$6:$H$85,0)+4),0),0)</f>
        <v>0</v>
      </c>
      <c r="I610" s="12" t="str">
        <f>IF($F610="","",Меню!$E$30)</f>
        <v/>
      </c>
      <c r="J610" s="12">
        <f t="shared" si="9"/>
        <v>0</v>
      </c>
      <c r="K610" s="12">
        <f>IFERROR($J610/100*INDEX(Продукты!$G$6:$G$66,MATCH($E610,Продукты!$A$6:$A$66,0)),0)</f>
        <v>0</v>
      </c>
      <c r="L610" s="12">
        <f>IFERROR($J610/100*INDEX(Продукты!$H$6:$H$66,MATCH($E610,Продукты!$A$6:$A$66,0)),0)</f>
        <v>0</v>
      </c>
      <c r="M610" s="12">
        <f>IFERROR($J610/100*INDEX(Продукты!$I$6:$I$66,MATCH($E610,Продукты!$A$6:$A$66,0)),0)</f>
        <v>0</v>
      </c>
      <c r="N610" s="12">
        <f>IFERROR($J610/100*INDEX(Продукты!$J$6:$J$66,MATCH($E610,Продукты!$A$6:$A$66,0)),0)</f>
        <v>0</v>
      </c>
      <c r="O610" s="3" t="str">
        <f>IFERROR(IF(IFERROR(INDEX(Рецепты!$H$6:$H$85,MATCH(Меню!$D$30,Рецепты!$H$6:$H$85,0)+4)=Меню!$D$30,FALSE),INDEX(Рецепты!$N$6:$N$85,MATCH(Меню!$D$30,Рецепты!$H$6:$H$85,0)+4),""),"")</f>
        <v/>
      </c>
    </row>
    <row r="611" spans="1:15">
      <c r="A611" s="3" t="str">
        <f>IF($E611="","",Меню!$A$30)</f>
        <v/>
      </c>
      <c r="B611" s="3" t="str">
        <f>IF($E611="","",Меню!$B$30)</f>
        <v/>
      </c>
      <c r="C611" s="3" t="str">
        <f>IF($E611="","",Меню!$C$30)</f>
        <v/>
      </c>
      <c r="D611" s="3" t="str">
        <f>IF($E611="","",Меню!$D$30)</f>
        <v/>
      </c>
      <c r="E611" s="3" t="str">
        <f>IFERROR(IF(IFERROR(INDEX(Рецепты!$H$6:$H$85,MATCH(Меню!$D$30,Рецепты!$H$6:$H$85,0)+5)=Меню!$D$30,FALSE),INDEX(Рецепты!$J$6:$J$85,MATCH(Меню!$D$30,Рецепты!$H$6:$H$85,0)+5),""),"")</f>
        <v/>
      </c>
      <c r="F611" s="3" t="str">
        <f>IF($E611="","",INDEX(Рецепты!$K$6:$K$85,MATCH(Меню!$D$30,Рецепты!$H$6:$H$85,0)+5))</f>
        <v/>
      </c>
      <c r="G611" s="3" t="str">
        <f>IF($E611="","",INDEX(Рецепты!$M$6:$M$85,MATCH(Меню!$D$30,Рецепты!$H$6:$H$85,0)+5))</f>
        <v/>
      </c>
      <c r="H611" s="12">
        <f>IFERROR(IF(IFERROR(INDEX(Рецепты!$H$6:$H$85,MATCH(Меню!$D$30,Рецепты!$H$6:$H$85,0)+5)=Меню!$D$30,FALSE),INDEX(Рецепты!$L$6:$L$85,MATCH(Меню!$D$30,Рецепты!$H$6:$H$85,0)+5),0),0)</f>
        <v>0</v>
      </c>
      <c r="I611" s="12" t="str">
        <f>IF($F611="","",Меню!$E$30)</f>
        <v/>
      </c>
      <c r="J611" s="12">
        <f t="shared" si="9"/>
        <v>0</v>
      </c>
      <c r="K611" s="12">
        <f>IFERROR($J611/100*INDEX(Продукты!$G$6:$G$66,MATCH($E611,Продукты!$A$6:$A$66,0)),0)</f>
        <v>0</v>
      </c>
      <c r="L611" s="12">
        <f>IFERROR($J611/100*INDEX(Продукты!$H$6:$H$66,MATCH($E611,Продукты!$A$6:$A$66,0)),0)</f>
        <v>0</v>
      </c>
      <c r="M611" s="12">
        <f>IFERROR($J611/100*INDEX(Продукты!$I$6:$I$66,MATCH($E611,Продукты!$A$6:$A$66,0)),0)</f>
        <v>0</v>
      </c>
      <c r="N611" s="12">
        <f>IFERROR($J611/100*INDEX(Продукты!$J$6:$J$66,MATCH($E611,Продукты!$A$6:$A$66,0)),0)</f>
        <v>0</v>
      </c>
      <c r="O611" s="3" t="str">
        <f>IFERROR(IF(IFERROR(INDEX(Рецепты!$H$6:$H$85,MATCH(Меню!$D$30,Рецепты!$H$6:$H$85,0)+5)=Меню!$D$30,FALSE),INDEX(Рецепты!$N$6:$N$85,MATCH(Меню!$D$30,Рецепты!$H$6:$H$85,0)+5),""),"")</f>
        <v/>
      </c>
    </row>
    <row r="612" spans="1:15">
      <c r="A612" s="3" t="str">
        <f>IF($E612="","",Меню!$A$30)</f>
        <v/>
      </c>
      <c r="B612" s="3" t="str">
        <f>IF($E612="","",Меню!$B$30)</f>
        <v/>
      </c>
      <c r="C612" s="3" t="str">
        <f>IF($E612="","",Меню!$C$30)</f>
        <v/>
      </c>
      <c r="D612" s="3" t="str">
        <f>IF($E612="","",Меню!$D$30)</f>
        <v/>
      </c>
      <c r="E612" s="3" t="str">
        <f>IFERROR(IF(IFERROR(INDEX(Рецепты!$H$6:$H$85,MATCH(Меню!$D$30,Рецепты!$H$6:$H$85,0)+6)=Меню!$D$30,FALSE),INDEX(Рецепты!$J$6:$J$85,MATCH(Меню!$D$30,Рецепты!$H$6:$H$85,0)+6),""),"")</f>
        <v/>
      </c>
      <c r="F612" s="3" t="str">
        <f>IF($E612="","",INDEX(Рецепты!$K$6:$K$85,MATCH(Меню!$D$30,Рецепты!$H$6:$H$85,0)+6))</f>
        <v/>
      </c>
      <c r="G612" s="3" t="str">
        <f>IF($E612="","",INDEX(Рецепты!$M$6:$M$85,MATCH(Меню!$D$30,Рецепты!$H$6:$H$85,0)+6))</f>
        <v/>
      </c>
      <c r="H612" s="12">
        <f>IFERROR(IF(IFERROR(INDEX(Рецепты!$H$6:$H$85,MATCH(Меню!$D$30,Рецепты!$H$6:$H$85,0)+6)=Меню!$D$30,FALSE),INDEX(Рецепты!$L$6:$L$85,MATCH(Меню!$D$30,Рецепты!$H$6:$H$85,0)+6),0),0)</f>
        <v>0</v>
      </c>
      <c r="I612" s="12" t="str">
        <f>IF($F612="","",Меню!$E$30)</f>
        <v/>
      </c>
      <c r="J612" s="12">
        <f t="shared" si="9"/>
        <v>0</v>
      </c>
      <c r="K612" s="12">
        <f>IFERROR($J612/100*INDEX(Продукты!$G$6:$G$66,MATCH($E612,Продукты!$A$6:$A$66,0)),0)</f>
        <v>0</v>
      </c>
      <c r="L612" s="12">
        <f>IFERROR($J612/100*INDEX(Продукты!$H$6:$H$66,MATCH($E612,Продукты!$A$6:$A$66,0)),0)</f>
        <v>0</v>
      </c>
      <c r="M612" s="12">
        <f>IFERROR($J612/100*INDEX(Продукты!$I$6:$I$66,MATCH($E612,Продукты!$A$6:$A$66,0)),0)</f>
        <v>0</v>
      </c>
      <c r="N612" s="12">
        <f>IFERROR($J612/100*INDEX(Продукты!$J$6:$J$66,MATCH($E612,Продукты!$A$6:$A$66,0)),0)</f>
        <v>0</v>
      </c>
      <c r="O612" s="3" t="str">
        <f>IFERROR(IF(IFERROR(INDEX(Рецепты!$H$6:$H$85,MATCH(Меню!$D$30,Рецепты!$H$6:$H$85,0)+6)=Меню!$D$30,FALSE),INDEX(Рецепты!$N$6:$N$85,MATCH(Меню!$D$30,Рецепты!$H$6:$H$85,0)+6),""),"")</f>
        <v/>
      </c>
    </row>
    <row r="613" spans="1:15">
      <c r="A613" s="3" t="str">
        <f>IF($E613="","",Меню!$A$30)</f>
        <v/>
      </c>
      <c r="B613" s="3" t="str">
        <f>IF($E613="","",Меню!$B$30)</f>
        <v/>
      </c>
      <c r="C613" s="3" t="str">
        <f>IF($E613="","",Меню!$C$30)</f>
        <v/>
      </c>
      <c r="D613" s="3" t="str">
        <f>IF($E613="","",Меню!$D$30)</f>
        <v/>
      </c>
      <c r="E613" s="3" t="str">
        <f>IFERROR(IF(IFERROR(INDEX(Рецепты!$H$6:$H$85,MATCH(Меню!$D$30,Рецепты!$H$6:$H$85,0)+7)=Меню!$D$30,FALSE),INDEX(Рецепты!$J$6:$J$85,MATCH(Меню!$D$30,Рецепты!$H$6:$H$85,0)+7),""),"")</f>
        <v/>
      </c>
      <c r="F613" s="3" t="str">
        <f>IF($E613="","",INDEX(Рецепты!$K$6:$K$85,MATCH(Меню!$D$30,Рецепты!$H$6:$H$85,0)+7))</f>
        <v/>
      </c>
      <c r="G613" s="3" t="str">
        <f>IF($E613="","",INDEX(Рецепты!$M$6:$M$85,MATCH(Меню!$D$30,Рецепты!$H$6:$H$85,0)+7))</f>
        <v/>
      </c>
      <c r="H613" s="12">
        <f>IFERROR(IF(IFERROR(INDEX(Рецепты!$H$6:$H$85,MATCH(Меню!$D$30,Рецепты!$H$6:$H$85,0)+7)=Меню!$D$30,FALSE),INDEX(Рецепты!$L$6:$L$85,MATCH(Меню!$D$30,Рецепты!$H$6:$H$85,0)+7),0),0)</f>
        <v>0</v>
      </c>
      <c r="I613" s="12" t="str">
        <f>IF($F613="","",Меню!$E$30)</f>
        <v/>
      </c>
      <c r="J613" s="12">
        <f t="shared" si="9"/>
        <v>0</v>
      </c>
      <c r="K613" s="12">
        <f>IFERROR($J613/100*INDEX(Продукты!$G$6:$G$66,MATCH($E613,Продукты!$A$6:$A$66,0)),0)</f>
        <v>0</v>
      </c>
      <c r="L613" s="12">
        <f>IFERROR($J613/100*INDEX(Продукты!$H$6:$H$66,MATCH($E613,Продукты!$A$6:$A$66,0)),0)</f>
        <v>0</v>
      </c>
      <c r="M613" s="12">
        <f>IFERROR($J613/100*INDEX(Продукты!$I$6:$I$66,MATCH($E613,Продукты!$A$6:$A$66,0)),0)</f>
        <v>0</v>
      </c>
      <c r="N613" s="12">
        <f>IFERROR($J613/100*INDEX(Продукты!$J$6:$J$66,MATCH($E613,Продукты!$A$6:$A$66,0)),0)</f>
        <v>0</v>
      </c>
      <c r="O613" s="3" t="str">
        <f>IFERROR(IF(IFERROR(INDEX(Рецепты!$H$6:$H$85,MATCH(Меню!$D$30,Рецепты!$H$6:$H$85,0)+7)=Меню!$D$30,FALSE),INDEX(Рецепты!$N$6:$N$85,MATCH(Меню!$D$30,Рецепты!$H$6:$H$85,0)+7),""),"")</f>
        <v/>
      </c>
    </row>
    <row r="614" spans="1:15">
      <c r="A614" s="3" t="str">
        <f>IF($E614="","",Меню!$A$30)</f>
        <v/>
      </c>
      <c r="B614" s="3" t="str">
        <f>IF($E614="","",Меню!$B$30)</f>
        <v/>
      </c>
      <c r="C614" s="3" t="str">
        <f>IF($E614="","",Меню!$C$30)</f>
        <v/>
      </c>
      <c r="D614" s="3" t="str">
        <f>IF($E614="","",Меню!$D$30)</f>
        <v/>
      </c>
      <c r="E614" s="3" t="str">
        <f>IFERROR(IF(IFERROR(INDEX(Рецепты!$H$6:$H$85,MATCH(Меню!$D$30,Рецепты!$H$6:$H$85,0)+8)=Меню!$D$30,FALSE),INDEX(Рецепты!$J$6:$J$85,MATCH(Меню!$D$30,Рецепты!$H$6:$H$85,0)+8),""),"")</f>
        <v/>
      </c>
      <c r="F614" s="3" t="str">
        <f>IF($E614="","",INDEX(Рецепты!$K$6:$K$85,MATCH(Меню!$D$30,Рецепты!$H$6:$H$85,0)+8))</f>
        <v/>
      </c>
      <c r="G614" s="3" t="str">
        <f>IF($E614="","",INDEX(Рецепты!$M$6:$M$85,MATCH(Меню!$D$30,Рецепты!$H$6:$H$85,0)+8))</f>
        <v/>
      </c>
      <c r="H614" s="12">
        <f>IFERROR(IF(IFERROR(INDEX(Рецепты!$H$6:$H$85,MATCH(Меню!$D$30,Рецепты!$H$6:$H$85,0)+8)=Меню!$D$30,FALSE),INDEX(Рецепты!$L$6:$L$85,MATCH(Меню!$D$30,Рецепты!$H$6:$H$85,0)+8),0),0)</f>
        <v>0</v>
      </c>
      <c r="I614" s="12" t="str">
        <f>IF($F614="","",Меню!$E$30)</f>
        <v/>
      </c>
      <c r="J614" s="12">
        <f t="shared" si="9"/>
        <v>0</v>
      </c>
      <c r="K614" s="12">
        <f>IFERROR($J614/100*INDEX(Продукты!$G$6:$G$66,MATCH($E614,Продукты!$A$6:$A$66,0)),0)</f>
        <v>0</v>
      </c>
      <c r="L614" s="12">
        <f>IFERROR($J614/100*INDEX(Продукты!$H$6:$H$66,MATCH($E614,Продукты!$A$6:$A$66,0)),0)</f>
        <v>0</v>
      </c>
      <c r="M614" s="12">
        <f>IFERROR($J614/100*INDEX(Продукты!$I$6:$I$66,MATCH($E614,Продукты!$A$6:$A$66,0)),0)</f>
        <v>0</v>
      </c>
      <c r="N614" s="12">
        <f>IFERROR($J614/100*INDEX(Продукты!$J$6:$J$66,MATCH($E614,Продукты!$A$6:$A$66,0)),0)</f>
        <v>0</v>
      </c>
      <c r="O614" s="3" t="str">
        <f>IFERROR(IF(IFERROR(INDEX(Рецепты!$H$6:$H$85,MATCH(Меню!$D$30,Рецепты!$H$6:$H$85,0)+8)=Меню!$D$30,FALSE),INDEX(Рецепты!$N$6:$N$85,MATCH(Меню!$D$30,Рецепты!$H$6:$H$85,0)+8),""),"")</f>
        <v/>
      </c>
    </row>
    <row r="615" spans="1:15">
      <c r="A615" s="3" t="str">
        <f>IF($E615="","",Меню!$A$30)</f>
        <v/>
      </c>
      <c r="B615" s="3" t="str">
        <f>IF($E615="","",Меню!$B$30)</f>
        <v/>
      </c>
      <c r="C615" s="3" t="str">
        <f>IF($E615="","",Меню!$C$30)</f>
        <v/>
      </c>
      <c r="D615" s="3" t="str">
        <f>IF($E615="","",Меню!$D$30)</f>
        <v/>
      </c>
      <c r="E615" s="3" t="str">
        <f>IFERROR(IF(IFERROR(INDEX(Рецепты!$H$6:$H$85,MATCH(Меню!$D$30,Рецепты!$H$6:$H$85,0)+9)=Меню!$D$30,FALSE),INDEX(Рецепты!$J$6:$J$85,MATCH(Меню!$D$30,Рецепты!$H$6:$H$85,0)+9),""),"")</f>
        <v/>
      </c>
      <c r="F615" s="3" t="str">
        <f>IF($E615="","",INDEX(Рецепты!$K$6:$K$85,MATCH(Меню!$D$30,Рецепты!$H$6:$H$85,0)+9))</f>
        <v/>
      </c>
      <c r="G615" s="3" t="str">
        <f>IF($E615="","",INDEX(Рецепты!$M$6:$M$85,MATCH(Меню!$D$30,Рецепты!$H$6:$H$85,0)+9))</f>
        <v/>
      </c>
      <c r="H615" s="12">
        <f>IFERROR(IF(IFERROR(INDEX(Рецепты!$H$6:$H$85,MATCH(Меню!$D$30,Рецепты!$H$6:$H$85,0)+9)=Меню!$D$30,FALSE),INDEX(Рецепты!$L$6:$L$85,MATCH(Меню!$D$30,Рецепты!$H$6:$H$85,0)+9),0),0)</f>
        <v>0</v>
      </c>
      <c r="I615" s="12" t="str">
        <f>IF($F615="","",Меню!$E$30)</f>
        <v/>
      </c>
      <c r="J615" s="12">
        <f t="shared" si="9"/>
        <v>0</v>
      </c>
      <c r="K615" s="12">
        <f>IFERROR($J615/100*INDEX(Продукты!$G$6:$G$66,MATCH($E615,Продукты!$A$6:$A$66,0)),0)</f>
        <v>0</v>
      </c>
      <c r="L615" s="12">
        <f>IFERROR($J615/100*INDEX(Продукты!$H$6:$H$66,MATCH($E615,Продукты!$A$6:$A$66,0)),0)</f>
        <v>0</v>
      </c>
      <c r="M615" s="12">
        <f>IFERROR($J615/100*INDEX(Продукты!$I$6:$I$66,MATCH($E615,Продукты!$A$6:$A$66,0)),0)</f>
        <v>0</v>
      </c>
      <c r="N615" s="12">
        <f>IFERROR($J615/100*INDEX(Продукты!$J$6:$J$66,MATCH($E615,Продукты!$A$6:$A$66,0)),0)</f>
        <v>0</v>
      </c>
      <c r="O615" s="3" t="str">
        <f>IFERROR(IF(IFERROR(INDEX(Рецепты!$H$6:$H$85,MATCH(Меню!$D$30,Рецепты!$H$6:$H$85,0)+9)=Меню!$D$30,FALSE),INDEX(Рецепты!$N$6:$N$85,MATCH(Меню!$D$30,Рецепты!$H$6:$H$85,0)+9),""),"")</f>
        <v/>
      </c>
    </row>
    <row r="616" spans="1:15">
      <c r="A616" s="3" t="str">
        <f>IF($E616="","",Меню!$A$30)</f>
        <v/>
      </c>
      <c r="B616" s="3" t="str">
        <f>IF($E616="","",Меню!$B$30)</f>
        <v/>
      </c>
      <c r="C616" s="3" t="str">
        <f>IF($E616="","",Меню!$C$30)</f>
        <v/>
      </c>
      <c r="D616" s="3" t="str">
        <f>IF($E616="","",Меню!$D$30)</f>
        <v/>
      </c>
      <c r="E616" s="3" t="str">
        <f>IFERROR(IF(IFERROR(INDEX(Рецепты!$H$6:$H$85,MATCH(Меню!$D$30,Рецепты!$H$6:$H$85,0)+10)=Меню!$D$30,FALSE),INDEX(Рецепты!$J$6:$J$85,MATCH(Меню!$D$30,Рецепты!$H$6:$H$85,0)+10),""),"")</f>
        <v/>
      </c>
      <c r="F616" s="3" t="str">
        <f>IF($E616="","",INDEX(Рецепты!$K$6:$K$85,MATCH(Меню!$D$30,Рецепты!$H$6:$H$85,0)+10))</f>
        <v/>
      </c>
      <c r="G616" s="3" t="str">
        <f>IF($E616="","",INDEX(Рецепты!$M$6:$M$85,MATCH(Меню!$D$30,Рецепты!$H$6:$H$85,0)+10))</f>
        <v/>
      </c>
      <c r="H616" s="12">
        <f>IFERROR(IF(IFERROR(INDEX(Рецепты!$H$6:$H$85,MATCH(Меню!$D$30,Рецепты!$H$6:$H$85,0)+10)=Меню!$D$30,FALSE),INDEX(Рецепты!$L$6:$L$85,MATCH(Меню!$D$30,Рецепты!$H$6:$H$85,0)+10),0),0)</f>
        <v>0</v>
      </c>
      <c r="I616" s="12" t="str">
        <f>IF($F616="","",Меню!$E$30)</f>
        <v/>
      </c>
      <c r="J616" s="12">
        <f t="shared" si="9"/>
        <v>0</v>
      </c>
      <c r="K616" s="12">
        <f>IFERROR($J616/100*INDEX(Продукты!$G$6:$G$66,MATCH($E616,Продукты!$A$6:$A$66,0)),0)</f>
        <v>0</v>
      </c>
      <c r="L616" s="12">
        <f>IFERROR($J616/100*INDEX(Продукты!$H$6:$H$66,MATCH($E616,Продукты!$A$6:$A$66,0)),0)</f>
        <v>0</v>
      </c>
      <c r="M616" s="12">
        <f>IFERROR($J616/100*INDEX(Продукты!$I$6:$I$66,MATCH($E616,Продукты!$A$6:$A$66,0)),0)</f>
        <v>0</v>
      </c>
      <c r="N616" s="12">
        <f>IFERROR($J616/100*INDEX(Продукты!$J$6:$J$66,MATCH($E616,Продукты!$A$6:$A$66,0)),0)</f>
        <v>0</v>
      </c>
      <c r="O616" s="3" t="str">
        <f>IFERROR(IF(IFERROR(INDEX(Рецепты!$H$6:$H$85,MATCH(Меню!$D$30,Рецепты!$H$6:$H$85,0)+10)=Меню!$D$30,FALSE),INDEX(Рецепты!$N$6:$N$85,MATCH(Меню!$D$30,Рецепты!$H$6:$H$85,0)+10),""),"")</f>
        <v/>
      </c>
    </row>
    <row r="617" spans="1:15">
      <c r="A617" s="3" t="str">
        <f>IF($E617="","",Меню!$A$30)</f>
        <v/>
      </c>
      <c r="B617" s="3" t="str">
        <f>IF($E617="","",Меню!$B$30)</f>
        <v/>
      </c>
      <c r="C617" s="3" t="str">
        <f>IF($E617="","",Меню!$C$30)</f>
        <v/>
      </c>
      <c r="D617" s="3" t="str">
        <f>IF($E617="","",Меню!$D$30)</f>
        <v/>
      </c>
      <c r="E617" s="3" t="str">
        <f>IFERROR(IF(IFERROR(INDEX(Рецепты!$H$6:$H$85,MATCH(Меню!$D$30,Рецепты!$H$6:$H$85,0)+11)=Меню!$D$30,FALSE),INDEX(Рецепты!$J$6:$J$85,MATCH(Меню!$D$30,Рецепты!$H$6:$H$85,0)+11),""),"")</f>
        <v/>
      </c>
      <c r="F617" s="3" t="str">
        <f>IF($E617="","",INDEX(Рецепты!$K$6:$K$85,MATCH(Меню!$D$30,Рецепты!$H$6:$H$85,0)+11))</f>
        <v/>
      </c>
      <c r="G617" s="3" t="str">
        <f>IF($E617="","",INDEX(Рецепты!$M$6:$M$85,MATCH(Меню!$D$30,Рецепты!$H$6:$H$85,0)+11))</f>
        <v/>
      </c>
      <c r="H617" s="12">
        <f>IFERROR(IF(IFERROR(INDEX(Рецепты!$H$6:$H$85,MATCH(Меню!$D$30,Рецепты!$H$6:$H$85,0)+11)=Меню!$D$30,FALSE),INDEX(Рецепты!$L$6:$L$85,MATCH(Меню!$D$30,Рецепты!$H$6:$H$85,0)+11),0),0)</f>
        <v>0</v>
      </c>
      <c r="I617" s="12" t="str">
        <f>IF($F617="","",Меню!$E$30)</f>
        <v/>
      </c>
      <c r="J617" s="12">
        <f t="shared" si="9"/>
        <v>0</v>
      </c>
      <c r="K617" s="12">
        <f>IFERROR($J617/100*INDEX(Продукты!$G$6:$G$66,MATCH($E617,Продукты!$A$6:$A$66,0)),0)</f>
        <v>0</v>
      </c>
      <c r="L617" s="12">
        <f>IFERROR($J617/100*INDEX(Продукты!$H$6:$H$66,MATCH($E617,Продукты!$A$6:$A$66,0)),0)</f>
        <v>0</v>
      </c>
      <c r="M617" s="12">
        <f>IFERROR($J617/100*INDEX(Продукты!$I$6:$I$66,MATCH($E617,Продукты!$A$6:$A$66,0)),0)</f>
        <v>0</v>
      </c>
      <c r="N617" s="12">
        <f>IFERROR($J617/100*INDEX(Продукты!$J$6:$J$66,MATCH($E617,Продукты!$A$6:$A$66,0)),0)</f>
        <v>0</v>
      </c>
      <c r="O617" s="3" t="str">
        <f>IFERROR(IF(IFERROR(INDEX(Рецепты!$H$6:$H$85,MATCH(Меню!$D$30,Рецепты!$H$6:$H$85,0)+11)=Меню!$D$30,FALSE),INDEX(Рецепты!$N$6:$N$85,MATCH(Меню!$D$30,Рецепты!$H$6:$H$85,0)+11),""),"")</f>
        <v/>
      </c>
    </row>
    <row r="618" spans="1:15">
      <c r="A618" s="3" t="str">
        <f>IF($E618="","",Меню!$A$30)</f>
        <v/>
      </c>
      <c r="B618" s="3" t="str">
        <f>IF($E618="","",Меню!$B$30)</f>
        <v/>
      </c>
      <c r="C618" s="3" t="str">
        <f>IF($E618="","",Меню!$C$30)</f>
        <v/>
      </c>
      <c r="D618" s="3" t="str">
        <f>IF($E618="","",Меню!$D$30)</f>
        <v/>
      </c>
      <c r="E618" s="3" t="str">
        <f>IFERROR(IF(IFERROR(INDEX(Рецепты!$H$6:$H$85,MATCH(Меню!$D$30,Рецепты!$H$6:$H$85,0)+12)=Меню!$D$30,FALSE),INDEX(Рецепты!$J$6:$J$85,MATCH(Меню!$D$30,Рецепты!$H$6:$H$85,0)+12),""),"")</f>
        <v/>
      </c>
      <c r="F618" s="3" t="str">
        <f>IF($E618="","",INDEX(Рецепты!$K$6:$K$85,MATCH(Меню!$D$30,Рецепты!$H$6:$H$85,0)+12))</f>
        <v/>
      </c>
      <c r="G618" s="3" t="str">
        <f>IF($E618="","",INDEX(Рецепты!$M$6:$M$85,MATCH(Меню!$D$30,Рецепты!$H$6:$H$85,0)+12))</f>
        <v/>
      </c>
      <c r="H618" s="12">
        <f>IFERROR(IF(IFERROR(INDEX(Рецепты!$H$6:$H$85,MATCH(Меню!$D$30,Рецепты!$H$6:$H$85,0)+12)=Меню!$D$30,FALSE),INDEX(Рецепты!$L$6:$L$85,MATCH(Меню!$D$30,Рецепты!$H$6:$H$85,0)+12),0),0)</f>
        <v>0</v>
      </c>
      <c r="I618" s="12" t="str">
        <f>IF($F618="","",Меню!$E$30)</f>
        <v/>
      </c>
      <c r="J618" s="12">
        <f t="shared" si="9"/>
        <v>0</v>
      </c>
      <c r="K618" s="12">
        <f>IFERROR($J618/100*INDEX(Продукты!$G$6:$G$66,MATCH($E618,Продукты!$A$6:$A$66,0)),0)</f>
        <v>0</v>
      </c>
      <c r="L618" s="12">
        <f>IFERROR($J618/100*INDEX(Продукты!$H$6:$H$66,MATCH($E618,Продукты!$A$6:$A$66,0)),0)</f>
        <v>0</v>
      </c>
      <c r="M618" s="12">
        <f>IFERROR($J618/100*INDEX(Продукты!$I$6:$I$66,MATCH($E618,Продукты!$A$6:$A$66,0)),0)</f>
        <v>0</v>
      </c>
      <c r="N618" s="12">
        <f>IFERROR($J618/100*INDEX(Продукты!$J$6:$J$66,MATCH($E618,Продукты!$A$6:$A$66,0)),0)</f>
        <v>0</v>
      </c>
      <c r="O618" s="3" t="str">
        <f>IFERROR(IF(IFERROR(INDEX(Рецепты!$H$6:$H$85,MATCH(Меню!$D$30,Рецепты!$H$6:$H$85,0)+12)=Меню!$D$30,FALSE),INDEX(Рецепты!$N$6:$N$85,MATCH(Меню!$D$30,Рецепты!$H$6:$H$85,0)+12),""),"")</f>
        <v/>
      </c>
    </row>
    <row r="619" spans="1:15">
      <c r="A619" s="3" t="str">
        <f>IF($E619="","",Меню!$A$30)</f>
        <v/>
      </c>
      <c r="B619" s="3" t="str">
        <f>IF($E619="","",Меню!$B$30)</f>
        <v/>
      </c>
      <c r="C619" s="3" t="str">
        <f>IF($E619="","",Меню!$C$30)</f>
        <v/>
      </c>
      <c r="D619" s="3" t="str">
        <f>IF($E619="","",Меню!$D$30)</f>
        <v/>
      </c>
      <c r="E619" s="3" t="str">
        <f>IFERROR(IF(IFERROR(INDEX(Рецепты!$H$6:$H$85,MATCH(Меню!$D$30,Рецепты!$H$6:$H$85,0)+13)=Меню!$D$30,FALSE),INDEX(Рецепты!$J$6:$J$85,MATCH(Меню!$D$30,Рецепты!$H$6:$H$85,0)+13),""),"")</f>
        <v/>
      </c>
      <c r="F619" s="3" t="str">
        <f>IF($E619="","",INDEX(Рецепты!$K$6:$K$85,MATCH(Меню!$D$30,Рецепты!$H$6:$H$85,0)+13))</f>
        <v/>
      </c>
      <c r="G619" s="3" t="str">
        <f>IF($E619="","",INDEX(Рецепты!$M$6:$M$85,MATCH(Меню!$D$30,Рецепты!$H$6:$H$85,0)+13))</f>
        <v/>
      </c>
      <c r="H619" s="12">
        <f>IFERROR(IF(IFERROR(INDEX(Рецепты!$H$6:$H$85,MATCH(Меню!$D$30,Рецепты!$H$6:$H$85,0)+13)=Меню!$D$30,FALSE),INDEX(Рецепты!$L$6:$L$85,MATCH(Меню!$D$30,Рецепты!$H$6:$H$85,0)+13),0),0)</f>
        <v>0</v>
      </c>
      <c r="I619" s="12" t="str">
        <f>IF($F619="","",Меню!$E$30)</f>
        <v/>
      </c>
      <c r="J619" s="12">
        <f t="shared" si="9"/>
        <v>0</v>
      </c>
      <c r="K619" s="12">
        <f>IFERROR($J619/100*INDEX(Продукты!$G$6:$G$66,MATCH($E619,Продукты!$A$6:$A$66,0)),0)</f>
        <v>0</v>
      </c>
      <c r="L619" s="12">
        <f>IFERROR($J619/100*INDEX(Продукты!$H$6:$H$66,MATCH($E619,Продукты!$A$6:$A$66,0)),0)</f>
        <v>0</v>
      </c>
      <c r="M619" s="12">
        <f>IFERROR($J619/100*INDEX(Продукты!$I$6:$I$66,MATCH($E619,Продукты!$A$6:$A$66,0)),0)</f>
        <v>0</v>
      </c>
      <c r="N619" s="12">
        <f>IFERROR($J619/100*INDEX(Продукты!$J$6:$J$66,MATCH($E619,Продукты!$A$6:$A$66,0)),0)</f>
        <v>0</v>
      </c>
      <c r="O619" s="3" t="str">
        <f>IFERROR(IF(IFERROR(INDEX(Рецепты!$H$6:$H$85,MATCH(Меню!$D$30,Рецепты!$H$6:$H$85,0)+13)=Меню!$D$30,FALSE),INDEX(Рецепты!$N$6:$N$85,MATCH(Меню!$D$30,Рецепты!$H$6:$H$85,0)+13),""),"")</f>
        <v/>
      </c>
    </row>
    <row r="620" spans="1:15">
      <c r="A620" s="3" t="str">
        <f>IF($E620="","",Меню!$A$30)</f>
        <v/>
      </c>
      <c r="B620" s="3" t="str">
        <f>IF($E620="","",Меню!$B$30)</f>
        <v/>
      </c>
      <c r="C620" s="3" t="str">
        <f>IF($E620="","",Меню!$C$30)</f>
        <v/>
      </c>
      <c r="D620" s="3" t="str">
        <f>IF($E620="","",Меню!$D$30)</f>
        <v/>
      </c>
      <c r="E620" s="3" t="str">
        <f>IFERROR(IF(IFERROR(INDEX(Рецепты!$H$6:$H$85,MATCH(Меню!$D$30,Рецепты!$H$6:$H$85,0)+14)=Меню!$D$30,FALSE),INDEX(Рецепты!$J$6:$J$85,MATCH(Меню!$D$30,Рецепты!$H$6:$H$85,0)+14),""),"")</f>
        <v/>
      </c>
      <c r="F620" s="3" t="str">
        <f>IF($E620="","",INDEX(Рецепты!$K$6:$K$85,MATCH(Меню!$D$30,Рецепты!$H$6:$H$85,0)+14))</f>
        <v/>
      </c>
      <c r="G620" s="3" t="str">
        <f>IF($E620="","",INDEX(Рецепты!$M$6:$M$85,MATCH(Меню!$D$30,Рецепты!$H$6:$H$85,0)+14))</f>
        <v/>
      </c>
      <c r="H620" s="12">
        <f>IFERROR(IF(IFERROR(INDEX(Рецепты!$H$6:$H$85,MATCH(Меню!$D$30,Рецепты!$H$6:$H$85,0)+14)=Меню!$D$30,FALSE),INDEX(Рецепты!$L$6:$L$85,MATCH(Меню!$D$30,Рецепты!$H$6:$H$85,0)+14),0),0)</f>
        <v>0</v>
      </c>
      <c r="I620" s="12" t="str">
        <f>IF($F620="","",Меню!$E$30)</f>
        <v/>
      </c>
      <c r="J620" s="12">
        <f t="shared" si="9"/>
        <v>0</v>
      </c>
      <c r="K620" s="12">
        <f>IFERROR($J620/100*INDEX(Продукты!$G$6:$G$66,MATCH($E620,Продукты!$A$6:$A$66,0)),0)</f>
        <v>0</v>
      </c>
      <c r="L620" s="12">
        <f>IFERROR($J620/100*INDEX(Продукты!$H$6:$H$66,MATCH($E620,Продукты!$A$6:$A$66,0)),0)</f>
        <v>0</v>
      </c>
      <c r="M620" s="12">
        <f>IFERROR($J620/100*INDEX(Продукты!$I$6:$I$66,MATCH($E620,Продукты!$A$6:$A$66,0)),0)</f>
        <v>0</v>
      </c>
      <c r="N620" s="12">
        <f>IFERROR($J620/100*INDEX(Продукты!$J$6:$J$66,MATCH($E620,Продукты!$A$6:$A$66,0)),0)</f>
        <v>0</v>
      </c>
      <c r="O620" s="3" t="str">
        <f>IFERROR(IF(IFERROR(INDEX(Рецепты!$H$6:$H$85,MATCH(Меню!$D$30,Рецепты!$H$6:$H$85,0)+14)=Меню!$D$30,FALSE),INDEX(Рецепты!$N$6:$N$85,MATCH(Меню!$D$30,Рецепты!$H$6:$H$85,0)+14),""),"")</f>
        <v/>
      </c>
    </row>
    <row r="621" spans="1:15">
      <c r="A621" s="3" t="str">
        <f>IF($E621="","",Меню!$A$30)</f>
        <v/>
      </c>
      <c r="B621" s="3" t="str">
        <f>IF($E621="","",Меню!$B$30)</f>
        <v/>
      </c>
      <c r="C621" s="3" t="str">
        <f>IF($E621="","",Меню!$C$30)</f>
        <v/>
      </c>
      <c r="D621" s="3" t="str">
        <f>IF($E621="","",Меню!$D$30)</f>
        <v/>
      </c>
      <c r="E621" s="3" t="str">
        <f>IFERROR(IF(IFERROR(INDEX(Рецепты!$H$6:$H$85,MATCH(Меню!$D$30,Рецепты!$H$6:$H$85,0)+15)=Меню!$D$30,FALSE),INDEX(Рецепты!$J$6:$J$85,MATCH(Меню!$D$30,Рецепты!$H$6:$H$85,0)+15),""),"")</f>
        <v/>
      </c>
      <c r="F621" s="3" t="str">
        <f>IF($E621="","",INDEX(Рецепты!$K$6:$K$85,MATCH(Меню!$D$30,Рецепты!$H$6:$H$85,0)+15))</f>
        <v/>
      </c>
      <c r="G621" s="3" t="str">
        <f>IF($E621="","",INDEX(Рецепты!$M$6:$M$85,MATCH(Меню!$D$30,Рецепты!$H$6:$H$85,0)+15))</f>
        <v/>
      </c>
      <c r="H621" s="12">
        <f>IFERROR(IF(IFERROR(INDEX(Рецепты!$H$6:$H$85,MATCH(Меню!$D$30,Рецепты!$H$6:$H$85,0)+15)=Меню!$D$30,FALSE),INDEX(Рецепты!$L$6:$L$85,MATCH(Меню!$D$30,Рецепты!$H$6:$H$85,0)+15),0),0)</f>
        <v>0</v>
      </c>
      <c r="I621" s="12" t="str">
        <f>IF($F621="","",Меню!$E$30)</f>
        <v/>
      </c>
      <c r="J621" s="12">
        <f t="shared" si="9"/>
        <v>0</v>
      </c>
      <c r="K621" s="12">
        <f>IFERROR($J621/100*INDEX(Продукты!$G$6:$G$66,MATCH($E621,Продукты!$A$6:$A$66,0)),0)</f>
        <v>0</v>
      </c>
      <c r="L621" s="12">
        <f>IFERROR($J621/100*INDEX(Продукты!$H$6:$H$66,MATCH($E621,Продукты!$A$6:$A$66,0)),0)</f>
        <v>0</v>
      </c>
      <c r="M621" s="12">
        <f>IFERROR($J621/100*INDEX(Продукты!$I$6:$I$66,MATCH($E621,Продукты!$A$6:$A$66,0)),0)</f>
        <v>0</v>
      </c>
      <c r="N621" s="12">
        <f>IFERROR($J621/100*INDEX(Продукты!$J$6:$J$66,MATCH($E621,Продукты!$A$6:$A$66,0)),0)</f>
        <v>0</v>
      </c>
      <c r="O621" s="3" t="str">
        <f>IFERROR(IF(IFERROR(INDEX(Рецепты!$H$6:$H$85,MATCH(Меню!$D$30,Рецепты!$H$6:$H$85,0)+15)=Меню!$D$30,FALSE),INDEX(Рецепты!$N$6:$N$85,MATCH(Меню!$D$30,Рецепты!$H$6:$H$85,0)+15),""),"")</f>
        <v/>
      </c>
    </row>
    <row r="622" spans="1:15">
      <c r="A622" s="3" t="str">
        <f>IF($E622="","",Меню!$A$30)</f>
        <v/>
      </c>
      <c r="B622" s="3" t="str">
        <f>IF($E622="","",Меню!$B$30)</f>
        <v/>
      </c>
      <c r="C622" s="3" t="str">
        <f>IF($E622="","",Меню!$C$30)</f>
        <v/>
      </c>
      <c r="D622" s="3" t="str">
        <f>IF($E622="","",Меню!$D$30)</f>
        <v/>
      </c>
      <c r="E622" s="3" t="str">
        <f>IFERROR(IF(IFERROR(INDEX(Рецепты!$H$6:$H$85,MATCH(Меню!$D$30,Рецепты!$H$6:$H$85,0)+16)=Меню!$D$30,FALSE),INDEX(Рецепты!$J$6:$J$85,MATCH(Меню!$D$30,Рецепты!$H$6:$H$85,0)+16),""),"")</f>
        <v/>
      </c>
      <c r="F622" s="3" t="str">
        <f>IF($E622="","",INDEX(Рецепты!$K$6:$K$85,MATCH(Меню!$D$30,Рецепты!$H$6:$H$85,0)+16))</f>
        <v/>
      </c>
      <c r="G622" s="3" t="str">
        <f>IF($E622="","",INDEX(Рецепты!$M$6:$M$85,MATCH(Меню!$D$30,Рецепты!$H$6:$H$85,0)+16))</f>
        <v/>
      </c>
      <c r="H622" s="12">
        <f>IFERROR(IF(IFERROR(INDEX(Рецепты!$H$6:$H$85,MATCH(Меню!$D$30,Рецепты!$H$6:$H$85,0)+16)=Меню!$D$30,FALSE),INDEX(Рецепты!$L$6:$L$85,MATCH(Меню!$D$30,Рецепты!$H$6:$H$85,0)+16),0),0)</f>
        <v>0</v>
      </c>
      <c r="I622" s="12" t="str">
        <f>IF($F622="","",Меню!$E$30)</f>
        <v/>
      </c>
      <c r="J622" s="12">
        <f t="shared" si="9"/>
        <v>0</v>
      </c>
      <c r="K622" s="12">
        <f>IFERROR($J622/100*INDEX(Продукты!$G$6:$G$66,MATCH($E622,Продукты!$A$6:$A$66,0)),0)</f>
        <v>0</v>
      </c>
      <c r="L622" s="12">
        <f>IFERROR($J622/100*INDEX(Продукты!$H$6:$H$66,MATCH($E622,Продукты!$A$6:$A$66,0)),0)</f>
        <v>0</v>
      </c>
      <c r="M622" s="12">
        <f>IFERROR($J622/100*INDEX(Продукты!$I$6:$I$66,MATCH($E622,Продукты!$A$6:$A$66,0)),0)</f>
        <v>0</v>
      </c>
      <c r="N622" s="12">
        <f>IFERROR($J622/100*INDEX(Продукты!$J$6:$J$66,MATCH($E622,Продукты!$A$6:$A$66,0)),0)</f>
        <v>0</v>
      </c>
      <c r="O622" s="3" t="str">
        <f>IFERROR(IF(IFERROR(INDEX(Рецепты!$H$6:$H$85,MATCH(Меню!$D$30,Рецепты!$H$6:$H$85,0)+16)=Меню!$D$30,FALSE),INDEX(Рецепты!$N$6:$N$85,MATCH(Меню!$D$30,Рецепты!$H$6:$H$85,0)+16),""),"")</f>
        <v/>
      </c>
    </row>
    <row r="623" spans="1:15">
      <c r="A623" s="3" t="str">
        <f>IF($E623="","",Меню!$A$30)</f>
        <v/>
      </c>
      <c r="B623" s="3" t="str">
        <f>IF($E623="","",Меню!$B$30)</f>
        <v/>
      </c>
      <c r="C623" s="3" t="str">
        <f>IF($E623="","",Меню!$C$30)</f>
        <v/>
      </c>
      <c r="D623" s="3" t="str">
        <f>IF($E623="","",Меню!$D$30)</f>
        <v/>
      </c>
      <c r="E623" s="3" t="str">
        <f>IFERROR(IF(IFERROR(INDEX(Рецепты!$H$6:$H$85,MATCH(Меню!$D$30,Рецепты!$H$6:$H$85,0)+17)=Меню!$D$30,FALSE),INDEX(Рецепты!$J$6:$J$85,MATCH(Меню!$D$30,Рецепты!$H$6:$H$85,0)+17),""),"")</f>
        <v/>
      </c>
      <c r="F623" s="3" t="str">
        <f>IF($E623="","",INDEX(Рецепты!$K$6:$K$85,MATCH(Меню!$D$30,Рецепты!$H$6:$H$85,0)+17))</f>
        <v/>
      </c>
      <c r="G623" s="3" t="str">
        <f>IF($E623="","",INDEX(Рецепты!$M$6:$M$85,MATCH(Меню!$D$30,Рецепты!$H$6:$H$85,0)+17))</f>
        <v/>
      </c>
      <c r="H623" s="12">
        <f>IFERROR(IF(IFERROR(INDEX(Рецепты!$H$6:$H$85,MATCH(Меню!$D$30,Рецепты!$H$6:$H$85,0)+17)=Меню!$D$30,FALSE),INDEX(Рецепты!$L$6:$L$85,MATCH(Меню!$D$30,Рецепты!$H$6:$H$85,0)+17),0),0)</f>
        <v>0</v>
      </c>
      <c r="I623" s="12" t="str">
        <f>IF($F623="","",Меню!$E$30)</f>
        <v/>
      </c>
      <c r="J623" s="12">
        <f t="shared" si="9"/>
        <v>0</v>
      </c>
      <c r="K623" s="12">
        <f>IFERROR($J623/100*INDEX(Продукты!$G$6:$G$66,MATCH($E623,Продукты!$A$6:$A$66,0)),0)</f>
        <v>0</v>
      </c>
      <c r="L623" s="12">
        <f>IFERROR($J623/100*INDEX(Продукты!$H$6:$H$66,MATCH($E623,Продукты!$A$6:$A$66,0)),0)</f>
        <v>0</v>
      </c>
      <c r="M623" s="12">
        <f>IFERROR($J623/100*INDEX(Продукты!$I$6:$I$66,MATCH($E623,Продукты!$A$6:$A$66,0)),0)</f>
        <v>0</v>
      </c>
      <c r="N623" s="12">
        <f>IFERROR($J623/100*INDEX(Продукты!$J$6:$J$66,MATCH($E623,Продукты!$A$6:$A$66,0)),0)</f>
        <v>0</v>
      </c>
      <c r="O623" s="3" t="str">
        <f>IFERROR(IF(IFERROR(INDEX(Рецепты!$H$6:$H$85,MATCH(Меню!$D$30,Рецепты!$H$6:$H$85,0)+17)=Меню!$D$30,FALSE),INDEX(Рецепты!$N$6:$N$85,MATCH(Меню!$D$30,Рецепты!$H$6:$H$85,0)+17),""),"")</f>
        <v/>
      </c>
    </row>
    <row r="624" spans="1:15">
      <c r="A624" s="3" t="str">
        <f>IF($E624="","",Меню!$A$30)</f>
        <v/>
      </c>
      <c r="B624" s="3" t="str">
        <f>IF($E624="","",Меню!$B$30)</f>
        <v/>
      </c>
      <c r="C624" s="3" t="str">
        <f>IF($E624="","",Меню!$C$30)</f>
        <v/>
      </c>
      <c r="D624" s="3" t="str">
        <f>IF($E624="","",Меню!$D$30)</f>
        <v/>
      </c>
      <c r="E624" s="3" t="str">
        <f>IFERROR(IF(IFERROR(INDEX(Рецепты!$H$6:$H$85,MATCH(Меню!$D$30,Рецепты!$H$6:$H$85,0)+18)=Меню!$D$30,FALSE),INDEX(Рецепты!$J$6:$J$85,MATCH(Меню!$D$30,Рецепты!$H$6:$H$85,0)+18),""),"")</f>
        <v/>
      </c>
      <c r="F624" s="3" t="str">
        <f>IF($E624="","",INDEX(Рецепты!$K$6:$K$85,MATCH(Меню!$D$30,Рецепты!$H$6:$H$85,0)+18))</f>
        <v/>
      </c>
      <c r="G624" s="3" t="str">
        <f>IF($E624="","",INDEX(Рецепты!$M$6:$M$85,MATCH(Меню!$D$30,Рецепты!$H$6:$H$85,0)+18))</f>
        <v/>
      </c>
      <c r="H624" s="12">
        <f>IFERROR(IF(IFERROR(INDEX(Рецепты!$H$6:$H$85,MATCH(Меню!$D$30,Рецепты!$H$6:$H$85,0)+18)=Меню!$D$30,FALSE),INDEX(Рецепты!$L$6:$L$85,MATCH(Меню!$D$30,Рецепты!$H$6:$H$85,0)+18),0),0)</f>
        <v>0</v>
      </c>
      <c r="I624" s="12" t="str">
        <f>IF($F624="","",Меню!$E$30)</f>
        <v/>
      </c>
      <c r="J624" s="12">
        <f t="shared" si="9"/>
        <v>0</v>
      </c>
      <c r="K624" s="12">
        <f>IFERROR($J624/100*INDEX(Продукты!$G$6:$G$66,MATCH($E624,Продукты!$A$6:$A$66,0)),0)</f>
        <v>0</v>
      </c>
      <c r="L624" s="12">
        <f>IFERROR($J624/100*INDEX(Продукты!$H$6:$H$66,MATCH($E624,Продукты!$A$6:$A$66,0)),0)</f>
        <v>0</v>
      </c>
      <c r="M624" s="12">
        <f>IFERROR($J624/100*INDEX(Продукты!$I$6:$I$66,MATCH($E624,Продукты!$A$6:$A$66,0)),0)</f>
        <v>0</v>
      </c>
      <c r="N624" s="12">
        <f>IFERROR($J624/100*INDEX(Продукты!$J$6:$J$66,MATCH($E624,Продукты!$A$6:$A$66,0)),0)</f>
        <v>0</v>
      </c>
      <c r="O624" s="3" t="str">
        <f>IFERROR(IF(IFERROR(INDEX(Рецепты!$H$6:$H$85,MATCH(Меню!$D$30,Рецепты!$H$6:$H$85,0)+18)=Меню!$D$30,FALSE),INDEX(Рецепты!$N$6:$N$85,MATCH(Меню!$D$30,Рецепты!$H$6:$H$85,0)+18),""),"")</f>
        <v/>
      </c>
    </row>
    <row r="625" spans="1:15">
      <c r="A625" s="3" t="str">
        <f>IF($E625="","",Меню!$A$30)</f>
        <v/>
      </c>
      <c r="B625" s="3" t="str">
        <f>IF($E625="","",Меню!$B$30)</f>
        <v/>
      </c>
      <c r="C625" s="3" t="str">
        <f>IF($E625="","",Меню!$C$30)</f>
        <v/>
      </c>
      <c r="D625" s="3" t="str">
        <f>IF($E625="","",Меню!$D$30)</f>
        <v/>
      </c>
      <c r="E625" s="3" t="str">
        <f>IFERROR(IF(IFERROR(INDEX(Рецепты!$H$6:$H$85,MATCH(Меню!$D$30,Рецепты!$H$6:$H$85,0)+19)=Меню!$D$30,FALSE),INDEX(Рецепты!$J$6:$J$85,MATCH(Меню!$D$30,Рецепты!$H$6:$H$85,0)+19),""),"")</f>
        <v/>
      </c>
      <c r="F625" s="3" t="str">
        <f>IF($E625="","",INDEX(Рецепты!$K$6:$K$85,MATCH(Меню!$D$30,Рецепты!$H$6:$H$85,0)+19))</f>
        <v/>
      </c>
      <c r="G625" s="3" t="str">
        <f>IF($E625="","",INDEX(Рецепты!$M$6:$M$85,MATCH(Меню!$D$30,Рецепты!$H$6:$H$85,0)+19))</f>
        <v/>
      </c>
      <c r="H625" s="12">
        <f>IFERROR(IF(IFERROR(INDEX(Рецепты!$H$6:$H$85,MATCH(Меню!$D$30,Рецепты!$H$6:$H$85,0)+19)=Меню!$D$30,FALSE),INDEX(Рецепты!$L$6:$L$85,MATCH(Меню!$D$30,Рецепты!$H$6:$H$85,0)+19),0),0)</f>
        <v>0</v>
      </c>
      <c r="I625" s="12" t="str">
        <f>IF($F625="","",Меню!$E$30)</f>
        <v/>
      </c>
      <c r="J625" s="12">
        <f t="shared" si="9"/>
        <v>0</v>
      </c>
      <c r="K625" s="12">
        <f>IFERROR($J625/100*INDEX(Продукты!$G$6:$G$66,MATCH($E625,Продукты!$A$6:$A$66,0)),0)</f>
        <v>0</v>
      </c>
      <c r="L625" s="12">
        <f>IFERROR($J625/100*INDEX(Продукты!$H$6:$H$66,MATCH($E625,Продукты!$A$6:$A$66,0)),0)</f>
        <v>0</v>
      </c>
      <c r="M625" s="12">
        <f>IFERROR($J625/100*INDEX(Продукты!$I$6:$I$66,MATCH($E625,Продукты!$A$6:$A$66,0)),0)</f>
        <v>0</v>
      </c>
      <c r="N625" s="12">
        <f>IFERROR($J625/100*INDEX(Продукты!$J$6:$J$66,MATCH($E625,Продукты!$A$6:$A$66,0)),0)</f>
        <v>0</v>
      </c>
      <c r="O625" s="3" t="str">
        <f>IFERROR(IF(IFERROR(INDEX(Рецепты!$H$6:$H$85,MATCH(Меню!$D$30,Рецепты!$H$6:$H$85,0)+19)=Меню!$D$30,FALSE),INDEX(Рецепты!$N$6:$N$85,MATCH(Меню!$D$30,Рецепты!$H$6:$H$85,0)+19),""),"")</f>
        <v/>
      </c>
    </row>
    <row r="626" spans="1:15">
      <c r="A626" s="3" t="str">
        <f>IF($E626="","",Меню!$A$30)</f>
        <v/>
      </c>
      <c r="B626" s="3" t="str">
        <f>IF($E626="","",Меню!$B$30)</f>
        <v/>
      </c>
      <c r="C626" s="3" t="str">
        <f>IF($E626="","",Меню!$C$30)</f>
        <v/>
      </c>
      <c r="D626" s="3" t="str">
        <f>IF($E626="","",Меню!$D$30)</f>
        <v/>
      </c>
      <c r="E626" s="3" t="str">
        <f>IFERROR(IF(IFERROR(INDEX(Рецепты!$H$6:$H$85,MATCH(Меню!$D$30,Рецепты!$H$6:$H$85,0)+20)=Меню!$D$30,FALSE),INDEX(Рецепты!$J$6:$J$85,MATCH(Меню!$D$30,Рецепты!$H$6:$H$85,0)+20),""),"")</f>
        <v/>
      </c>
      <c r="F626" s="3" t="str">
        <f>IF($E626="","",INDEX(Рецепты!$K$6:$K$85,MATCH(Меню!$D$30,Рецепты!$H$6:$H$85,0)+20))</f>
        <v/>
      </c>
      <c r="G626" s="3" t="str">
        <f>IF($E626="","",INDEX(Рецепты!$M$6:$M$85,MATCH(Меню!$D$30,Рецепты!$H$6:$H$85,0)+20))</f>
        <v/>
      </c>
      <c r="H626" s="12">
        <f>IFERROR(IF(IFERROR(INDEX(Рецепты!$H$6:$H$85,MATCH(Меню!$D$30,Рецепты!$H$6:$H$85,0)+20)=Меню!$D$30,FALSE),INDEX(Рецепты!$L$6:$L$85,MATCH(Меню!$D$30,Рецепты!$H$6:$H$85,0)+20),0),0)</f>
        <v>0</v>
      </c>
      <c r="I626" s="12" t="str">
        <f>IF($F626="","",Меню!$E$30)</f>
        <v/>
      </c>
      <c r="J626" s="12">
        <f t="shared" si="9"/>
        <v>0</v>
      </c>
      <c r="K626" s="12">
        <f>IFERROR($J626/100*INDEX(Продукты!$G$6:$G$66,MATCH($E626,Продукты!$A$6:$A$66,0)),0)</f>
        <v>0</v>
      </c>
      <c r="L626" s="12">
        <f>IFERROR($J626/100*INDEX(Продукты!$H$6:$H$66,MATCH($E626,Продукты!$A$6:$A$66,0)),0)</f>
        <v>0</v>
      </c>
      <c r="M626" s="12">
        <f>IFERROR($J626/100*INDEX(Продукты!$I$6:$I$66,MATCH($E626,Продукты!$A$6:$A$66,0)),0)</f>
        <v>0</v>
      </c>
      <c r="N626" s="12">
        <f>IFERROR($J626/100*INDEX(Продукты!$J$6:$J$66,MATCH($E626,Продукты!$A$6:$A$66,0)),0)</f>
        <v>0</v>
      </c>
      <c r="O626" s="3" t="str">
        <f>IFERROR(IF(IFERROR(INDEX(Рецепты!$H$6:$H$85,MATCH(Меню!$D$30,Рецепты!$H$6:$H$85,0)+20)=Меню!$D$30,FALSE),INDEX(Рецепты!$N$6:$N$85,MATCH(Меню!$D$30,Рецепты!$H$6:$H$85,0)+20),""),"")</f>
        <v/>
      </c>
    </row>
    <row r="627" spans="1:15">
      <c r="A627" s="3" t="str">
        <f>IF($E627="","",Меню!$A$30)</f>
        <v/>
      </c>
      <c r="B627" s="3" t="str">
        <f>IF($E627="","",Меню!$B$30)</f>
        <v/>
      </c>
      <c r="C627" s="3" t="str">
        <f>IF($E627="","",Меню!$C$30)</f>
        <v/>
      </c>
      <c r="D627" s="3" t="str">
        <f>IF($E627="","",Меню!$D$30)</f>
        <v/>
      </c>
      <c r="E627" s="3" t="str">
        <f>IFERROR(IF(IFERROR(INDEX(Рецепты!$H$6:$H$85,MATCH(Меню!$D$30,Рецепты!$H$6:$H$85,0)+21)=Меню!$D$30,FALSE),INDEX(Рецепты!$J$6:$J$85,MATCH(Меню!$D$30,Рецепты!$H$6:$H$85,0)+21),""),"")</f>
        <v/>
      </c>
      <c r="F627" s="3" t="str">
        <f>IF($E627="","",INDEX(Рецепты!$K$6:$K$85,MATCH(Меню!$D$30,Рецепты!$H$6:$H$85,0)+21))</f>
        <v/>
      </c>
      <c r="G627" s="3" t="str">
        <f>IF($E627="","",INDEX(Рецепты!$M$6:$M$85,MATCH(Меню!$D$30,Рецепты!$H$6:$H$85,0)+21))</f>
        <v/>
      </c>
      <c r="H627" s="12">
        <f>IFERROR(IF(IFERROR(INDEX(Рецепты!$H$6:$H$85,MATCH(Меню!$D$30,Рецепты!$H$6:$H$85,0)+21)=Меню!$D$30,FALSE),INDEX(Рецепты!$L$6:$L$85,MATCH(Меню!$D$30,Рецепты!$H$6:$H$85,0)+21),0),0)</f>
        <v>0</v>
      </c>
      <c r="I627" s="12" t="str">
        <f>IF($F627="","",Меню!$E$30)</f>
        <v/>
      </c>
      <c r="J627" s="12">
        <f t="shared" si="9"/>
        <v>0</v>
      </c>
      <c r="K627" s="12">
        <f>IFERROR($J627/100*INDEX(Продукты!$G$6:$G$66,MATCH($E627,Продукты!$A$6:$A$66,0)),0)</f>
        <v>0</v>
      </c>
      <c r="L627" s="12">
        <f>IFERROR($J627/100*INDEX(Продукты!$H$6:$H$66,MATCH($E627,Продукты!$A$6:$A$66,0)),0)</f>
        <v>0</v>
      </c>
      <c r="M627" s="12">
        <f>IFERROR($J627/100*INDEX(Продукты!$I$6:$I$66,MATCH($E627,Продукты!$A$6:$A$66,0)),0)</f>
        <v>0</v>
      </c>
      <c r="N627" s="12">
        <f>IFERROR($J627/100*INDEX(Продукты!$J$6:$J$66,MATCH($E627,Продукты!$A$6:$A$66,0)),0)</f>
        <v>0</v>
      </c>
      <c r="O627" s="3" t="str">
        <f>IFERROR(IF(IFERROR(INDEX(Рецепты!$H$6:$H$85,MATCH(Меню!$D$30,Рецепты!$H$6:$H$85,0)+21)=Меню!$D$30,FALSE),INDEX(Рецепты!$N$6:$N$85,MATCH(Меню!$D$30,Рецепты!$H$6:$H$85,0)+21),""),"")</f>
        <v/>
      </c>
    </row>
    <row r="628" spans="1:15">
      <c r="A628" s="3" t="str">
        <f>IF($E628="","",Меню!$A$30)</f>
        <v/>
      </c>
      <c r="B628" s="3" t="str">
        <f>IF($E628="","",Меню!$B$30)</f>
        <v/>
      </c>
      <c r="C628" s="3" t="str">
        <f>IF($E628="","",Меню!$C$30)</f>
        <v/>
      </c>
      <c r="D628" s="3" t="str">
        <f>IF($E628="","",Меню!$D$30)</f>
        <v/>
      </c>
      <c r="E628" s="3" t="str">
        <f>IFERROR(IF(IFERROR(INDEX(Рецепты!$H$6:$H$85,MATCH(Меню!$D$30,Рецепты!$H$6:$H$85,0)+22)=Меню!$D$30,FALSE),INDEX(Рецепты!$J$6:$J$85,MATCH(Меню!$D$30,Рецепты!$H$6:$H$85,0)+22),""),"")</f>
        <v/>
      </c>
      <c r="F628" s="3" t="str">
        <f>IF($E628="","",INDEX(Рецепты!$K$6:$K$85,MATCH(Меню!$D$30,Рецепты!$H$6:$H$85,0)+22))</f>
        <v/>
      </c>
      <c r="G628" s="3" t="str">
        <f>IF($E628="","",INDEX(Рецепты!$M$6:$M$85,MATCH(Меню!$D$30,Рецепты!$H$6:$H$85,0)+22))</f>
        <v/>
      </c>
      <c r="H628" s="12">
        <f>IFERROR(IF(IFERROR(INDEX(Рецепты!$H$6:$H$85,MATCH(Меню!$D$30,Рецепты!$H$6:$H$85,0)+22)=Меню!$D$30,FALSE),INDEX(Рецепты!$L$6:$L$85,MATCH(Меню!$D$30,Рецепты!$H$6:$H$85,0)+22),0),0)</f>
        <v>0</v>
      </c>
      <c r="I628" s="12" t="str">
        <f>IF($F628="","",Меню!$E$30)</f>
        <v/>
      </c>
      <c r="J628" s="12">
        <f t="shared" si="9"/>
        <v>0</v>
      </c>
      <c r="K628" s="12">
        <f>IFERROR($J628/100*INDEX(Продукты!$G$6:$G$66,MATCH($E628,Продукты!$A$6:$A$66,0)),0)</f>
        <v>0</v>
      </c>
      <c r="L628" s="12">
        <f>IFERROR($J628/100*INDEX(Продукты!$H$6:$H$66,MATCH($E628,Продукты!$A$6:$A$66,0)),0)</f>
        <v>0</v>
      </c>
      <c r="M628" s="12">
        <f>IFERROR($J628/100*INDEX(Продукты!$I$6:$I$66,MATCH($E628,Продукты!$A$6:$A$66,0)),0)</f>
        <v>0</v>
      </c>
      <c r="N628" s="12">
        <f>IFERROR($J628/100*INDEX(Продукты!$J$6:$J$66,MATCH($E628,Продукты!$A$6:$A$66,0)),0)</f>
        <v>0</v>
      </c>
      <c r="O628" s="3" t="str">
        <f>IFERROR(IF(IFERROR(INDEX(Рецепты!$H$6:$H$85,MATCH(Меню!$D$30,Рецепты!$H$6:$H$85,0)+22)=Меню!$D$30,FALSE),INDEX(Рецепты!$N$6:$N$85,MATCH(Меню!$D$30,Рецепты!$H$6:$H$85,0)+22),""),"")</f>
        <v/>
      </c>
    </row>
    <row r="629" spans="1:15">
      <c r="A629" s="3" t="str">
        <f>IF($E629="","",Меню!$A$30)</f>
        <v/>
      </c>
      <c r="B629" s="3" t="str">
        <f>IF($E629="","",Меню!$B$30)</f>
        <v/>
      </c>
      <c r="C629" s="3" t="str">
        <f>IF($E629="","",Меню!$C$30)</f>
        <v/>
      </c>
      <c r="D629" s="3" t="str">
        <f>IF($E629="","",Меню!$D$30)</f>
        <v/>
      </c>
      <c r="E629" s="3" t="str">
        <f>IFERROR(IF(IFERROR(INDEX(Рецепты!$H$6:$H$85,MATCH(Меню!$D$30,Рецепты!$H$6:$H$85,0)+23)=Меню!$D$30,FALSE),INDEX(Рецепты!$J$6:$J$85,MATCH(Меню!$D$30,Рецепты!$H$6:$H$85,0)+23),""),"")</f>
        <v/>
      </c>
      <c r="F629" s="3" t="str">
        <f>IF($E629="","",INDEX(Рецепты!$K$6:$K$85,MATCH(Меню!$D$30,Рецепты!$H$6:$H$85,0)+23))</f>
        <v/>
      </c>
      <c r="G629" s="3" t="str">
        <f>IF($E629="","",INDEX(Рецепты!$M$6:$M$85,MATCH(Меню!$D$30,Рецепты!$H$6:$H$85,0)+23))</f>
        <v/>
      </c>
      <c r="H629" s="12">
        <f>IFERROR(IF(IFERROR(INDEX(Рецепты!$H$6:$H$85,MATCH(Меню!$D$30,Рецепты!$H$6:$H$85,0)+23)=Меню!$D$30,FALSE),INDEX(Рецепты!$L$6:$L$85,MATCH(Меню!$D$30,Рецепты!$H$6:$H$85,0)+23),0),0)</f>
        <v>0</v>
      </c>
      <c r="I629" s="12" t="str">
        <f>IF($F629="","",Меню!$E$30)</f>
        <v/>
      </c>
      <c r="J629" s="12">
        <f t="shared" si="9"/>
        <v>0</v>
      </c>
      <c r="K629" s="12">
        <f>IFERROR($J629/100*INDEX(Продукты!$G$6:$G$66,MATCH($E629,Продукты!$A$6:$A$66,0)),0)</f>
        <v>0</v>
      </c>
      <c r="L629" s="12">
        <f>IFERROR($J629/100*INDEX(Продукты!$H$6:$H$66,MATCH($E629,Продукты!$A$6:$A$66,0)),0)</f>
        <v>0</v>
      </c>
      <c r="M629" s="12">
        <f>IFERROR($J629/100*INDEX(Продукты!$I$6:$I$66,MATCH($E629,Продукты!$A$6:$A$66,0)),0)</f>
        <v>0</v>
      </c>
      <c r="N629" s="12">
        <f>IFERROR($J629/100*INDEX(Продукты!$J$6:$J$66,MATCH($E629,Продукты!$A$6:$A$66,0)),0)</f>
        <v>0</v>
      </c>
      <c r="O629" s="3" t="str">
        <f>IFERROR(IF(IFERROR(INDEX(Рецепты!$H$6:$H$85,MATCH(Меню!$D$30,Рецепты!$H$6:$H$85,0)+23)=Меню!$D$30,FALSE),INDEX(Рецепты!$N$6:$N$85,MATCH(Меню!$D$30,Рецепты!$H$6:$H$85,0)+23),""),"")</f>
        <v/>
      </c>
    </row>
    <row r="630" spans="1:15">
      <c r="A630" s="3" t="str">
        <f>IF($E630="","",Меню!$A$30)</f>
        <v/>
      </c>
      <c r="B630" s="3" t="str">
        <f>IF($E630="","",Меню!$B$30)</f>
        <v/>
      </c>
      <c r="C630" s="3" t="str">
        <f>IF($E630="","",Меню!$C$30)</f>
        <v/>
      </c>
      <c r="D630" s="3" t="str">
        <f>IF($E630="","",Меню!$D$30)</f>
        <v/>
      </c>
      <c r="E630" s="3" t="str">
        <f>IFERROR(IF(IFERROR(INDEX(Рецепты!$H$6:$H$85,MATCH(Меню!$D$30,Рецепты!$H$6:$H$85,0)+24)=Меню!$D$30,FALSE),INDEX(Рецепты!$J$6:$J$85,MATCH(Меню!$D$30,Рецепты!$H$6:$H$85,0)+24),""),"")</f>
        <v/>
      </c>
      <c r="F630" s="3" t="str">
        <f>IF($E630="","",INDEX(Рецепты!$K$6:$K$85,MATCH(Меню!$D$30,Рецепты!$H$6:$H$85,0)+24))</f>
        <v/>
      </c>
      <c r="G630" s="3" t="str">
        <f>IF($E630="","",INDEX(Рецепты!$M$6:$M$85,MATCH(Меню!$D$30,Рецепты!$H$6:$H$85,0)+24))</f>
        <v/>
      </c>
      <c r="H630" s="12">
        <f>IFERROR(IF(IFERROR(INDEX(Рецепты!$H$6:$H$85,MATCH(Меню!$D$30,Рецепты!$H$6:$H$85,0)+24)=Меню!$D$30,FALSE),INDEX(Рецепты!$L$6:$L$85,MATCH(Меню!$D$30,Рецепты!$H$6:$H$85,0)+24),0),0)</f>
        <v>0</v>
      </c>
      <c r="I630" s="12" t="str">
        <f>IF($F630="","",Меню!$E$30)</f>
        <v/>
      </c>
      <c r="J630" s="12">
        <f t="shared" si="9"/>
        <v>0</v>
      </c>
      <c r="K630" s="12">
        <f>IFERROR($J630/100*INDEX(Продукты!$G$6:$G$66,MATCH($E630,Продукты!$A$6:$A$66,0)),0)</f>
        <v>0</v>
      </c>
      <c r="L630" s="12">
        <f>IFERROR($J630/100*INDEX(Продукты!$H$6:$H$66,MATCH($E630,Продукты!$A$6:$A$66,0)),0)</f>
        <v>0</v>
      </c>
      <c r="M630" s="12">
        <f>IFERROR($J630/100*INDEX(Продукты!$I$6:$I$66,MATCH($E630,Продукты!$A$6:$A$66,0)),0)</f>
        <v>0</v>
      </c>
      <c r="N630" s="12">
        <f>IFERROR($J630/100*INDEX(Продукты!$J$6:$J$66,MATCH($E630,Продукты!$A$6:$A$66,0)),0)</f>
        <v>0</v>
      </c>
      <c r="O630" s="3" t="str">
        <f>IFERROR(IF(IFERROR(INDEX(Рецепты!$H$6:$H$85,MATCH(Меню!$D$30,Рецепты!$H$6:$H$85,0)+24)=Меню!$D$30,FALSE),INDEX(Рецепты!$N$6:$N$85,MATCH(Меню!$D$30,Рецепты!$H$6:$H$85,0)+24),""),"")</f>
        <v/>
      </c>
    </row>
    <row r="631" spans="1:15">
      <c r="A631" s="3"/>
      <c r="B631" s="3"/>
      <c r="C631" s="3"/>
      <c r="D631" s="3"/>
      <c r="E631" s="3"/>
      <c r="F631" s="3"/>
      <c r="G631" s="3"/>
      <c r="H631" s="12"/>
      <c r="I631" s="12"/>
      <c r="J631" s="12">
        <f t="shared" si="9"/>
        <v>0</v>
      </c>
      <c r="K631" s="12"/>
      <c r="L631" s="12"/>
      <c r="M631" s="12"/>
      <c r="N631" s="12"/>
      <c r="O631" s="3"/>
    </row>
    <row r="632" spans="1:15">
      <c r="A632" s="3"/>
      <c r="B632" s="3"/>
      <c r="C632" s="3"/>
      <c r="D632" s="3"/>
      <c r="E632" s="3"/>
      <c r="F632" s="3"/>
      <c r="G632" s="3"/>
      <c r="H632" s="12"/>
      <c r="I632" s="12"/>
      <c r="J632" s="12">
        <f t="shared" si="9"/>
        <v>0</v>
      </c>
      <c r="K632" s="12"/>
      <c r="L632" s="12"/>
      <c r="M632" s="12"/>
      <c r="N632" s="12"/>
      <c r="O632" s="3"/>
    </row>
    <row r="633" spans="1:15">
      <c r="A633" s="3"/>
      <c r="B633" s="3"/>
      <c r="C633" s="3"/>
      <c r="D633" s="3"/>
      <c r="E633" s="3"/>
      <c r="F633" s="3"/>
      <c r="G633" s="3"/>
      <c r="H633" s="12"/>
      <c r="I633" s="12"/>
      <c r="J633" s="12">
        <f t="shared" si="9"/>
        <v>0</v>
      </c>
      <c r="K633" s="12"/>
      <c r="L633" s="12"/>
      <c r="M633" s="12"/>
      <c r="N633" s="12"/>
      <c r="O633" s="3"/>
    </row>
    <row r="634" spans="1:15">
      <c r="A634" s="3"/>
      <c r="B634" s="3"/>
      <c r="C634" s="3"/>
      <c r="D634" s="3"/>
      <c r="E634" s="3"/>
      <c r="F634" s="3"/>
      <c r="G634" s="3"/>
      <c r="H634" s="12"/>
      <c r="I634" s="12"/>
      <c r="J634" s="12">
        <f t="shared" si="9"/>
        <v>0</v>
      </c>
      <c r="K634" s="12"/>
      <c r="L634" s="12"/>
      <c r="M634" s="12"/>
      <c r="N634" s="12"/>
      <c r="O634" s="3"/>
    </row>
    <row r="635" spans="1:15">
      <c r="A635" s="3"/>
      <c r="B635" s="3"/>
      <c r="C635" s="3"/>
      <c r="D635" s="3"/>
      <c r="E635" s="3"/>
      <c r="F635" s="3"/>
      <c r="G635" s="3"/>
      <c r="H635" s="12"/>
      <c r="I635" s="12"/>
      <c r="J635" s="12">
        <f t="shared" si="9"/>
        <v>0</v>
      </c>
      <c r="K635" s="12"/>
      <c r="L635" s="12"/>
      <c r="M635" s="12"/>
      <c r="N635" s="12"/>
      <c r="O635" s="3"/>
    </row>
    <row r="636" spans="1:15">
      <c r="A636" s="3"/>
      <c r="B636" s="3"/>
      <c r="C636" s="3"/>
      <c r="D636" s="3"/>
      <c r="E636" s="3"/>
      <c r="F636" s="3"/>
      <c r="G636" s="3"/>
      <c r="H636" s="12"/>
      <c r="I636" s="12"/>
      <c r="J636" s="12">
        <f t="shared" si="9"/>
        <v>0</v>
      </c>
      <c r="K636" s="12"/>
      <c r="L636" s="12"/>
      <c r="M636" s="12"/>
      <c r="N636" s="12"/>
      <c r="O636" s="3"/>
    </row>
    <row r="637" spans="1:15">
      <c r="A637" s="3"/>
      <c r="B637" s="3"/>
      <c r="C637" s="3"/>
      <c r="D637" s="3"/>
      <c r="E637" s="3"/>
      <c r="F637" s="3"/>
      <c r="G637" s="3"/>
      <c r="H637" s="12"/>
      <c r="I637" s="12"/>
      <c r="J637" s="12">
        <f t="shared" si="9"/>
        <v>0</v>
      </c>
      <c r="K637" s="12"/>
      <c r="L637" s="12"/>
      <c r="M637" s="12"/>
      <c r="N637" s="12"/>
      <c r="O637" s="3"/>
    </row>
    <row r="638" spans="1:15">
      <c r="A638" s="3"/>
      <c r="B638" s="3"/>
      <c r="C638" s="3"/>
      <c r="D638" s="3"/>
      <c r="E638" s="3"/>
      <c r="F638" s="3"/>
      <c r="G638" s="3"/>
      <c r="H638" s="12"/>
      <c r="I638" s="12"/>
      <c r="J638" s="12">
        <f t="shared" si="9"/>
        <v>0</v>
      </c>
      <c r="K638" s="12"/>
      <c r="L638" s="12"/>
      <c r="M638" s="12"/>
      <c r="N638" s="12"/>
      <c r="O638" s="3"/>
    </row>
    <row r="639" spans="1:15">
      <c r="A639" s="3"/>
      <c r="B639" s="3"/>
      <c r="C639" s="3"/>
      <c r="D639" s="3"/>
      <c r="E639" s="3"/>
      <c r="F639" s="3"/>
      <c r="G639" s="3"/>
      <c r="H639" s="12"/>
      <c r="I639" s="12"/>
      <c r="J639" s="12">
        <f t="shared" si="9"/>
        <v>0</v>
      </c>
      <c r="K639" s="12"/>
      <c r="L639" s="12"/>
      <c r="M639" s="12"/>
      <c r="N639" s="12"/>
      <c r="O639" s="3"/>
    </row>
    <row r="640" spans="1:15">
      <c r="A640" s="3"/>
      <c r="B640" s="3"/>
      <c r="C640" s="3"/>
      <c r="D640" s="3"/>
      <c r="E640" s="3"/>
      <c r="F640" s="3"/>
      <c r="G640" s="3"/>
      <c r="H640" s="12"/>
      <c r="I640" s="12"/>
      <c r="J640" s="12">
        <f t="shared" si="9"/>
        <v>0</v>
      </c>
      <c r="K640" s="12"/>
      <c r="L640" s="12"/>
      <c r="M640" s="12"/>
      <c r="N640" s="12"/>
      <c r="O640" s="3"/>
    </row>
    <row r="641" spans="1:15">
      <c r="A641" s="3"/>
      <c r="B641" s="3"/>
      <c r="C641" s="3"/>
      <c r="D641" s="3"/>
      <c r="E641" s="3"/>
      <c r="F641" s="3"/>
      <c r="G641" s="3"/>
      <c r="H641" s="12"/>
      <c r="I641" s="12"/>
      <c r="J641" s="12">
        <f t="shared" si="9"/>
        <v>0</v>
      </c>
      <c r="K641" s="12"/>
      <c r="L641" s="12"/>
      <c r="M641" s="12"/>
      <c r="N641" s="12"/>
      <c r="O641" s="3"/>
    </row>
    <row r="642" spans="1:15">
      <c r="A642" s="3"/>
      <c r="B642" s="3"/>
      <c r="C642" s="3"/>
      <c r="D642" s="3"/>
      <c r="E642" s="3"/>
      <c r="F642" s="3"/>
      <c r="G642" s="3"/>
      <c r="H642" s="12"/>
      <c r="I642" s="12"/>
      <c r="J642" s="12">
        <f t="shared" si="9"/>
        <v>0</v>
      </c>
      <c r="K642" s="12"/>
      <c r="L642" s="12"/>
      <c r="M642" s="12"/>
      <c r="N642" s="12"/>
      <c r="O642" s="3"/>
    </row>
    <row r="643" spans="1:15">
      <c r="A643" s="3"/>
      <c r="B643" s="3"/>
      <c r="C643" s="3"/>
      <c r="D643" s="3"/>
      <c r="E643" s="3"/>
      <c r="F643" s="3"/>
      <c r="G643" s="3"/>
      <c r="H643" s="12"/>
      <c r="I643" s="12"/>
      <c r="J643" s="12">
        <f t="shared" si="9"/>
        <v>0</v>
      </c>
      <c r="K643" s="12"/>
      <c r="L643" s="12"/>
      <c r="M643" s="12"/>
      <c r="N643" s="12"/>
      <c r="O643" s="3"/>
    </row>
    <row r="644" spans="1:15">
      <c r="A644" s="3"/>
      <c r="B644" s="3"/>
      <c r="C644" s="3"/>
      <c r="D644" s="3"/>
      <c r="E644" s="3"/>
      <c r="F644" s="3"/>
      <c r="G644" s="3"/>
      <c r="H644" s="12"/>
      <c r="I644" s="12"/>
      <c r="J644" s="12">
        <f t="shared" si="9"/>
        <v>0</v>
      </c>
      <c r="K644" s="12"/>
      <c r="L644" s="12"/>
      <c r="M644" s="12"/>
      <c r="N644" s="12"/>
      <c r="O644" s="3"/>
    </row>
    <row r="645" spans="1:15">
      <c r="A645" s="3"/>
      <c r="B645" s="3"/>
      <c r="C645" s="3"/>
      <c r="D645" s="3"/>
      <c r="E645" s="3"/>
      <c r="F645" s="3"/>
      <c r="G645" s="3"/>
      <c r="H645" s="12"/>
      <c r="I645" s="12"/>
      <c r="J645" s="12">
        <f t="shared" si="9"/>
        <v>0</v>
      </c>
      <c r="K645" s="12"/>
      <c r="L645" s="12"/>
      <c r="M645" s="12"/>
      <c r="N645" s="12"/>
      <c r="O645" s="3"/>
    </row>
    <row r="646" spans="1:15">
      <c r="A646" s="3"/>
      <c r="B646" s="3"/>
      <c r="C646" s="3"/>
      <c r="D646" s="3"/>
      <c r="E646" s="3"/>
      <c r="F646" s="3"/>
      <c r="G646" s="3"/>
      <c r="H646" s="12"/>
      <c r="I646" s="12"/>
      <c r="J646" s="12">
        <f t="shared" ref="J646:J709" si="10">IFERROR($H646*$I646,0)</f>
        <v>0</v>
      </c>
      <c r="K646" s="12"/>
      <c r="L646" s="12"/>
      <c r="M646" s="12"/>
      <c r="N646" s="12"/>
      <c r="O646" s="3"/>
    </row>
    <row r="647" spans="1:15">
      <c r="A647" s="3"/>
      <c r="B647" s="3"/>
      <c r="C647" s="3"/>
      <c r="D647" s="3"/>
      <c r="E647" s="3"/>
      <c r="F647" s="3"/>
      <c r="G647" s="3"/>
      <c r="H647" s="12"/>
      <c r="I647" s="12"/>
      <c r="J647" s="12">
        <f t="shared" si="10"/>
        <v>0</v>
      </c>
      <c r="K647" s="12"/>
      <c r="L647" s="12"/>
      <c r="M647" s="12"/>
      <c r="N647" s="12"/>
      <c r="O647" s="3"/>
    </row>
    <row r="648" spans="1:15">
      <c r="A648" s="3"/>
      <c r="B648" s="3"/>
      <c r="C648" s="3"/>
      <c r="D648" s="3"/>
      <c r="E648" s="3"/>
      <c r="F648" s="3"/>
      <c r="G648" s="3"/>
      <c r="H648" s="12"/>
      <c r="I648" s="12"/>
      <c r="J648" s="12">
        <f t="shared" si="10"/>
        <v>0</v>
      </c>
      <c r="K648" s="12"/>
      <c r="L648" s="12"/>
      <c r="M648" s="12"/>
      <c r="N648" s="12"/>
      <c r="O648" s="3"/>
    </row>
    <row r="649" spans="1:15">
      <c r="A649" s="3"/>
      <c r="B649" s="3"/>
      <c r="C649" s="3"/>
      <c r="D649" s="3"/>
      <c r="E649" s="3"/>
      <c r="F649" s="3"/>
      <c r="G649" s="3"/>
      <c r="H649" s="12"/>
      <c r="I649" s="12"/>
      <c r="J649" s="12">
        <f t="shared" si="10"/>
        <v>0</v>
      </c>
      <c r="K649" s="12"/>
      <c r="L649" s="12"/>
      <c r="M649" s="12"/>
      <c r="N649" s="12"/>
      <c r="O649" s="3"/>
    </row>
    <row r="650" spans="1:15">
      <c r="A650" s="3"/>
      <c r="B650" s="3"/>
      <c r="C650" s="3"/>
      <c r="D650" s="3"/>
      <c r="E650" s="3"/>
      <c r="F650" s="3"/>
      <c r="G650" s="3"/>
      <c r="H650" s="12"/>
      <c r="I650" s="12"/>
      <c r="J650" s="12">
        <f t="shared" si="10"/>
        <v>0</v>
      </c>
      <c r="K650" s="12"/>
      <c r="L650" s="12"/>
      <c r="M650" s="12"/>
      <c r="N650" s="12"/>
      <c r="O650" s="3"/>
    </row>
    <row r="651" spans="1:15">
      <c r="A651" s="3"/>
      <c r="B651" s="3"/>
      <c r="C651" s="3"/>
      <c r="D651" s="3"/>
      <c r="E651" s="3"/>
      <c r="F651" s="3"/>
      <c r="G651" s="3"/>
      <c r="H651" s="12"/>
      <c r="I651" s="12"/>
      <c r="J651" s="12">
        <f t="shared" si="10"/>
        <v>0</v>
      </c>
      <c r="K651" s="12"/>
      <c r="L651" s="12"/>
      <c r="M651" s="12"/>
      <c r="N651" s="12"/>
      <c r="O651" s="3"/>
    </row>
    <row r="652" spans="1:15">
      <c r="A652" s="3"/>
      <c r="B652" s="3"/>
      <c r="C652" s="3"/>
      <c r="D652" s="3"/>
      <c r="E652" s="3"/>
      <c r="F652" s="3"/>
      <c r="G652" s="3"/>
      <c r="H652" s="12"/>
      <c r="I652" s="12"/>
      <c r="J652" s="12">
        <f t="shared" si="10"/>
        <v>0</v>
      </c>
      <c r="K652" s="12"/>
      <c r="L652" s="12"/>
      <c r="M652" s="12"/>
      <c r="N652" s="12"/>
      <c r="O652" s="3"/>
    </row>
    <row r="653" spans="1:15">
      <c r="A653" s="3"/>
      <c r="B653" s="3"/>
      <c r="C653" s="3"/>
      <c r="D653" s="3"/>
      <c r="E653" s="3"/>
      <c r="F653" s="3"/>
      <c r="G653" s="3"/>
      <c r="H653" s="12"/>
      <c r="I653" s="12"/>
      <c r="J653" s="12">
        <f t="shared" si="10"/>
        <v>0</v>
      </c>
      <c r="K653" s="12"/>
      <c r="L653" s="12"/>
      <c r="M653" s="12"/>
      <c r="N653" s="12"/>
      <c r="O653" s="3"/>
    </row>
    <row r="654" spans="1:15">
      <c r="A654" s="3"/>
      <c r="B654" s="3"/>
      <c r="C654" s="3"/>
      <c r="D654" s="3"/>
      <c r="E654" s="3"/>
      <c r="F654" s="3"/>
      <c r="G654" s="3"/>
      <c r="H654" s="12"/>
      <c r="I654" s="12"/>
      <c r="J654" s="12">
        <f t="shared" si="10"/>
        <v>0</v>
      </c>
      <c r="K654" s="12"/>
      <c r="L654" s="12"/>
      <c r="M654" s="12"/>
      <c r="N654" s="12"/>
      <c r="O654" s="3"/>
    </row>
    <row r="655" spans="1:15">
      <c r="A655" s="3"/>
      <c r="B655" s="3"/>
      <c r="C655" s="3"/>
      <c r="D655" s="3"/>
      <c r="E655" s="3"/>
      <c r="F655" s="3"/>
      <c r="G655" s="3"/>
      <c r="H655" s="12"/>
      <c r="I655" s="12"/>
      <c r="J655" s="12">
        <f t="shared" si="10"/>
        <v>0</v>
      </c>
      <c r="K655" s="12"/>
      <c r="L655" s="12"/>
      <c r="M655" s="12"/>
      <c r="N655" s="12"/>
      <c r="O655" s="3"/>
    </row>
    <row r="656" spans="1:15">
      <c r="A656" s="3"/>
      <c r="B656" s="3"/>
      <c r="C656" s="3"/>
      <c r="D656" s="3"/>
      <c r="E656" s="3"/>
      <c r="F656" s="3"/>
      <c r="G656" s="3"/>
      <c r="H656" s="12"/>
      <c r="I656" s="12"/>
      <c r="J656" s="12">
        <f t="shared" si="10"/>
        <v>0</v>
      </c>
      <c r="K656" s="12"/>
      <c r="L656" s="12"/>
      <c r="M656" s="12"/>
      <c r="N656" s="12"/>
      <c r="O656" s="3"/>
    </row>
    <row r="657" spans="1:15">
      <c r="A657" s="3"/>
      <c r="B657" s="3"/>
      <c r="C657" s="3"/>
      <c r="D657" s="3"/>
      <c r="E657" s="3"/>
      <c r="F657" s="3"/>
      <c r="G657" s="3"/>
      <c r="H657" s="12"/>
      <c r="I657" s="12"/>
      <c r="J657" s="12">
        <f t="shared" si="10"/>
        <v>0</v>
      </c>
      <c r="K657" s="12"/>
      <c r="L657" s="12"/>
      <c r="M657" s="12"/>
      <c r="N657" s="12"/>
      <c r="O657" s="3"/>
    </row>
    <row r="658" spans="1:15">
      <c r="A658" s="3"/>
      <c r="B658" s="3"/>
      <c r="C658" s="3"/>
      <c r="D658" s="3"/>
      <c r="E658" s="3"/>
      <c r="F658" s="3"/>
      <c r="G658" s="3"/>
      <c r="H658" s="12"/>
      <c r="I658" s="12"/>
      <c r="J658" s="12">
        <f t="shared" si="10"/>
        <v>0</v>
      </c>
      <c r="K658" s="12"/>
      <c r="L658" s="12"/>
      <c r="M658" s="12"/>
      <c r="N658" s="12"/>
      <c r="O658" s="3"/>
    </row>
    <row r="659" spans="1:15">
      <c r="A659" s="3"/>
      <c r="B659" s="3"/>
      <c r="C659" s="3"/>
      <c r="D659" s="3"/>
      <c r="E659" s="3"/>
      <c r="F659" s="3"/>
      <c r="G659" s="3"/>
      <c r="H659" s="12"/>
      <c r="I659" s="12"/>
      <c r="J659" s="12">
        <f t="shared" si="10"/>
        <v>0</v>
      </c>
      <c r="K659" s="12"/>
      <c r="L659" s="12"/>
      <c r="M659" s="12"/>
      <c r="N659" s="12"/>
      <c r="O659" s="3"/>
    </row>
    <row r="660" spans="1:15">
      <c r="A660" s="3"/>
      <c r="B660" s="3"/>
      <c r="C660" s="3"/>
      <c r="D660" s="3"/>
      <c r="E660" s="3"/>
      <c r="F660" s="3"/>
      <c r="G660" s="3"/>
      <c r="H660" s="12"/>
      <c r="I660" s="12"/>
      <c r="J660" s="12">
        <f t="shared" si="10"/>
        <v>0</v>
      </c>
      <c r="K660" s="12"/>
      <c r="L660" s="12"/>
      <c r="M660" s="12"/>
      <c r="N660" s="12"/>
      <c r="O660" s="3"/>
    </row>
    <row r="661" spans="1:15">
      <c r="A661" s="3"/>
      <c r="B661" s="3"/>
      <c r="C661" s="3"/>
      <c r="D661" s="3"/>
      <c r="E661" s="3"/>
      <c r="F661" s="3"/>
      <c r="G661" s="3"/>
      <c r="H661" s="12"/>
      <c r="I661" s="12"/>
      <c r="J661" s="12">
        <f t="shared" si="10"/>
        <v>0</v>
      </c>
      <c r="K661" s="12"/>
      <c r="L661" s="12"/>
      <c r="M661" s="12"/>
      <c r="N661" s="12"/>
      <c r="O661" s="3"/>
    </row>
    <row r="662" spans="1:15">
      <c r="A662" s="3"/>
      <c r="B662" s="3"/>
      <c r="C662" s="3"/>
      <c r="D662" s="3"/>
      <c r="E662" s="3"/>
      <c r="F662" s="3"/>
      <c r="G662" s="3"/>
      <c r="H662" s="12"/>
      <c r="I662" s="12"/>
      <c r="J662" s="12">
        <f t="shared" si="10"/>
        <v>0</v>
      </c>
      <c r="K662" s="12"/>
      <c r="L662" s="12"/>
      <c r="M662" s="12"/>
      <c r="N662" s="12"/>
      <c r="O662" s="3"/>
    </row>
    <row r="663" spans="1:15">
      <c r="A663" s="3"/>
      <c r="B663" s="3"/>
      <c r="C663" s="3"/>
      <c r="D663" s="3"/>
      <c r="E663" s="3"/>
      <c r="F663" s="3"/>
      <c r="G663" s="3"/>
      <c r="H663" s="12"/>
      <c r="I663" s="12"/>
      <c r="J663" s="12">
        <f t="shared" si="10"/>
        <v>0</v>
      </c>
      <c r="K663" s="12"/>
      <c r="L663" s="12"/>
      <c r="M663" s="12"/>
      <c r="N663" s="12"/>
      <c r="O663" s="3"/>
    </row>
    <row r="664" spans="1:15">
      <c r="A664" s="3"/>
      <c r="B664" s="3"/>
      <c r="C664" s="3"/>
      <c r="D664" s="3"/>
      <c r="E664" s="3"/>
      <c r="F664" s="3"/>
      <c r="G664" s="3"/>
      <c r="H664" s="12"/>
      <c r="I664" s="12"/>
      <c r="J664" s="12">
        <f t="shared" si="10"/>
        <v>0</v>
      </c>
      <c r="K664" s="12"/>
      <c r="L664" s="12"/>
      <c r="M664" s="12"/>
      <c r="N664" s="12"/>
      <c r="O664" s="3"/>
    </row>
    <row r="665" spans="1:15">
      <c r="A665" s="3"/>
      <c r="B665" s="3"/>
      <c r="C665" s="3"/>
      <c r="D665" s="3"/>
      <c r="E665" s="3"/>
      <c r="F665" s="3"/>
      <c r="G665" s="3"/>
      <c r="H665" s="12"/>
      <c r="I665" s="12"/>
      <c r="J665" s="12">
        <f t="shared" si="10"/>
        <v>0</v>
      </c>
      <c r="K665" s="12"/>
      <c r="L665" s="12"/>
      <c r="M665" s="12"/>
      <c r="N665" s="12"/>
      <c r="O665" s="3"/>
    </row>
    <row r="666" spans="1:15">
      <c r="A666" s="3"/>
      <c r="B666" s="3"/>
      <c r="C666" s="3"/>
      <c r="D666" s="3"/>
      <c r="E666" s="3"/>
      <c r="F666" s="3"/>
      <c r="G666" s="3"/>
      <c r="H666" s="12"/>
      <c r="I666" s="12"/>
      <c r="J666" s="12">
        <f t="shared" si="10"/>
        <v>0</v>
      </c>
      <c r="K666" s="12"/>
      <c r="L666" s="12"/>
      <c r="M666" s="12"/>
      <c r="N666" s="12"/>
      <c r="O666" s="3"/>
    </row>
    <row r="667" spans="1:15">
      <c r="A667" s="3"/>
      <c r="B667" s="3"/>
      <c r="C667" s="3"/>
      <c r="D667" s="3"/>
      <c r="E667" s="3"/>
      <c r="F667" s="3"/>
      <c r="G667" s="3"/>
      <c r="H667" s="12"/>
      <c r="I667" s="12"/>
      <c r="J667" s="12">
        <f t="shared" si="10"/>
        <v>0</v>
      </c>
      <c r="K667" s="12"/>
      <c r="L667" s="12"/>
      <c r="M667" s="12"/>
      <c r="N667" s="12"/>
      <c r="O667" s="3"/>
    </row>
    <row r="668" spans="1:15">
      <c r="A668" s="3"/>
      <c r="B668" s="3"/>
      <c r="C668" s="3"/>
      <c r="D668" s="3"/>
      <c r="E668" s="3"/>
      <c r="F668" s="3"/>
      <c r="G668" s="3"/>
      <c r="H668" s="12"/>
      <c r="I668" s="12"/>
      <c r="J668" s="12">
        <f t="shared" si="10"/>
        <v>0</v>
      </c>
      <c r="K668" s="12"/>
      <c r="L668" s="12"/>
      <c r="M668" s="12"/>
      <c r="N668" s="12"/>
      <c r="O668" s="3"/>
    </row>
    <row r="669" spans="1:15">
      <c r="A669" s="3"/>
      <c r="B669" s="3"/>
      <c r="C669" s="3"/>
      <c r="D669" s="3"/>
      <c r="E669" s="3"/>
      <c r="F669" s="3"/>
      <c r="G669" s="3"/>
      <c r="H669" s="12"/>
      <c r="I669" s="12"/>
      <c r="J669" s="12">
        <f t="shared" si="10"/>
        <v>0</v>
      </c>
      <c r="K669" s="12"/>
      <c r="L669" s="12"/>
      <c r="M669" s="12"/>
      <c r="N669" s="12"/>
      <c r="O669" s="3"/>
    </row>
    <row r="670" spans="1:15">
      <c r="A670" s="3"/>
      <c r="B670" s="3"/>
      <c r="C670" s="3"/>
      <c r="D670" s="3"/>
      <c r="E670" s="3"/>
      <c r="F670" s="3"/>
      <c r="G670" s="3"/>
      <c r="H670" s="12"/>
      <c r="I670" s="12"/>
      <c r="J670" s="12">
        <f t="shared" si="10"/>
        <v>0</v>
      </c>
      <c r="K670" s="12"/>
      <c r="L670" s="12"/>
      <c r="M670" s="12"/>
      <c r="N670" s="12"/>
      <c r="O670" s="3"/>
    </row>
    <row r="671" spans="1:15">
      <c r="A671" s="3"/>
      <c r="B671" s="3"/>
      <c r="C671" s="3"/>
      <c r="D671" s="3"/>
      <c r="E671" s="3"/>
      <c r="F671" s="3"/>
      <c r="G671" s="3"/>
      <c r="H671" s="12"/>
      <c r="I671" s="12"/>
      <c r="J671" s="12">
        <f t="shared" si="10"/>
        <v>0</v>
      </c>
      <c r="K671" s="12"/>
      <c r="L671" s="12"/>
      <c r="M671" s="12"/>
      <c r="N671" s="12"/>
      <c r="O671" s="3"/>
    </row>
    <row r="672" spans="1:15">
      <c r="A672" s="3"/>
      <c r="B672" s="3"/>
      <c r="C672" s="3"/>
      <c r="D672" s="3"/>
      <c r="E672" s="3"/>
      <c r="F672" s="3"/>
      <c r="G672" s="3"/>
      <c r="H672" s="12"/>
      <c r="I672" s="12"/>
      <c r="J672" s="12">
        <f t="shared" si="10"/>
        <v>0</v>
      </c>
      <c r="K672" s="12"/>
      <c r="L672" s="12"/>
      <c r="M672" s="12"/>
      <c r="N672" s="12"/>
      <c r="O672" s="3"/>
    </row>
    <row r="673" spans="1:15">
      <c r="A673" s="3"/>
      <c r="B673" s="3"/>
      <c r="C673" s="3"/>
      <c r="D673" s="3"/>
      <c r="E673" s="3"/>
      <c r="F673" s="3"/>
      <c r="G673" s="3"/>
      <c r="H673" s="12"/>
      <c r="I673" s="12"/>
      <c r="J673" s="12">
        <f t="shared" si="10"/>
        <v>0</v>
      </c>
      <c r="K673" s="12"/>
      <c r="L673" s="12"/>
      <c r="M673" s="12"/>
      <c r="N673" s="12"/>
      <c r="O673" s="3"/>
    </row>
    <row r="674" spans="1:15">
      <c r="A674" s="3"/>
      <c r="B674" s="3"/>
      <c r="C674" s="3"/>
      <c r="D674" s="3"/>
      <c r="E674" s="3"/>
      <c r="F674" s="3"/>
      <c r="G674" s="3"/>
      <c r="H674" s="12"/>
      <c r="I674" s="12"/>
      <c r="J674" s="12">
        <f t="shared" si="10"/>
        <v>0</v>
      </c>
      <c r="K674" s="12"/>
      <c r="L674" s="12"/>
      <c r="M674" s="12"/>
      <c r="N674" s="12"/>
      <c r="O674" s="3"/>
    </row>
    <row r="675" spans="1:15">
      <c r="A675" s="3"/>
      <c r="B675" s="3"/>
      <c r="C675" s="3"/>
      <c r="D675" s="3"/>
      <c r="E675" s="3"/>
      <c r="F675" s="3"/>
      <c r="G675" s="3"/>
      <c r="H675" s="12"/>
      <c r="I675" s="12"/>
      <c r="J675" s="12">
        <f t="shared" si="10"/>
        <v>0</v>
      </c>
      <c r="K675" s="12"/>
      <c r="L675" s="12"/>
      <c r="M675" s="12"/>
      <c r="N675" s="12"/>
      <c r="O675" s="3"/>
    </row>
    <row r="676" spans="1:15">
      <c r="A676" s="3"/>
      <c r="B676" s="3"/>
      <c r="C676" s="3"/>
      <c r="D676" s="3"/>
      <c r="E676" s="3"/>
      <c r="F676" s="3"/>
      <c r="G676" s="3"/>
      <c r="H676" s="12"/>
      <c r="I676" s="12"/>
      <c r="J676" s="12">
        <f t="shared" si="10"/>
        <v>0</v>
      </c>
      <c r="K676" s="12"/>
      <c r="L676" s="12"/>
      <c r="M676" s="12"/>
      <c r="N676" s="12"/>
      <c r="O676" s="3"/>
    </row>
    <row r="677" spans="1:15">
      <c r="A677" s="3"/>
      <c r="B677" s="3"/>
      <c r="C677" s="3"/>
      <c r="D677" s="3"/>
      <c r="E677" s="3"/>
      <c r="F677" s="3"/>
      <c r="G677" s="3"/>
      <c r="H677" s="12"/>
      <c r="I677" s="12"/>
      <c r="J677" s="12">
        <f t="shared" si="10"/>
        <v>0</v>
      </c>
      <c r="K677" s="12"/>
      <c r="L677" s="12"/>
      <c r="M677" s="12"/>
      <c r="N677" s="12"/>
      <c r="O677" s="3"/>
    </row>
    <row r="678" spans="1:15">
      <c r="A678" s="3"/>
      <c r="B678" s="3"/>
      <c r="C678" s="3"/>
      <c r="D678" s="3"/>
      <c r="E678" s="3"/>
      <c r="F678" s="3"/>
      <c r="G678" s="3"/>
      <c r="H678" s="12"/>
      <c r="I678" s="12"/>
      <c r="J678" s="12">
        <f t="shared" si="10"/>
        <v>0</v>
      </c>
      <c r="K678" s="12"/>
      <c r="L678" s="12"/>
      <c r="M678" s="12"/>
      <c r="N678" s="12"/>
      <c r="O678" s="3"/>
    </row>
    <row r="679" spans="1:15">
      <c r="A679" s="3"/>
      <c r="B679" s="3"/>
      <c r="C679" s="3"/>
      <c r="D679" s="3"/>
      <c r="E679" s="3"/>
      <c r="F679" s="3"/>
      <c r="G679" s="3"/>
      <c r="H679" s="12"/>
      <c r="I679" s="12"/>
      <c r="J679" s="12">
        <f t="shared" si="10"/>
        <v>0</v>
      </c>
      <c r="K679" s="12"/>
      <c r="L679" s="12"/>
      <c r="M679" s="12"/>
      <c r="N679" s="12"/>
      <c r="O679" s="3"/>
    </row>
    <row r="680" spans="1:15">
      <c r="A680" s="3"/>
      <c r="B680" s="3"/>
      <c r="C680" s="3"/>
      <c r="D680" s="3"/>
      <c r="E680" s="3"/>
      <c r="F680" s="3"/>
      <c r="G680" s="3"/>
      <c r="H680" s="12"/>
      <c r="I680" s="12"/>
      <c r="J680" s="12">
        <f t="shared" si="10"/>
        <v>0</v>
      </c>
      <c r="K680" s="12"/>
      <c r="L680" s="12"/>
      <c r="M680" s="12"/>
      <c r="N680" s="12"/>
      <c r="O680" s="3"/>
    </row>
    <row r="681" spans="1:15">
      <c r="A681" s="3"/>
      <c r="B681" s="3"/>
      <c r="C681" s="3"/>
      <c r="D681" s="3"/>
      <c r="E681" s="3"/>
      <c r="F681" s="3"/>
      <c r="G681" s="3"/>
      <c r="H681" s="12"/>
      <c r="I681" s="12"/>
      <c r="J681" s="12">
        <f t="shared" si="10"/>
        <v>0</v>
      </c>
      <c r="K681" s="12"/>
      <c r="L681" s="12"/>
      <c r="M681" s="12"/>
      <c r="N681" s="12"/>
      <c r="O681" s="3"/>
    </row>
    <row r="682" spans="1:15">
      <c r="A682" s="3"/>
      <c r="B682" s="3"/>
      <c r="C682" s="3"/>
      <c r="D682" s="3"/>
      <c r="E682" s="3"/>
      <c r="F682" s="3"/>
      <c r="G682" s="3"/>
      <c r="H682" s="12"/>
      <c r="I682" s="12"/>
      <c r="J682" s="12">
        <f t="shared" si="10"/>
        <v>0</v>
      </c>
      <c r="K682" s="12"/>
      <c r="L682" s="12"/>
      <c r="M682" s="12"/>
      <c r="N682" s="12"/>
      <c r="O682" s="3"/>
    </row>
    <row r="683" spans="1:15">
      <c r="A683" s="3"/>
      <c r="B683" s="3"/>
      <c r="C683" s="3"/>
      <c r="D683" s="3"/>
      <c r="E683" s="3"/>
      <c r="F683" s="3"/>
      <c r="G683" s="3"/>
      <c r="H683" s="12"/>
      <c r="I683" s="12"/>
      <c r="J683" s="12">
        <f t="shared" si="10"/>
        <v>0</v>
      </c>
      <c r="K683" s="12"/>
      <c r="L683" s="12"/>
      <c r="M683" s="12"/>
      <c r="N683" s="12"/>
      <c r="O683" s="3"/>
    </row>
    <row r="684" spans="1:15">
      <c r="A684" s="3"/>
      <c r="B684" s="3"/>
      <c r="C684" s="3"/>
      <c r="D684" s="3"/>
      <c r="E684" s="3"/>
      <c r="F684" s="3"/>
      <c r="G684" s="3"/>
      <c r="H684" s="12"/>
      <c r="I684" s="12"/>
      <c r="J684" s="12">
        <f t="shared" si="10"/>
        <v>0</v>
      </c>
      <c r="K684" s="12"/>
      <c r="L684" s="12"/>
      <c r="M684" s="12"/>
      <c r="N684" s="12"/>
      <c r="O684" s="3"/>
    </row>
    <row r="685" spans="1:15">
      <c r="A685" s="3"/>
      <c r="B685" s="3"/>
      <c r="C685" s="3"/>
      <c r="D685" s="3"/>
      <c r="E685" s="3"/>
      <c r="F685" s="3"/>
      <c r="G685" s="3"/>
      <c r="H685" s="12"/>
      <c r="I685" s="12"/>
      <c r="J685" s="12">
        <f t="shared" si="10"/>
        <v>0</v>
      </c>
      <c r="K685" s="12"/>
      <c r="L685" s="12"/>
      <c r="M685" s="12"/>
      <c r="N685" s="12"/>
      <c r="O685" s="3"/>
    </row>
    <row r="686" spans="1:15">
      <c r="A686" s="3"/>
      <c r="B686" s="3"/>
      <c r="C686" s="3"/>
      <c r="D686" s="3"/>
      <c r="E686" s="3"/>
      <c r="F686" s="3"/>
      <c r="G686" s="3"/>
      <c r="H686" s="12"/>
      <c r="I686" s="12"/>
      <c r="J686" s="12">
        <f t="shared" si="10"/>
        <v>0</v>
      </c>
      <c r="K686" s="12"/>
      <c r="L686" s="12"/>
      <c r="M686" s="12"/>
      <c r="N686" s="12"/>
      <c r="O686" s="3"/>
    </row>
    <row r="687" spans="1:15">
      <c r="A687" s="3"/>
      <c r="B687" s="3"/>
      <c r="C687" s="3"/>
      <c r="D687" s="3"/>
      <c r="E687" s="3"/>
      <c r="F687" s="3"/>
      <c r="G687" s="3"/>
      <c r="H687" s="12"/>
      <c r="I687" s="12"/>
      <c r="J687" s="12">
        <f t="shared" si="10"/>
        <v>0</v>
      </c>
      <c r="K687" s="12"/>
      <c r="L687" s="12"/>
      <c r="M687" s="12"/>
      <c r="N687" s="12"/>
      <c r="O687" s="3"/>
    </row>
    <row r="688" spans="1:15">
      <c r="A688" s="3"/>
      <c r="B688" s="3"/>
      <c r="C688" s="3"/>
      <c r="D688" s="3"/>
      <c r="E688" s="3"/>
      <c r="F688" s="3"/>
      <c r="G688" s="3"/>
      <c r="H688" s="12"/>
      <c r="I688" s="12"/>
      <c r="J688" s="12">
        <f t="shared" si="10"/>
        <v>0</v>
      </c>
      <c r="K688" s="12"/>
      <c r="L688" s="12"/>
      <c r="M688" s="12"/>
      <c r="N688" s="12"/>
      <c r="O688" s="3"/>
    </row>
    <row r="689" spans="1:15">
      <c r="A689" s="3"/>
      <c r="B689" s="3"/>
      <c r="C689" s="3"/>
      <c r="D689" s="3"/>
      <c r="E689" s="3"/>
      <c r="F689" s="3"/>
      <c r="G689" s="3"/>
      <c r="H689" s="12"/>
      <c r="I689" s="12"/>
      <c r="J689" s="12">
        <f t="shared" si="10"/>
        <v>0</v>
      </c>
      <c r="K689" s="12"/>
      <c r="L689" s="12"/>
      <c r="M689" s="12"/>
      <c r="N689" s="12"/>
      <c r="O689" s="3"/>
    </row>
    <row r="690" spans="1:15">
      <c r="A690" s="3"/>
      <c r="B690" s="3"/>
      <c r="C690" s="3"/>
      <c r="D690" s="3"/>
      <c r="E690" s="3"/>
      <c r="F690" s="3"/>
      <c r="G690" s="3"/>
      <c r="H690" s="12"/>
      <c r="I690" s="12"/>
      <c r="J690" s="12">
        <f t="shared" si="10"/>
        <v>0</v>
      </c>
      <c r="K690" s="12"/>
      <c r="L690" s="12"/>
      <c r="M690" s="12"/>
      <c r="N690" s="12"/>
      <c r="O690" s="3"/>
    </row>
    <row r="691" spans="1:15">
      <c r="A691" s="3"/>
      <c r="B691" s="3"/>
      <c r="C691" s="3"/>
      <c r="D691" s="3"/>
      <c r="E691" s="3"/>
      <c r="F691" s="3"/>
      <c r="G691" s="3"/>
      <c r="H691" s="12"/>
      <c r="I691" s="12"/>
      <c r="J691" s="12">
        <f t="shared" si="10"/>
        <v>0</v>
      </c>
      <c r="K691" s="12"/>
      <c r="L691" s="12"/>
      <c r="M691" s="12"/>
      <c r="N691" s="12"/>
      <c r="O691" s="3"/>
    </row>
    <row r="692" spans="1:15">
      <c r="A692" s="3"/>
      <c r="B692" s="3"/>
      <c r="C692" s="3"/>
      <c r="D692" s="3"/>
      <c r="E692" s="3"/>
      <c r="F692" s="3"/>
      <c r="G692" s="3"/>
      <c r="H692" s="12"/>
      <c r="I692" s="12"/>
      <c r="J692" s="12">
        <f t="shared" si="10"/>
        <v>0</v>
      </c>
      <c r="K692" s="12"/>
      <c r="L692" s="12"/>
      <c r="M692" s="12"/>
      <c r="N692" s="12"/>
      <c r="O692" s="3"/>
    </row>
    <row r="693" spans="1:15">
      <c r="A693" s="3"/>
      <c r="B693" s="3"/>
      <c r="C693" s="3"/>
      <c r="D693" s="3"/>
      <c r="E693" s="3"/>
      <c r="F693" s="3"/>
      <c r="G693" s="3"/>
      <c r="H693" s="12"/>
      <c r="I693" s="12"/>
      <c r="J693" s="12">
        <f t="shared" si="10"/>
        <v>0</v>
      </c>
      <c r="K693" s="12"/>
      <c r="L693" s="12"/>
      <c r="M693" s="12"/>
      <c r="N693" s="12"/>
      <c r="O693" s="3"/>
    </row>
    <row r="694" spans="1:15">
      <c r="A694" s="3"/>
      <c r="B694" s="3"/>
      <c r="C694" s="3"/>
      <c r="D694" s="3"/>
      <c r="E694" s="3"/>
      <c r="F694" s="3"/>
      <c r="G694" s="3"/>
      <c r="H694" s="12"/>
      <c r="I694" s="12"/>
      <c r="J694" s="12">
        <f t="shared" si="10"/>
        <v>0</v>
      </c>
      <c r="K694" s="12"/>
      <c r="L694" s="12"/>
      <c r="M694" s="12"/>
      <c r="N694" s="12"/>
      <c r="O694" s="3"/>
    </row>
    <row r="695" spans="1:15">
      <c r="A695" s="3"/>
      <c r="B695" s="3"/>
      <c r="C695" s="3"/>
      <c r="D695" s="3"/>
      <c r="E695" s="3"/>
      <c r="F695" s="3"/>
      <c r="G695" s="3"/>
      <c r="H695" s="12"/>
      <c r="I695" s="12"/>
      <c r="J695" s="12">
        <f t="shared" si="10"/>
        <v>0</v>
      </c>
      <c r="K695" s="12"/>
      <c r="L695" s="12"/>
      <c r="M695" s="12"/>
      <c r="N695" s="12"/>
      <c r="O695" s="3"/>
    </row>
    <row r="696" spans="1:15">
      <c r="A696" s="3"/>
      <c r="B696" s="3"/>
      <c r="C696" s="3"/>
      <c r="D696" s="3"/>
      <c r="E696" s="3"/>
      <c r="F696" s="3"/>
      <c r="G696" s="3"/>
      <c r="H696" s="12"/>
      <c r="I696" s="12"/>
      <c r="J696" s="12">
        <f t="shared" si="10"/>
        <v>0</v>
      </c>
      <c r="K696" s="12"/>
      <c r="L696" s="12"/>
      <c r="M696" s="12"/>
      <c r="N696" s="12"/>
      <c r="O696" s="3"/>
    </row>
    <row r="697" spans="1:15">
      <c r="A697" s="3"/>
      <c r="B697" s="3"/>
      <c r="C697" s="3"/>
      <c r="D697" s="3"/>
      <c r="E697" s="3"/>
      <c r="F697" s="3"/>
      <c r="G697" s="3"/>
      <c r="H697" s="12"/>
      <c r="I697" s="12"/>
      <c r="J697" s="12">
        <f t="shared" si="10"/>
        <v>0</v>
      </c>
      <c r="K697" s="12"/>
      <c r="L697" s="12"/>
      <c r="M697" s="12"/>
      <c r="N697" s="12"/>
      <c r="O697" s="3"/>
    </row>
    <row r="698" spans="1:15">
      <c r="A698" s="3"/>
      <c r="B698" s="3"/>
      <c r="C698" s="3"/>
      <c r="D698" s="3"/>
      <c r="E698" s="3"/>
      <c r="F698" s="3"/>
      <c r="G698" s="3"/>
      <c r="H698" s="12"/>
      <c r="I698" s="12"/>
      <c r="J698" s="12">
        <f t="shared" si="10"/>
        <v>0</v>
      </c>
      <c r="K698" s="12"/>
      <c r="L698" s="12"/>
      <c r="M698" s="12"/>
      <c r="N698" s="12"/>
      <c r="O698" s="3"/>
    </row>
    <row r="699" spans="1:15">
      <c r="A699" s="3"/>
      <c r="B699" s="3"/>
      <c r="C699" s="3"/>
      <c r="D699" s="3"/>
      <c r="E699" s="3"/>
      <c r="F699" s="3"/>
      <c r="G699" s="3"/>
      <c r="H699" s="12"/>
      <c r="I699" s="12"/>
      <c r="J699" s="12">
        <f t="shared" si="10"/>
        <v>0</v>
      </c>
      <c r="K699" s="12"/>
      <c r="L699" s="12"/>
      <c r="M699" s="12"/>
      <c r="N699" s="12"/>
      <c r="O699" s="3"/>
    </row>
    <row r="700" spans="1:15">
      <c r="A700" s="3"/>
      <c r="B700" s="3"/>
      <c r="C700" s="3"/>
      <c r="D700" s="3"/>
      <c r="E700" s="3"/>
      <c r="F700" s="3"/>
      <c r="G700" s="3"/>
      <c r="H700" s="12"/>
      <c r="I700" s="12"/>
      <c r="J700" s="12">
        <f t="shared" si="10"/>
        <v>0</v>
      </c>
      <c r="K700" s="12"/>
      <c r="L700" s="12"/>
      <c r="M700" s="12"/>
      <c r="N700" s="12"/>
      <c r="O700" s="3"/>
    </row>
    <row r="701" spans="1:15">
      <c r="A701" s="3"/>
      <c r="B701" s="3"/>
      <c r="C701" s="3"/>
      <c r="D701" s="3"/>
      <c r="E701" s="3"/>
      <c r="F701" s="3"/>
      <c r="G701" s="3"/>
      <c r="H701" s="12"/>
      <c r="I701" s="12"/>
      <c r="J701" s="12">
        <f t="shared" si="10"/>
        <v>0</v>
      </c>
      <c r="K701" s="12"/>
      <c r="L701" s="12"/>
      <c r="M701" s="12"/>
      <c r="N701" s="12"/>
      <c r="O701" s="3"/>
    </row>
    <row r="702" spans="1:15">
      <c r="A702" s="3"/>
      <c r="B702" s="3"/>
      <c r="C702" s="3"/>
      <c r="D702" s="3"/>
      <c r="E702" s="3"/>
      <c r="F702" s="3"/>
      <c r="G702" s="3"/>
      <c r="H702" s="12"/>
      <c r="I702" s="12"/>
      <c r="J702" s="12">
        <f t="shared" si="10"/>
        <v>0</v>
      </c>
      <c r="K702" s="12"/>
      <c r="L702" s="12"/>
      <c r="M702" s="12"/>
      <c r="N702" s="12"/>
      <c r="O702" s="3"/>
    </row>
    <row r="703" spans="1:15">
      <c r="A703" s="3"/>
      <c r="B703" s="3"/>
      <c r="C703" s="3"/>
      <c r="D703" s="3"/>
      <c r="E703" s="3"/>
      <c r="F703" s="3"/>
      <c r="G703" s="3"/>
      <c r="H703" s="12"/>
      <c r="I703" s="12"/>
      <c r="J703" s="12">
        <f t="shared" si="10"/>
        <v>0</v>
      </c>
      <c r="K703" s="12"/>
      <c r="L703" s="12"/>
      <c r="M703" s="12"/>
      <c r="N703" s="12"/>
      <c r="O703" s="3"/>
    </row>
    <row r="704" spans="1:15">
      <c r="A704" s="3"/>
      <c r="B704" s="3"/>
      <c r="C704" s="3"/>
      <c r="D704" s="3"/>
      <c r="E704" s="3"/>
      <c r="F704" s="3"/>
      <c r="G704" s="3"/>
      <c r="H704" s="12"/>
      <c r="I704" s="12"/>
      <c r="J704" s="12">
        <f t="shared" si="10"/>
        <v>0</v>
      </c>
      <c r="K704" s="12"/>
      <c r="L704" s="12"/>
      <c r="M704" s="12"/>
      <c r="N704" s="12"/>
      <c r="O704" s="3"/>
    </row>
    <row r="705" spans="1:15">
      <c r="A705" s="3"/>
      <c r="B705" s="3"/>
      <c r="C705" s="3"/>
      <c r="D705" s="3"/>
      <c r="E705" s="3"/>
      <c r="F705" s="3"/>
      <c r="G705" s="3"/>
      <c r="H705" s="12"/>
      <c r="I705" s="12"/>
      <c r="J705" s="12">
        <f t="shared" si="10"/>
        <v>0</v>
      </c>
      <c r="K705" s="12"/>
      <c r="L705" s="12"/>
      <c r="M705" s="12"/>
      <c r="N705" s="12"/>
      <c r="O705" s="3"/>
    </row>
    <row r="706" spans="1:15">
      <c r="A706" s="3"/>
      <c r="B706" s="3"/>
      <c r="C706" s="3"/>
      <c r="D706" s="3"/>
      <c r="E706" s="3"/>
      <c r="F706" s="3"/>
      <c r="G706" s="3"/>
      <c r="H706" s="12"/>
      <c r="I706" s="12"/>
      <c r="J706" s="12">
        <f t="shared" si="10"/>
        <v>0</v>
      </c>
      <c r="K706" s="12"/>
      <c r="L706" s="12"/>
      <c r="M706" s="12"/>
      <c r="N706" s="12"/>
      <c r="O706" s="3"/>
    </row>
    <row r="707" spans="1:15">
      <c r="A707" s="3"/>
      <c r="B707" s="3"/>
      <c r="C707" s="3"/>
      <c r="D707" s="3"/>
      <c r="E707" s="3"/>
      <c r="F707" s="3"/>
      <c r="G707" s="3"/>
      <c r="H707" s="12"/>
      <c r="I707" s="12"/>
      <c r="J707" s="12">
        <f t="shared" si="10"/>
        <v>0</v>
      </c>
      <c r="K707" s="12"/>
      <c r="L707" s="12"/>
      <c r="M707" s="12"/>
      <c r="N707" s="12"/>
      <c r="O707" s="3"/>
    </row>
    <row r="708" spans="1:15">
      <c r="A708" s="3"/>
      <c r="B708" s="3"/>
      <c r="C708" s="3"/>
      <c r="D708" s="3"/>
      <c r="E708" s="3"/>
      <c r="F708" s="3"/>
      <c r="G708" s="3"/>
      <c r="H708" s="12"/>
      <c r="I708" s="12"/>
      <c r="J708" s="12">
        <f t="shared" si="10"/>
        <v>0</v>
      </c>
      <c r="K708" s="12"/>
      <c r="L708" s="12"/>
      <c r="M708" s="12"/>
      <c r="N708" s="12"/>
      <c r="O708" s="3"/>
    </row>
    <row r="709" spans="1:15">
      <c r="A709" s="3"/>
      <c r="B709" s="3"/>
      <c r="C709" s="3"/>
      <c r="D709" s="3"/>
      <c r="E709" s="3"/>
      <c r="F709" s="3"/>
      <c r="G709" s="3"/>
      <c r="H709" s="12"/>
      <c r="I709" s="12"/>
      <c r="J709" s="12">
        <f t="shared" si="10"/>
        <v>0</v>
      </c>
      <c r="K709" s="12"/>
      <c r="L709" s="12"/>
      <c r="M709" s="12"/>
      <c r="N709" s="12"/>
      <c r="O709" s="3"/>
    </row>
    <row r="710" spans="1:15">
      <c r="A710" s="3"/>
      <c r="B710" s="3"/>
      <c r="C710" s="3"/>
      <c r="D710" s="3"/>
      <c r="E710" s="3"/>
      <c r="F710" s="3"/>
      <c r="G710" s="3"/>
      <c r="H710" s="12"/>
      <c r="I710" s="12"/>
      <c r="J710" s="12">
        <f t="shared" ref="J710:J725" si="11">IFERROR($H710*$I710,0)</f>
        <v>0</v>
      </c>
      <c r="K710" s="12"/>
      <c r="L710" s="12"/>
      <c r="M710" s="12"/>
      <c r="N710" s="12"/>
      <c r="O710" s="3"/>
    </row>
    <row r="711" spans="1:15">
      <c r="A711" s="3"/>
      <c r="B711" s="3"/>
      <c r="C711" s="3"/>
      <c r="D711" s="3"/>
      <c r="E711" s="3"/>
      <c r="F711" s="3"/>
      <c r="G711" s="3"/>
      <c r="H711" s="12"/>
      <c r="I711" s="12"/>
      <c r="J711" s="12">
        <f t="shared" si="11"/>
        <v>0</v>
      </c>
      <c r="K711" s="12"/>
      <c r="L711" s="12"/>
      <c r="M711" s="12"/>
      <c r="N711" s="12"/>
      <c r="O711" s="3"/>
    </row>
    <row r="712" spans="1:15">
      <c r="A712" s="3"/>
      <c r="B712" s="3"/>
      <c r="C712" s="3"/>
      <c r="D712" s="3"/>
      <c r="E712" s="3"/>
      <c r="F712" s="3"/>
      <c r="G712" s="3"/>
      <c r="H712" s="12"/>
      <c r="I712" s="12"/>
      <c r="J712" s="12">
        <f t="shared" si="11"/>
        <v>0</v>
      </c>
      <c r="K712" s="12"/>
      <c r="L712" s="12"/>
      <c r="M712" s="12"/>
      <c r="N712" s="12"/>
      <c r="O712" s="3"/>
    </row>
    <row r="713" spans="1:15">
      <c r="A713" s="3"/>
      <c r="B713" s="3"/>
      <c r="C713" s="3"/>
      <c r="D713" s="3"/>
      <c r="E713" s="3"/>
      <c r="F713" s="3"/>
      <c r="G713" s="3"/>
      <c r="H713" s="12"/>
      <c r="I713" s="12"/>
      <c r="J713" s="12">
        <f t="shared" si="11"/>
        <v>0</v>
      </c>
      <c r="K713" s="12"/>
      <c r="L713" s="12"/>
      <c r="M713" s="12"/>
      <c r="N713" s="12"/>
      <c r="O713" s="3"/>
    </row>
    <row r="714" spans="1:15">
      <c r="A714" s="3"/>
      <c r="B714" s="3"/>
      <c r="C714" s="3"/>
      <c r="D714" s="3"/>
      <c r="E714" s="3"/>
      <c r="F714" s="3"/>
      <c r="G714" s="3"/>
      <c r="H714" s="12"/>
      <c r="I714" s="12"/>
      <c r="J714" s="12">
        <f t="shared" si="11"/>
        <v>0</v>
      </c>
      <c r="K714" s="12"/>
      <c r="L714" s="12"/>
      <c r="M714" s="12"/>
      <c r="N714" s="12"/>
      <c r="O714" s="3"/>
    </row>
    <row r="715" spans="1:15">
      <c r="A715" s="3"/>
      <c r="B715" s="3"/>
      <c r="C715" s="3"/>
      <c r="D715" s="3"/>
      <c r="E715" s="3"/>
      <c r="F715" s="3"/>
      <c r="G715" s="3"/>
      <c r="H715" s="12"/>
      <c r="I715" s="12"/>
      <c r="J715" s="12">
        <f t="shared" si="11"/>
        <v>0</v>
      </c>
      <c r="K715" s="12"/>
      <c r="L715" s="12"/>
      <c r="M715" s="12"/>
      <c r="N715" s="12"/>
      <c r="O715" s="3"/>
    </row>
    <row r="716" spans="1:15">
      <c r="A716" s="3"/>
      <c r="B716" s="3"/>
      <c r="C716" s="3"/>
      <c r="D716" s="3"/>
      <c r="E716" s="3"/>
      <c r="F716" s="3"/>
      <c r="G716" s="3"/>
      <c r="H716" s="12"/>
      <c r="I716" s="12"/>
      <c r="J716" s="12">
        <f t="shared" si="11"/>
        <v>0</v>
      </c>
      <c r="K716" s="12"/>
      <c r="L716" s="12"/>
      <c r="M716" s="12"/>
      <c r="N716" s="12"/>
      <c r="O716" s="3"/>
    </row>
    <row r="717" spans="1:15">
      <c r="A717" s="3"/>
      <c r="B717" s="3"/>
      <c r="C717" s="3"/>
      <c r="D717" s="3"/>
      <c r="E717" s="3"/>
      <c r="F717" s="3"/>
      <c r="G717" s="3"/>
      <c r="H717" s="12"/>
      <c r="I717" s="12"/>
      <c r="J717" s="12">
        <f t="shared" si="11"/>
        <v>0</v>
      </c>
      <c r="K717" s="12"/>
      <c r="L717" s="12"/>
      <c r="M717" s="12"/>
      <c r="N717" s="12"/>
      <c r="O717" s="3"/>
    </row>
    <row r="718" spans="1:15">
      <c r="A718" s="3"/>
      <c r="B718" s="3"/>
      <c r="C718" s="3"/>
      <c r="D718" s="3"/>
      <c r="E718" s="3"/>
      <c r="F718" s="3"/>
      <c r="G718" s="3"/>
      <c r="H718" s="12"/>
      <c r="I718" s="12"/>
      <c r="J718" s="12">
        <f t="shared" si="11"/>
        <v>0</v>
      </c>
      <c r="K718" s="12"/>
      <c r="L718" s="12"/>
      <c r="M718" s="12"/>
      <c r="N718" s="12"/>
      <c r="O718" s="3"/>
    </row>
    <row r="719" spans="1:15">
      <c r="A719" s="3"/>
      <c r="B719" s="3"/>
      <c r="C719" s="3"/>
      <c r="D719" s="3"/>
      <c r="E719" s="3"/>
      <c r="F719" s="3"/>
      <c r="G719" s="3"/>
      <c r="H719" s="12"/>
      <c r="I719" s="12"/>
      <c r="J719" s="12">
        <f t="shared" si="11"/>
        <v>0</v>
      </c>
      <c r="K719" s="12"/>
      <c r="L719" s="12"/>
      <c r="M719" s="12"/>
      <c r="N719" s="12"/>
      <c r="O719" s="3"/>
    </row>
    <row r="720" spans="1:15">
      <c r="A720" s="3"/>
      <c r="B720" s="3"/>
      <c r="C720" s="3"/>
      <c r="D720" s="3"/>
      <c r="E720" s="3"/>
      <c r="F720" s="3"/>
      <c r="G720" s="3"/>
      <c r="H720" s="12"/>
      <c r="I720" s="12"/>
      <c r="J720" s="12">
        <f t="shared" si="11"/>
        <v>0</v>
      </c>
      <c r="K720" s="12"/>
      <c r="L720" s="12"/>
      <c r="M720" s="12"/>
      <c r="N720" s="12"/>
      <c r="O720" s="3"/>
    </row>
    <row r="721" spans="1:15">
      <c r="A721" s="3"/>
      <c r="B721" s="3"/>
      <c r="C721" s="3"/>
      <c r="D721" s="3"/>
      <c r="E721" s="3"/>
      <c r="F721" s="3"/>
      <c r="G721" s="3"/>
      <c r="H721" s="12"/>
      <c r="I721" s="12"/>
      <c r="J721" s="12">
        <f t="shared" si="11"/>
        <v>0</v>
      </c>
      <c r="K721" s="12"/>
      <c r="L721" s="12"/>
      <c r="M721" s="12"/>
      <c r="N721" s="12"/>
      <c r="O721" s="3"/>
    </row>
    <row r="722" spans="1:15">
      <c r="A722" s="3"/>
      <c r="B722" s="3"/>
      <c r="C722" s="3"/>
      <c r="D722" s="3"/>
      <c r="E722" s="3"/>
      <c r="F722" s="3"/>
      <c r="G722" s="3"/>
      <c r="H722" s="12"/>
      <c r="I722" s="12"/>
      <c r="J722" s="12">
        <f t="shared" si="11"/>
        <v>0</v>
      </c>
      <c r="K722" s="12"/>
      <c r="L722" s="12"/>
      <c r="M722" s="12"/>
      <c r="N722" s="12"/>
      <c r="O722" s="3"/>
    </row>
    <row r="723" spans="1:15">
      <c r="A723" s="3"/>
      <c r="B723" s="3"/>
      <c r="C723" s="3"/>
      <c r="D723" s="3"/>
      <c r="E723" s="3"/>
      <c r="F723" s="3"/>
      <c r="G723" s="3"/>
      <c r="H723" s="12"/>
      <c r="I723" s="12"/>
      <c r="J723" s="12">
        <f t="shared" si="11"/>
        <v>0</v>
      </c>
      <c r="K723" s="12"/>
      <c r="L723" s="12"/>
      <c r="M723" s="12"/>
      <c r="N723" s="12"/>
      <c r="O723" s="3"/>
    </row>
    <row r="724" spans="1:15">
      <c r="A724" s="3"/>
      <c r="B724" s="3"/>
      <c r="C724" s="3"/>
      <c r="D724" s="3"/>
      <c r="E724" s="3"/>
      <c r="F724" s="3"/>
      <c r="G724" s="3"/>
      <c r="H724" s="12"/>
      <c r="I724" s="12"/>
      <c r="J724" s="12">
        <f t="shared" si="11"/>
        <v>0</v>
      </c>
      <c r="K724" s="12"/>
      <c r="L724" s="12"/>
      <c r="M724" s="12"/>
      <c r="N724" s="12"/>
      <c r="O724" s="3"/>
    </row>
    <row r="725" spans="1:15">
      <c r="A725" s="3"/>
      <c r="B725" s="3"/>
      <c r="C725" s="3"/>
      <c r="D725" s="3"/>
      <c r="E725" s="3"/>
      <c r="F725" s="3"/>
      <c r="G725" s="3"/>
      <c r="H725" s="12"/>
      <c r="I725" s="12"/>
      <c r="J725" s="12">
        <f t="shared" si="11"/>
        <v>0</v>
      </c>
      <c r="K725" s="12"/>
      <c r="L725" s="12"/>
      <c r="M725" s="12"/>
      <c r="N725" s="12"/>
      <c r="O725" s="3"/>
    </row>
  </sheetData>
  <mergeCells count="2">
    <mergeCell ref="A1:O1"/>
    <mergeCell ref="A3:O3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"/>
  <sheetViews>
    <sheetView showGridLines="0" zoomScale="25" zoomScaleNormal="25" workbookViewId="0">
      <pane ySplit="5" topLeftCell="A6" activePane="bottomLeft" state="frozen"/>
      <selection pane="bottomLeft" activeCell="B36" sqref="B36"/>
    </sheetView>
  </sheetViews>
  <sheetFormatPr defaultRowHeight="14.25"/>
  <cols>
    <col min="1" max="1" width="12" customWidth="1"/>
    <col min="2" max="2" width="27" customWidth="1"/>
    <col min="3" max="3" width="12" customWidth="1"/>
    <col min="4" max="4" width="13" customWidth="1"/>
    <col min="5" max="5" width="12" customWidth="1"/>
    <col min="6" max="6" width="13" customWidth="1"/>
    <col min="7" max="8" width="14.875" customWidth="1"/>
    <col min="9" max="9" width="10" customWidth="1"/>
    <col min="10" max="10" width="12" customWidth="1"/>
    <col min="11" max="11" width="14" customWidth="1"/>
    <col min="12" max="12" width="12" customWidth="1"/>
    <col min="13" max="13" width="30" customWidth="1"/>
  </cols>
  <sheetData>
    <row r="1" spans="1:13" ht="30" customHeight="1">
      <c r="A1" s="28" t="s">
        <v>139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29" t="s">
        <v>140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</row>
    <row r="4" spans="1:1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s="20" customFormat="1" ht="25.5">
      <c r="A5" s="19" t="s">
        <v>98</v>
      </c>
      <c r="B5" s="19" t="s">
        <v>59</v>
      </c>
      <c r="C5" s="19" t="s">
        <v>62</v>
      </c>
      <c r="D5" s="19" t="s">
        <v>141</v>
      </c>
      <c r="E5" s="19" t="s">
        <v>142</v>
      </c>
      <c r="F5" s="19" t="s">
        <v>143</v>
      </c>
      <c r="G5" s="19" t="s">
        <v>60</v>
      </c>
      <c r="H5" s="19" t="s">
        <v>61</v>
      </c>
      <c r="I5" s="19" t="s">
        <v>144</v>
      </c>
      <c r="J5" s="19" t="s">
        <v>145</v>
      </c>
      <c r="K5" s="19" t="s">
        <v>146</v>
      </c>
      <c r="L5" s="19" t="s">
        <v>68</v>
      </c>
      <c r="M5" s="19" t="s">
        <v>69</v>
      </c>
    </row>
    <row r="6" spans="1:13">
      <c r="A6" s="3">
        <f>Продукты!A6</f>
        <v>1</v>
      </c>
      <c r="B6" s="3" t="str">
        <f>Продукты!C6</f>
        <v>Овсяные хлопья</v>
      </c>
      <c r="C6" s="3" t="str">
        <f>Продукты!F6</f>
        <v>г</v>
      </c>
      <c r="D6" s="12">
        <f>SUMIF(Калькуляция!$E$6:$E$630,$A6,Калькуляция!$J$6:$J$630)</f>
        <v>0</v>
      </c>
      <c r="E6" s="12">
        <f>$D6*Ввод!$B$6</f>
        <v>0</v>
      </c>
      <c r="F6" s="12">
        <f t="shared" ref="F6:F31" si="0">IF($L6="Да",ROUNDUP(($D6+$E6)/$H6,0)*$H6,0)</f>
        <v>0</v>
      </c>
      <c r="G6" s="12" t="str">
        <f>Продукты!D6</f>
        <v>пачка</v>
      </c>
      <c r="H6" s="12">
        <f>Продукты!E6</f>
        <v>500</v>
      </c>
      <c r="I6" s="13">
        <f t="shared" ref="I6:I31" si="1">IFERROR(ROUNDUP(($D6+$E6)/$H6,0),0)</f>
        <v>0</v>
      </c>
      <c r="J6" s="12">
        <f>Продукты!K6</f>
        <v>650</v>
      </c>
      <c r="K6" s="12">
        <f t="shared" ref="K6:K31" si="2">$I6*$J6</f>
        <v>0</v>
      </c>
      <c r="L6" s="3" t="str">
        <f>Продукты!L6</f>
        <v>Да</v>
      </c>
      <c r="M6" s="3" t="str">
        <f>Продукты!M6</f>
        <v>Завтрак</v>
      </c>
    </row>
    <row r="7" spans="1:13">
      <c r="A7" s="3">
        <f>Продукты!A7</f>
        <v>0</v>
      </c>
      <c r="B7" s="3">
        <f>Продукты!C7</f>
        <v>0</v>
      </c>
      <c r="C7" s="3">
        <f>Продукты!F7</f>
        <v>0</v>
      </c>
      <c r="D7" s="12">
        <f>SUMIF(Калькуляция!$E$6:$E$630,$A7,Калькуляция!$J$6:$J$630)</f>
        <v>0</v>
      </c>
      <c r="E7" s="12">
        <f>$D7*Ввод!$B$6</f>
        <v>0</v>
      </c>
      <c r="F7" s="12">
        <f t="shared" si="0"/>
        <v>0</v>
      </c>
      <c r="G7" s="12">
        <f>Продукты!D7</f>
        <v>0</v>
      </c>
      <c r="H7" s="12">
        <f>Продукты!E7</f>
        <v>0</v>
      </c>
      <c r="I7" s="13">
        <f t="shared" si="1"/>
        <v>0</v>
      </c>
      <c r="J7" s="12">
        <f>Продукты!K7</f>
        <v>0</v>
      </c>
      <c r="K7" s="12">
        <f t="shared" si="2"/>
        <v>0</v>
      </c>
      <c r="L7" s="3">
        <f>Продукты!L7</f>
        <v>0</v>
      </c>
      <c r="M7" s="3">
        <f>Продукты!M7</f>
        <v>0</v>
      </c>
    </row>
    <row r="8" spans="1:13">
      <c r="A8" s="3">
        <f>Продукты!A8</f>
        <v>0</v>
      </c>
      <c r="B8" s="3">
        <f>Продукты!C8</f>
        <v>0</v>
      </c>
      <c r="C8" s="3">
        <f>Продукты!F8</f>
        <v>0</v>
      </c>
      <c r="D8" s="12">
        <f>SUMIF(Калькуляция!$E$6:$E$630,$A8,Калькуляция!$J$6:$J$630)</f>
        <v>0</v>
      </c>
      <c r="E8" s="12">
        <f>$D8*Ввод!$B$6</f>
        <v>0</v>
      </c>
      <c r="F8" s="12">
        <f t="shared" si="0"/>
        <v>0</v>
      </c>
      <c r="G8" s="12">
        <f>Продукты!D8</f>
        <v>0</v>
      </c>
      <c r="H8" s="12">
        <f>Продукты!E8</f>
        <v>0</v>
      </c>
      <c r="I8" s="13">
        <f t="shared" si="1"/>
        <v>0</v>
      </c>
      <c r="J8" s="12">
        <f>Продукты!K8</f>
        <v>0</v>
      </c>
      <c r="K8" s="12">
        <f t="shared" si="2"/>
        <v>0</v>
      </c>
      <c r="L8" s="3">
        <f>Продукты!L8</f>
        <v>0</v>
      </c>
      <c r="M8" s="3">
        <f>Продукты!M8</f>
        <v>0</v>
      </c>
    </row>
    <row r="9" spans="1:13">
      <c r="A9" s="3">
        <f>Продукты!A9</f>
        <v>0</v>
      </c>
      <c r="B9" s="3">
        <f>Продукты!C9</f>
        <v>0</v>
      </c>
      <c r="C9" s="3">
        <f>Продукты!F9</f>
        <v>0</v>
      </c>
      <c r="D9" s="12">
        <f>SUMIF(Калькуляция!$E$6:$E$630,$A9,Калькуляция!$J$6:$J$630)</f>
        <v>0</v>
      </c>
      <c r="E9" s="12">
        <f>$D9*Ввод!$B$6</f>
        <v>0</v>
      </c>
      <c r="F9" s="12">
        <f t="shared" si="0"/>
        <v>0</v>
      </c>
      <c r="G9" s="12">
        <f>Продукты!D9</f>
        <v>0</v>
      </c>
      <c r="H9" s="12">
        <f>Продукты!E9</f>
        <v>0</v>
      </c>
      <c r="I9" s="13">
        <f t="shared" si="1"/>
        <v>0</v>
      </c>
      <c r="J9" s="12">
        <f>Продукты!K9</f>
        <v>0</v>
      </c>
      <c r="K9" s="12">
        <f t="shared" si="2"/>
        <v>0</v>
      </c>
      <c r="L9" s="3">
        <f>Продукты!L9</f>
        <v>0</v>
      </c>
      <c r="M9" s="3">
        <f>Продукты!M9</f>
        <v>0</v>
      </c>
    </row>
    <row r="10" spans="1:13">
      <c r="A10" s="3">
        <f>Продукты!A10</f>
        <v>0</v>
      </c>
      <c r="B10" s="3">
        <f>Продукты!C10</f>
        <v>0</v>
      </c>
      <c r="C10" s="3">
        <f>Продукты!F10</f>
        <v>0</v>
      </c>
      <c r="D10" s="12">
        <f>SUMIF(Калькуляция!$E$6:$E$630,$A10,Калькуляция!$J$6:$J$630)</f>
        <v>0</v>
      </c>
      <c r="E10" s="12">
        <f>$D10*Ввод!$B$6</f>
        <v>0</v>
      </c>
      <c r="F10" s="12">
        <f t="shared" si="0"/>
        <v>0</v>
      </c>
      <c r="G10" s="12">
        <f>Продукты!D10</f>
        <v>0</v>
      </c>
      <c r="H10" s="12">
        <f>Продукты!E10</f>
        <v>0</v>
      </c>
      <c r="I10" s="13">
        <f t="shared" si="1"/>
        <v>0</v>
      </c>
      <c r="J10" s="12">
        <f>Продукты!K10</f>
        <v>0</v>
      </c>
      <c r="K10" s="12">
        <f t="shared" si="2"/>
        <v>0</v>
      </c>
      <c r="L10" s="3">
        <f>Продукты!L10</f>
        <v>0</v>
      </c>
      <c r="M10" s="3">
        <f>Продукты!M10</f>
        <v>0</v>
      </c>
    </row>
    <row r="11" spans="1:13">
      <c r="A11" s="3">
        <f>Продукты!A11</f>
        <v>0</v>
      </c>
      <c r="B11" s="3">
        <f>Продукты!C11</f>
        <v>0</v>
      </c>
      <c r="C11" s="3">
        <f>Продукты!F11</f>
        <v>0</v>
      </c>
      <c r="D11" s="12">
        <f>SUMIF(Калькуляция!$E$6:$E$630,$A11,Калькуляция!$J$6:$J$630)</f>
        <v>0</v>
      </c>
      <c r="E11" s="12">
        <f>$D11*Ввод!$B$6</f>
        <v>0</v>
      </c>
      <c r="F11" s="12">
        <f t="shared" si="0"/>
        <v>0</v>
      </c>
      <c r="G11" s="12">
        <f>Продукты!D11</f>
        <v>0</v>
      </c>
      <c r="H11" s="12">
        <f>Продукты!E11</f>
        <v>0</v>
      </c>
      <c r="I11" s="13">
        <f t="shared" si="1"/>
        <v>0</v>
      </c>
      <c r="J11" s="12">
        <f>Продукты!K11</f>
        <v>0</v>
      </c>
      <c r="K11" s="12">
        <f t="shared" si="2"/>
        <v>0</v>
      </c>
      <c r="L11" s="3">
        <f>Продукты!L11</f>
        <v>0</v>
      </c>
      <c r="M11" s="3">
        <f>Продукты!M11</f>
        <v>0</v>
      </c>
    </row>
    <row r="12" spans="1:13">
      <c r="A12" s="3">
        <f>Продукты!A12</f>
        <v>0</v>
      </c>
      <c r="B12" s="3">
        <f>Продукты!C12</f>
        <v>0</v>
      </c>
      <c r="C12" s="3">
        <f>Продукты!F12</f>
        <v>0</v>
      </c>
      <c r="D12" s="12">
        <f>SUMIF(Калькуляция!$E$6:$E$630,$A12,Калькуляция!$J$6:$J$630)</f>
        <v>0</v>
      </c>
      <c r="E12" s="12">
        <f>$D12*Ввод!$B$6</f>
        <v>0</v>
      </c>
      <c r="F12" s="12">
        <f t="shared" si="0"/>
        <v>0</v>
      </c>
      <c r="G12" s="12">
        <f>Продукты!D12</f>
        <v>0</v>
      </c>
      <c r="H12" s="12">
        <f>Продукты!E12</f>
        <v>0</v>
      </c>
      <c r="I12" s="13">
        <f t="shared" si="1"/>
        <v>0</v>
      </c>
      <c r="J12" s="12">
        <f>Продукты!K12</f>
        <v>0</v>
      </c>
      <c r="K12" s="12">
        <f t="shared" si="2"/>
        <v>0</v>
      </c>
      <c r="L12" s="3">
        <f>Продукты!L12</f>
        <v>0</v>
      </c>
      <c r="M12" s="3">
        <f>Продукты!M12</f>
        <v>0</v>
      </c>
    </row>
    <row r="13" spans="1:13">
      <c r="A13" s="3">
        <f>Продукты!A13</f>
        <v>0</v>
      </c>
      <c r="B13" s="3">
        <f>Продукты!C13</f>
        <v>0</v>
      </c>
      <c r="C13" s="3">
        <f>Продукты!F13</f>
        <v>0</v>
      </c>
      <c r="D13" s="12">
        <f>SUMIF(Калькуляция!$E$6:$E$630,$A13,Калькуляция!$J$6:$J$630)</f>
        <v>0</v>
      </c>
      <c r="E13" s="12">
        <f>$D13*Ввод!$B$6</f>
        <v>0</v>
      </c>
      <c r="F13" s="12">
        <f t="shared" si="0"/>
        <v>0</v>
      </c>
      <c r="G13" s="12">
        <f>Продукты!D13</f>
        <v>0</v>
      </c>
      <c r="H13" s="12">
        <f>Продукты!E13</f>
        <v>0</v>
      </c>
      <c r="I13" s="13">
        <f t="shared" si="1"/>
        <v>0</v>
      </c>
      <c r="J13" s="12">
        <f>Продукты!K13</f>
        <v>0</v>
      </c>
      <c r="K13" s="12">
        <f t="shared" si="2"/>
        <v>0</v>
      </c>
      <c r="L13" s="3">
        <f>Продукты!L13</f>
        <v>0</v>
      </c>
      <c r="M13" s="3">
        <f>Продукты!M13</f>
        <v>0</v>
      </c>
    </row>
    <row r="14" spans="1:13">
      <c r="A14" s="3">
        <f>Продукты!A14</f>
        <v>0</v>
      </c>
      <c r="B14" s="3">
        <f>Продукты!C14</f>
        <v>0</v>
      </c>
      <c r="C14" s="3">
        <f>Продукты!F14</f>
        <v>0</v>
      </c>
      <c r="D14" s="12">
        <f>SUMIF(Калькуляция!$E$6:$E$630,$A14,Калькуляция!$J$6:$J$630)</f>
        <v>0</v>
      </c>
      <c r="E14" s="12">
        <f>$D14*Ввод!$B$6</f>
        <v>0</v>
      </c>
      <c r="F14" s="12">
        <f t="shared" si="0"/>
        <v>0</v>
      </c>
      <c r="G14" s="12">
        <f>Продукты!D14</f>
        <v>0</v>
      </c>
      <c r="H14" s="12">
        <f>Продукты!E14</f>
        <v>0</v>
      </c>
      <c r="I14" s="13">
        <f t="shared" si="1"/>
        <v>0</v>
      </c>
      <c r="J14" s="12">
        <f>Продукты!K14</f>
        <v>0</v>
      </c>
      <c r="K14" s="12">
        <f t="shared" si="2"/>
        <v>0</v>
      </c>
      <c r="L14" s="3">
        <f>Продукты!L14</f>
        <v>0</v>
      </c>
      <c r="M14" s="3">
        <f>Продукты!M14</f>
        <v>0</v>
      </c>
    </row>
    <row r="15" spans="1:13">
      <c r="A15" s="3">
        <f>Продукты!A15</f>
        <v>0</v>
      </c>
      <c r="B15" s="3">
        <f>Продукты!C15</f>
        <v>0</v>
      </c>
      <c r="C15" s="3">
        <f>Продукты!F15</f>
        <v>0</v>
      </c>
      <c r="D15" s="12">
        <f>SUMIF(Калькуляция!$E$6:$E$630,$A15,Калькуляция!$J$6:$J$630)</f>
        <v>0</v>
      </c>
      <c r="E15" s="12">
        <f>$D15*Ввод!$B$6</f>
        <v>0</v>
      </c>
      <c r="F15" s="12">
        <f t="shared" si="0"/>
        <v>0</v>
      </c>
      <c r="G15" s="12">
        <f>Продукты!D15</f>
        <v>0</v>
      </c>
      <c r="H15" s="12">
        <f>Продукты!E15</f>
        <v>0</v>
      </c>
      <c r="I15" s="13">
        <f t="shared" si="1"/>
        <v>0</v>
      </c>
      <c r="J15" s="12">
        <f>Продукты!K15</f>
        <v>0</v>
      </c>
      <c r="K15" s="12">
        <f t="shared" si="2"/>
        <v>0</v>
      </c>
      <c r="L15" s="3">
        <f>Продукты!L15</f>
        <v>0</v>
      </c>
      <c r="M15" s="3">
        <f>Продукты!M15</f>
        <v>0</v>
      </c>
    </row>
    <row r="16" spans="1:13">
      <c r="A16" s="3">
        <f>Продукты!A16</f>
        <v>0</v>
      </c>
      <c r="B16" s="3">
        <f>Продукты!C16</f>
        <v>0</v>
      </c>
      <c r="C16" s="3">
        <f>Продукты!F16</f>
        <v>0</v>
      </c>
      <c r="D16" s="12">
        <f>SUMIF(Калькуляция!$E$6:$E$630,$A16,Калькуляция!$J$6:$J$630)</f>
        <v>0</v>
      </c>
      <c r="E16" s="12">
        <f>$D16*Ввод!$B$6</f>
        <v>0</v>
      </c>
      <c r="F16" s="12">
        <f t="shared" si="0"/>
        <v>0</v>
      </c>
      <c r="G16" s="12">
        <f>Продукты!D16</f>
        <v>0</v>
      </c>
      <c r="H16" s="12">
        <f>Продукты!E16</f>
        <v>0</v>
      </c>
      <c r="I16" s="13">
        <f t="shared" si="1"/>
        <v>0</v>
      </c>
      <c r="J16" s="12">
        <f>Продукты!K16</f>
        <v>0</v>
      </c>
      <c r="K16" s="12">
        <f t="shared" si="2"/>
        <v>0</v>
      </c>
      <c r="L16" s="3">
        <f>Продукты!L16</f>
        <v>0</v>
      </c>
      <c r="M16" s="3">
        <f>Продукты!M16</f>
        <v>0</v>
      </c>
    </row>
    <row r="17" spans="1:13">
      <c r="A17" s="3">
        <f>Продукты!A17</f>
        <v>0</v>
      </c>
      <c r="B17" s="3">
        <f>Продукты!C17</f>
        <v>0</v>
      </c>
      <c r="C17" s="3">
        <f>Продукты!F17</f>
        <v>0</v>
      </c>
      <c r="D17" s="12">
        <f>SUMIF(Калькуляция!$E$6:$E$630,$A17,Калькуляция!$J$6:$J$630)</f>
        <v>0</v>
      </c>
      <c r="E17" s="12">
        <f>$D17*Ввод!$B$6</f>
        <v>0</v>
      </c>
      <c r="F17" s="12">
        <f t="shared" si="0"/>
        <v>0</v>
      </c>
      <c r="G17" s="12">
        <f>Продукты!D17</f>
        <v>0</v>
      </c>
      <c r="H17" s="12">
        <f>Продукты!E17</f>
        <v>0</v>
      </c>
      <c r="I17" s="13">
        <f t="shared" si="1"/>
        <v>0</v>
      </c>
      <c r="J17" s="12">
        <f>Продукты!K17</f>
        <v>0</v>
      </c>
      <c r="K17" s="12">
        <f t="shared" si="2"/>
        <v>0</v>
      </c>
      <c r="L17" s="3">
        <f>Продукты!L17</f>
        <v>0</v>
      </c>
      <c r="M17" s="3">
        <f>Продукты!M17</f>
        <v>0</v>
      </c>
    </row>
    <row r="18" spans="1:13">
      <c r="A18" s="3">
        <f>Продукты!A18</f>
        <v>0</v>
      </c>
      <c r="B18" s="3">
        <f>Продукты!C18</f>
        <v>0</v>
      </c>
      <c r="C18" s="3">
        <f>Продукты!F18</f>
        <v>0</v>
      </c>
      <c r="D18" s="12">
        <f>SUMIF(Калькуляция!$E$6:$E$630,$A18,Калькуляция!$J$6:$J$630)</f>
        <v>0</v>
      </c>
      <c r="E18" s="12">
        <f>$D18*Ввод!$B$6</f>
        <v>0</v>
      </c>
      <c r="F18" s="12">
        <f t="shared" si="0"/>
        <v>0</v>
      </c>
      <c r="G18" s="12">
        <f>Продукты!D18</f>
        <v>0</v>
      </c>
      <c r="H18" s="12">
        <f>Продукты!E18</f>
        <v>0</v>
      </c>
      <c r="I18" s="13">
        <f t="shared" si="1"/>
        <v>0</v>
      </c>
      <c r="J18" s="12">
        <f>Продукты!K18</f>
        <v>0</v>
      </c>
      <c r="K18" s="12">
        <f t="shared" si="2"/>
        <v>0</v>
      </c>
      <c r="L18" s="3">
        <f>Продукты!L18</f>
        <v>0</v>
      </c>
      <c r="M18" s="3">
        <f>Продукты!M18</f>
        <v>0</v>
      </c>
    </row>
    <row r="19" spans="1:13">
      <c r="A19" s="3">
        <f>Продукты!A19</f>
        <v>0</v>
      </c>
      <c r="B19" s="3">
        <f>Продукты!C19</f>
        <v>0</v>
      </c>
      <c r="C19" s="3">
        <f>Продукты!F19</f>
        <v>0</v>
      </c>
      <c r="D19" s="12">
        <f>SUMIF(Калькуляция!$E$6:$E$630,$A19,Калькуляция!$J$6:$J$630)</f>
        <v>0</v>
      </c>
      <c r="E19" s="12">
        <f>$D19*Ввод!$B$6</f>
        <v>0</v>
      </c>
      <c r="F19" s="12">
        <f t="shared" si="0"/>
        <v>0</v>
      </c>
      <c r="G19" s="12">
        <f>Продукты!D19</f>
        <v>0</v>
      </c>
      <c r="H19" s="12">
        <f>Продукты!E19</f>
        <v>0</v>
      </c>
      <c r="I19" s="13">
        <f t="shared" si="1"/>
        <v>0</v>
      </c>
      <c r="J19" s="12">
        <f>Продукты!K19</f>
        <v>0</v>
      </c>
      <c r="K19" s="12">
        <f t="shared" si="2"/>
        <v>0</v>
      </c>
      <c r="L19" s="3">
        <f>Продукты!L19</f>
        <v>0</v>
      </c>
      <c r="M19" s="3">
        <f>Продукты!M19</f>
        <v>0</v>
      </c>
    </row>
    <row r="20" spans="1:13">
      <c r="A20" s="3">
        <f>Продукты!A20</f>
        <v>0</v>
      </c>
      <c r="B20" s="3">
        <f>Продукты!C20</f>
        <v>0</v>
      </c>
      <c r="C20" s="3">
        <f>Продукты!F20</f>
        <v>0</v>
      </c>
      <c r="D20" s="12">
        <f>SUMIF(Калькуляция!$E$6:$E$630,$A20,Калькуляция!$J$6:$J$630)</f>
        <v>0</v>
      </c>
      <c r="E20" s="12">
        <f>$D20*Ввод!$B$6</f>
        <v>0</v>
      </c>
      <c r="F20" s="12">
        <f t="shared" si="0"/>
        <v>0</v>
      </c>
      <c r="G20" s="12">
        <f>Продукты!D20</f>
        <v>0</v>
      </c>
      <c r="H20" s="12">
        <f>Продукты!E20</f>
        <v>0</v>
      </c>
      <c r="I20" s="13">
        <f t="shared" si="1"/>
        <v>0</v>
      </c>
      <c r="J20" s="12">
        <f>Продукты!K20</f>
        <v>0</v>
      </c>
      <c r="K20" s="12">
        <f t="shared" si="2"/>
        <v>0</v>
      </c>
      <c r="L20" s="3">
        <f>Продукты!L20</f>
        <v>0</v>
      </c>
      <c r="M20" s="3">
        <f>Продукты!M20</f>
        <v>0</v>
      </c>
    </row>
    <row r="21" spans="1:13">
      <c r="A21" s="3">
        <f>Продукты!A21</f>
        <v>0</v>
      </c>
      <c r="B21" s="3">
        <f>Продукты!C21</f>
        <v>0</v>
      </c>
      <c r="C21" s="3">
        <f>Продукты!F21</f>
        <v>0</v>
      </c>
      <c r="D21" s="12">
        <f>SUMIF(Калькуляция!$E$6:$E$630,$A21,Калькуляция!$J$6:$J$630)</f>
        <v>0</v>
      </c>
      <c r="E21" s="12">
        <f>$D21*Ввод!$B$6</f>
        <v>0</v>
      </c>
      <c r="F21" s="12">
        <f t="shared" si="0"/>
        <v>0</v>
      </c>
      <c r="G21" s="12">
        <f>Продукты!D21</f>
        <v>0</v>
      </c>
      <c r="H21" s="12">
        <f>Продукты!E21</f>
        <v>0</v>
      </c>
      <c r="I21" s="13">
        <f t="shared" si="1"/>
        <v>0</v>
      </c>
      <c r="J21" s="12">
        <f>Продукты!K21</f>
        <v>0</v>
      </c>
      <c r="K21" s="12">
        <f t="shared" si="2"/>
        <v>0</v>
      </c>
      <c r="L21" s="3">
        <f>Продукты!L21</f>
        <v>0</v>
      </c>
      <c r="M21" s="3">
        <f>Продукты!M21</f>
        <v>0</v>
      </c>
    </row>
    <row r="22" spans="1:13">
      <c r="A22" s="3">
        <f>Продукты!A22</f>
        <v>0</v>
      </c>
      <c r="B22" s="3">
        <f>Продукты!C22</f>
        <v>0</v>
      </c>
      <c r="C22" s="3">
        <f>Продукты!F22</f>
        <v>0</v>
      </c>
      <c r="D22" s="12">
        <f>SUMIF(Калькуляция!$E$6:$E$630,$A22,Калькуляция!$J$6:$J$630)</f>
        <v>0</v>
      </c>
      <c r="E22" s="12">
        <f>$D22*Ввод!$B$6</f>
        <v>0</v>
      </c>
      <c r="F22" s="12">
        <f t="shared" si="0"/>
        <v>0</v>
      </c>
      <c r="G22" s="12">
        <f>Продукты!D22</f>
        <v>0</v>
      </c>
      <c r="H22" s="12">
        <f>Продукты!E22</f>
        <v>0</v>
      </c>
      <c r="I22" s="13">
        <f t="shared" si="1"/>
        <v>0</v>
      </c>
      <c r="J22" s="12">
        <f>Продукты!K22</f>
        <v>0</v>
      </c>
      <c r="K22" s="12">
        <f t="shared" si="2"/>
        <v>0</v>
      </c>
      <c r="L22" s="3">
        <f>Продукты!L22</f>
        <v>0</v>
      </c>
      <c r="M22" s="3">
        <f>Продукты!M22</f>
        <v>0</v>
      </c>
    </row>
    <row r="23" spans="1:13">
      <c r="A23" s="3">
        <f>Продукты!A23</f>
        <v>0</v>
      </c>
      <c r="B23" s="3">
        <f>Продукты!C23</f>
        <v>0</v>
      </c>
      <c r="C23" s="3">
        <f>Продукты!F23</f>
        <v>0</v>
      </c>
      <c r="D23" s="12">
        <f>SUMIF(Калькуляция!$E$6:$E$630,$A23,Калькуляция!$J$6:$J$630)</f>
        <v>0</v>
      </c>
      <c r="E23" s="12">
        <f>$D23*Ввод!$B$6</f>
        <v>0</v>
      </c>
      <c r="F23" s="12">
        <f t="shared" si="0"/>
        <v>0</v>
      </c>
      <c r="G23" s="12">
        <f>Продукты!D23</f>
        <v>0</v>
      </c>
      <c r="H23" s="12">
        <f>Продукты!E23</f>
        <v>0</v>
      </c>
      <c r="I23" s="13">
        <f t="shared" si="1"/>
        <v>0</v>
      </c>
      <c r="J23" s="12">
        <f>Продукты!K23</f>
        <v>0</v>
      </c>
      <c r="K23" s="12">
        <f t="shared" si="2"/>
        <v>0</v>
      </c>
      <c r="L23" s="3">
        <f>Продукты!L23</f>
        <v>0</v>
      </c>
      <c r="M23" s="3">
        <f>Продукты!M23</f>
        <v>0</v>
      </c>
    </row>
    <row r="24" spans="1:13">
      <c r="A24" s="3">
        <f>Продукты!A24</f>
        <v>0</v>
      </c>
      <c r="B24" s="3">
        <f>Продукты!C24</f>
        <v>0</v>
      </c>
      <c r="C24" s="3">
        <f>Продукты!F24</f>
        <v>0</v>
      </c>
      <c r="D24" s="12">
        <f>SUMIF(Калькуляция!$E$6:$E$630,$A24,Калькуляция!$J$6:$J$630)</f>
        <v>0</v>
      </c>
      <c r="E24" s="12">
        <f>$D24*Ввод!$B$6</f>
        <v>0</v>
      </c>
      <c r="F24" s="12">
        <f t="shared" si="0"/>
        <v>0</v>
      </c>
      <c r="G24" s="12">
        <f>Продукты!D24</f>
        <v>0</v>
      </c>
      <c r="H24" s="12">
        <f>Продукты!E24</f>
        <v>0</v>
      </c>
      <c r="I24" s="13">
        <f t="shared" si="1"/>
        <v>0</v>
      </c>
      <c r="J24" s="12">
        <f>Продукты!K24</f>
        <v>0</v>
      </c>
      <c r="K24" s="12">
        <f t="shared" si="2"/>
        <v>0</v>
      </c>
      <c r="L24" s="3">
        <f>Продукты!L24</f>
        <v>0</v>
      </c>
      <c r="M24" s="3">
        <f>Продукты!M24</f>
        <v>0</v>
      </c>
    </row>
    <row r="25" spans="1:13">
      <c r="A25" s="3">
        <f>Продукты!A25</f>
        <v>0</v>
      </c>
      <c r="B25" s="3">
        <f>Продукты!C25</f>
        <v>0</v>
      </c>
      <c r="C25" s="3">
        <f>Продукты!F25</f>
        <v>0</v>
      </c>
      <c r="D25" s="12">
        <f>SUMIF(Калькуляция!$E$6:$E$630,$A25,Калькуляция!$J$6:$J$630)</f>
        <v>0</v>
      </c>
      <c r="E25" s="12">
        <f>$D25*Ввод!$B$6</f>
        <v>0</v>
      </c>
      <c r="F25" s="12">
        <f t="shared" si="0"/>
        <v>0</v>
      </c>
      <c r="G25" s="12">
        <f>Продукты!D25</f>
        <v>0</v>
      </c>
      <c r="H25" s="12">
        <f>Продукты!E25</f>
        <v>0</v>
      </c>
      <c r="I25" s="13">
        <f t="shared" si="1"/>
        <v>0</v>
      </c>
      <c r="J25" s="12">
        <f>Продукты!K25</f>
        <v>0</v>
      </c>
      <c r="K25" s="12">
        <f t="shared" si="2"/>
        <v>0</v>
      </c>
      <c r="L25" s="3">
        <f>Продукты!L25</f>
        <v>0</v>
      </c>
      <c r="M25" s="3">
        <f>Продукты!M25</f>
        <v>0</v>
      </c>
    </row>
    <row r="26" spans="1:13">
      <c r="A26" s="3">
        <f>Продукты!A26</f>
        <v>0</v>
      </c>
      <c r="B26" s="3">
        <f>Продукты!C26</f>
        <v>0</v>
      </c>
      <c r="C26" s="3">
        <f>Продукты!F26</f>
        <v>0</v>
      </c>
      <c r="D26" s="12">
        <f>SUMIF(Калькуляция!$E$6:$E$630,$A26,Калькуляция!$J$6:$J$630)</f>
        <v>0</v>
      </c>
      <c r="E26" s="12">
        <f>$D26*Ввод!$B$6</f>
        <v>0</v>
      </c>
      <c r="F26" s="12">
        <f t="shared" si="0"/>
        <v>0</v>
      </c>
      <c r="G26" s="12">
        <f>Продукты!D26</f>
        <v>0</v>
      </c>
      <c r="H26" s="12">
        <f>Продукты!E26</f>
        <v>0</v>
      </c>
      <c r="I26" s="13">
        <f t="shared" si="1"/>
        <v>0</v>
      </c>
      <c r="J26" s="12">
        <f>Продукты!K26</f>
        <v>0</v>
      </c>
      <c r="K26" s="12">
        <f t="shared" si="2"/>
        <v>0</v>
      </c>
      <c r="L26" s="3">
        <f>Продукты!L26</f>
        <v>0</v>
      </c>
      <c r="M26" s="3">
        <f>Продукты!M26</f>
        <v>0</v>
      </c>
    </row>
    <row r="27" spans="1:13">
      <c r="A27" s="3">
        <f>Продукты!A27</f>
        <v>0</v>
      </c>
      <c r="B27" s="3">
        <f>Продукты!C27</f>
        <v>0</v>
      </c>
      <c r="C27" s="3">
        <f>Продукты!F27</f>
        <v>0</v>
      </c>
      <c r="D27" s="12">
        <f>SUMIF(Калькуляция!$E$6:$E$630,$A27,Калькуляция!$J$6:$J$630)</f>
        <v>0</v>
      </c>
      <c r="E27" s="12">
        <f>$D27*Ввод!$B$6</f>
        <v>0</v>
      </c>
      <c r="F27" s="12">
        <f t="shared" si="0"/>
        <v>0</v>
      </c>
      <c r="G27" s="12">
        <f>Продукты!D27</f>
        <v>0</v>
      </c>
      <c r="H27" s="12">
        <f>Продукты!E27</f>
        <v>0</v>
      </c>
      <c r="I27" s="13">
        <f t="shared" si="1"/>
        <v>0</v>
      </c>
      <c r="J27" s="12">
        <f>Продукты!K27</f>
        <v>0</v>
      </c>
      <c r="K27" s="12">
        <f t="shared" si="2"/>
        <v>0</v>
      </c>
      <c r="L27" s="3">
        <f>Продукты!L27</f>
        <v>0</v>
      </c>
      <c r="M27" s="3">
        <f>Продукты!M27</f>
        <v>0</v>
      </c>
    </row>
    <row r="28" spans="1:13">
      <c r="A28" s="3">
        <f>Продукты!A28</f>
        <v>0</v>
      </c>
      <c r="B28" s="3">
        <f>Продукты!C28</f>
        <v>0</v>
      </c>
      <c r="C28" s="3">
        <f>Продукты!F28</f>
        <v>0</v>
      </c>
      <c r="D28" s="12">
        <f>SUMIF(Калькуляция!$E$6:$E$630,$A28,Калькуляция!$J$6:$J$630)</f>
        <v>0</v>
      </c>
      <c r="E28" s="12">
        <f>$D28*Ввод!$B$6</f>
        <v>0</v>
      </c>
      <c r="F28" s="12">
        <f t="shared" si="0"/>
        <v>0</v>
      </c>
      <c r="G28" s="12">
        <f>Продукты!D28</f>
        <v>0</v>
      </c>
      <c r="H28" s="12">
        <f>Продукты!E28</f>
        <v>0</v>
      </c>
      <c r="I28" s="13">
        <f t="shared" si="1"/>
        <v>0</v>
      </c>
      <c r="J28" s="12">
        <f>Продукты!K28</f>
        <v>0</v>
      </c>
      <c r="K28" s="12">
        <f t="shared" si="2"/>
        <v>0</v>
      </c>
      <c r="L28" s="3">
        <f>Продукты!L28</f>
        <v>0</v>
      </c>
      <c r="M28" s="3">
        <f>Продукты!M28</f>
        <v>0</v>
      </c>
    </row>
    <row r="29" spans="1:13">
      <c r="A29" s="3">
        <f>Продукты!A29</f>
        <v>0</v>
      </c>
      <c r="B29" s="3">
        <f>Продукты!C29</f>
        <v>0</v>
      </c>
      <c r="C29" s="3">
        <f>Продукты!F29</f>
        <v>0</v>
      </c>
      <c r="D29" s="12">
        <f>SUMIF(Калькуляция!$E$6:$E$630,$A29,Калькуляция!$J$6:$J$630)</f>
        <v>0</v>
      </c>
      <c r="E29" s="12">
        <f>$D29*Ввод!$B$6</f>
        <v>0</v>
      </c>
      <c r="F29" s="12">
        <f t="shared" si="0"/>
        <v>0</v>
      </c>
      <c r="G29" s="12">
        <f>Продукты!D29</f>
        <v>0</v>
      </c>
      <c r="H29" s="12">
        <f>Продукты!E29</f>
        <v>0</v>
      </c>
      <c r="I29" s="13">
        <f t="shared" si="1"/>
        <v>0</v>
      </c>
      <c r="J29" s="12">
        <f>Продукты!K29</f>
        <v>0</v>
      </c>
      <c r="K29" s="12">
        <f t="shared" si="2"/>
        <v>0</v>
      </c>
      <c r="L29" s="3">
        <f>Продукты!L29</f>
        <v>0</v>
      </c>
      <c r="M29" s="3">
        <f>Продукты!M29</f>
        <v>0</v>
      </c>
    </row>
    <row r="30" spans="1:13">
      <c r="A30" s="3">
        <f>Продукты!A30</f>
        <v>0</v>
      </c>
      <c r="B30" s="3">
        <f>Продукты!C30</f>
        <v>0</v>
      </c>
      <c r="C30" s="3">
        <f>Продукты!F30</f>
        <v>0</v>
      </c>
      <c r="D30" s="12">
        <f>SUMIF(Калькуляция!$E$6:$E$630,$A30,Калькуляция!$J$6:$J$630)</f>
        <v>0</v>
      </c>
      <c r="E30" s="12">
        <f>$D30*Ввод!$B$6</f>
        <v>0</v>
      </c>
      <c r="F30" s="12">
        <f t="shared" si="0"/>
        <v>0</v>
      </c>
      <c r="G30" s="12">
        <f>Продукты!D30</f>
        <v>0</v>
      </c>
      <c r="H30" s="12">
        <f>Продукты!E30</f>
        <v>0</v>
      </c>
      <c r="I30" s="13">
        <f t="shared" si="1"/>
        <v>0</v>
      </c>
      <c r="J30" s="12">
        <f>Продукты!K30</f>
        <v>0</v>
      </c>
      <c r="K30" s="12">
        <f t="shared" si="2"/>
        <v>0</v>
      </c>
      <c r="L30" s="3">
        <f>Продукты!L30</f>
        <v>0</v>
      </c>
      <c r="M30" s="3">
        <f>Продукты!M30</f>
        <v>0</v>
      </c>
    </row>
    <row r="31" spans="1:13">
      <c r="A31" s="3">
        <f>Продукты!A31</f>
        <v>0</v>
      </c>
      <c r="B31" s="3">
        <f>Продукты!C31</f>
        <v>0</v>
      </c>
      <c r="C31" s="3">
        <f>Продукты!F31</f>
        <v>0</v>
      </c>
      <c r="D31" s="12">
        <f>SUMIF(Калькуляция!$E$6:$E$630,$A31,Калькуляция!$J$6:$J$630)</f>
        <v>0</v>
      </c>
      <c r="E31" s="12">
        <f>$D31*Ввод!$B$6</f>
        <v>0</v>
      </c>
      <c r="F31" s="12">
        <f t="shared" si="0"/>
        <v>0</v>
      </c>
      <c r="G31" s="12">
        <f>Продукты!D31</f>
        <v>0</v>
      </c>
      <c r="H31" s="12">
        <f>Продукты!E31</f>
        <v>0</v>
      </c>
      <c r="I31" s="13">
        <f t="shared" si="1"/>
        <v>0</v>
      </c>
      <c r="J31" s="12">
        <f>Продукты!K31</f>
        <v>0</v>
      </c>
      <c r="K31" s="12">
        <f t="shared" si="2"/>
        <v>0</v>
      </c>
      <c r="L31" s="3">
        <f>Продукты!L31</f>
        <v>0</v>
      </c>
      <c r="M31" s="3">
        <f>Продукты!M31</f>
        <v>0</v>
      </c>
    </row>
    <row r="32" spans="1:13" s="27" customFormat="1" ht="12.75">
      <c r="A32" s="24">
        <f>Продукты!A32</f>
        <v>0</v>
      </c>
      <c r="B32" s="24">
        <f>Продукты!C32</f>
        <v>0</v>
      </c>
      <c r="C32" s="24">
        <f>Продукты!F32</f>
        <v>0</v>
      </c>
      <c r="D32" s="25">
        <f>SUMIF(Калькуляция!$E$6:$E$630,$A32,Калькуляция!$J$6:$J$630)</f>
        <v>0</v>
      </c>
      <c r="E32" s="25">
        <f>$D32*Ввод!$B$6</f>
        <v>0</v>
      </c>
      <c r="F32" s="25">
        <f t="shared" ref="F32:F66" si="3">IF($L32="Да",ROUNDUP(($D32+$E32)/$H32,0)*$H32,0)</f>
        <v>0</v>
      </c>
      <c r="G32" s="25">
        <f>Продукты!D32</f>
        <v>0</v>
      </c>
      <c r="H32" s="25">
        <f>Продукты!E32</f>
        <v>0</v>
      </c>
      <c r="I32" s="26">
        <f t="shared" ref="I32:I66" si="4">IFERROR(ROUNDUP(($D32+$E32)/$H32,0),0)</f>
        <v>0</v>
      </c>
      <c r="J32" s="25">
        <f>Продукты!K32</f>
        <v>0</v>
      </c>
      <c r="K32" s="25">
        <f t="shared" ref="K32:K66" si="5">$I32*$J32</f>
        <v>0</v>
      </c>
      <c r="L32" s="24">
        <f>Продукты!L32</f>
        <v>0</v>
      </c>
      <c r="M32" s="24">
        <f>Продукты!M32</f>
        <v>0</v>
      </c>
    </row>
    <row r="33" spans="1:13">
      <c r="A33" s="23">
        <f>Продукты!A33</f>
        <v>0</v>
      </c>
      <c r="B33" s="23">
        <f>Продукты!C33</f>
        <v>0</v>
      </c>
      <c r="C33" s="23">
        <f>Продукты!F33</f>
        <v>0</v>
      </c>
      <c r="D33" s="23">
        <f>SUMIF(Калькуляция!$E$6:$E$630,$A33,Калькуляция!$J$6:$J$630)</f>
        <v>0</v>
      </c>
      <c r="E33" s="23">
        <f>$D33*Ввод!$B$6</f>
        <v>0</v>
      </c>
      <c r="F33" s="23">
        <f t="shared" si="3"/>
        <v>0</v>
      </c>
      <c r="G33" s="23">
        <f>Продукты!D33</f>
        <v>0</v>
      </c>
      <c r="H33" s="23">
        <f>Продукты!E33</f>
        <v>0</v>
      </c>
      <c r="I33" s="23">
        <f t="shared" si="4"/>
        <v>0</v>
      </c>
      <c r="J33" s="23">
        <f>Продукты!K33</f>
        <v>0</v>
      </c>
      <c r="K33" s="23">
        <f t="shared" si="5"/>
        <v>0</v>
      </c>
      <c r="L33" s="23">
        <f>Продукты!L33</f>
        <v>0</v>
      </c>
      <c r="M33" s="23">
        <f>Продукты!M33</f>
        <v>0</v>
      </c>
    </row>
    <row r="34" spans="1:13">
      <c r="A34" s="23">
        <f>Продукты!A34</f>
        <v>0</v>
      </c>
      <c r="B34" s="23">
        <f>Продукты!C34</f>
        <v>0</v>
      </c>
      <c r="C34" s="23">
        <f>Продукты!F34</f>
        <v>0</v>
      </c>
      <c r="D34" s="23">
        <f>SUMIF(Калькуляция!$E$6:$E$630,$A34,Калькуляция!$J$6:$J$630)</f>
        <v>0</v>
      </c>
      <c r="E34" s="23">
        <f>$D34*Ввод!$B$6</f>
        <v>0</v>
      </c>
      <c r="F34" s="23">
        <f t="shared" si="3"/>
        <v>0</v>
      </c>
      <c r="G34" s="23">
        <f>Продукты!D34</f>
        <v>0</v>
      </c>
      <c r="H34" s="23">
        <f>Продукты!E34</f>
        <v>0</v>
      </c>
      <c r="I34" s="23">
        <f t="shared" si="4"/>
        <v>0</v>
      </c>
      <c r="J34" s="23">
        <f>Продукты!K34</f>
        <v>0</v>
      </c>
      <c r="K34" s="23">
        <f t="shared" si="5"/>
        <v>0</v>
      </c>
      <c r="L34" s="23">
        <f>Продукты!L34</f>
        <v>0</v>
      </c>
      <c r="M34" s="23">
        <f>Продукты!M34</f>
        <v>0</v>
      </c>
    </row>
    <row r="35" spans="1:13">
      <c r="A35" s="23">
        <f>Продукты!A35</f>
        <v>0</v>
      </c>
      <c r="B35" s="23">
        <f>Продукты!C35</f>
        <v>0</v>
      </c>
      <c r="C35" s="23">
        <f>Продукты!F35</f>
        <v>0</v>
      </c>
      <c r="D35" s="23">
        <f>SUMIF(Калькуляция!$E$6:$E$630,$A35,Калькуляция!$J$6:$J$630)</f>
        <v>0</v>
      </c>
      <c r="E35" s="23">
        <f>$D35*Ввод!$B$6</f>
        <v>0</v>
      </c>
      <c r="F35" s="23">
        <f t="shared" si="3"/>
        <v>0</v>
      </c>
      <c r="G35" s="23">
        <f>Продукты!D35</f>
        <v>0</v>
      </c>
      <c r="H35" s="23">
        <f>Продукты!E35</f>
        <v>0</v>
      </c>
      <c r="I35" s="23">
        <f t="shared" si="4"/>
        <v>0</v>
      </c>
      <c r="J35" s="23">
        <f>Продукты!K35</f>
        <v>0</v>
      </c>
      <c r="K35" s="23">
        <f t="shared" si="5"/>
        <v>0</v>
      </c>
      <c r="L35" s="23">
        <f>Продукты!L35</f>
        <v>0</v>
      </c>
      <c r="M35" s="23">
        <f>Продукты!M35</f>
        <v>0</v>
      </c>
    </row>
    <row r="36" spans="1:13">
      <c r="A36" s="23">
        <f>Продукты!A36</f>
        <v>0</v>
      </c>
      <c r="B36" s="23">
        <f>Продукты!C36</f>
        <v>0</v>
      </c>
      <c r="C36" s="23">
        <f>Продукты!F36</f>
        <v>0</v>
      </c>
      <c r="D36" s="23">
        <f>SUMIF(Калькуляция!$E$6:$E$630,$A36,Калькуляция!$J$6:$J$630)</f>
        <v>0</v>
      </c>
      <c r="E36" s="23">
        <f>$D36*Ввод!$B$6</f>
        <v>0</v>
      </c>
      <c r="F36" s="23">
        <f t="shared" si="3"/>
        <v>0</v>
      </c>
      <c r="G36" s="23">
        <f>Продукты!D36</f>
        <v>0</v>
      </c>
      <c r="H36" s="23">
        <f>Продукты!E36</f>
        <v>0</v>
      </c>
      <c r="I36" s="23">
        <f t="shared" si="4"/>
        <v>0</v>
      </c>
      <c r="J36" s="23">
        <f>Продукты!K36</f>
        <v>0</v>
      </c>
      <c r="K36" s="23">
        <f t="shared" si="5"/>
        <v>0</v>
      </c>
      <c r="L36" s="23">
        <f>Продукты!L36</f>
        <v>0</v>
      </c>
      <c r="M36" s="23">
        <f>Продукты!M36</f>
        <v>0</v>
      </c>
    </row>
    <row r="37" spans="1:13">
      <c r="A37" s="23">
        <f>Продукты!A37</f>
        <v>0</v>
      </c>
      <c r="B37" s="23">
        <f>Продукты!C37</f>
        <v>0</v>
      </c>
      <c r="C37" s="23">
        <f>Продукты!F37</f>
        <v>0</v>
      </c>
      <c r="D37" s="23">
        <f>SUMIF(Калькуляция!$E$6:$E$630,$A37,Калькуляция!$J$6:$J$630)</f>
        <v>0</v>
      </c>
      <c r="E37" s="23">
        <f>$D37*Ввод!$B$6</f>
        <v>0</v>
      </c>
      <c r="F37" s="23">
        <f t="shared" si="3"/>
        <v>0</v>
      </c>
      <c r="G37" s="23">
        <f>Продукты!D37</f>
        <v>0</v>
      </c>
      <c r="H37" s="23">
        <f>Продукты!E37</f>
        <v>0</v>
      </c>
      <c r="I37" s="23">
        <f t="shared" si="4"/>
        <v>0</v>
      </c>
      <c r="J37" s="23">
        <f>Продукты!K37</f>
        <v>0</v>
      </c>
      <c r="K37" s="23">
        <f t="shared" si="5"/>
        <v>0</v>
      </c>
      <c r="L37" s="23">
        <f>Продукты!L37</f>
        <v>0</v>
      </c>
      <c r="M37" s="23">
        <f>Продукты!M37</f>
        <v>0</v>
      </c>
    </row>
    <row r="38" spans="1:13">
      <c r="A38" s="23">
        <f>Продукты!A38</f>
        <v>0</v>
      </c>
      <c r="B38" s="23">
        <f>Продукты!C38</f>
        <v>0</v>
      </c>
      <c r="C38" s="23">
        <f>Продукты!F38</f>
        <v>0</v>
      </c>
      <c r="D38" s="23">
        <f>SUMIF(Калькуляция!$E$6:$E$630,$A38,Калькуляция!$J$6:$J$630)</f>
        <v>0</v>
      </c>
      <c r="E38" s="23">
        <f>$D38*Ввод!$B$6</f>
        <v>0</v>
      </c>
      <c r="F38" s="23">
        <f t="shared" si="3"/>
        <v>0</v>
      </c>
      <c r="G38" s="23">
        <f>Продукты!D38</f>
        <v>0</v>
      </c>
      <c r="H38" s="23">
        <f>Продукты!E38</f>
        <v>0</v>
      </c>
      <c r="I38" s="23">
        <f t="shared" si="4"/>
        <v>0</v>
      </c>
      <c r="J38" s="23">
        <f>Продукты!K38</f>
        <v>0</v>
      </c>
      <c r="K38" s="23">
        <f t="shared" si="5"/>
        <v>0</v>
      </c>
      <c r="L38" s="23">
        <f>Продукты!L38</f>
        <v>0</v>
      </c>
      <c r="M38" s="23">
        <f>Продукты!M38</f>
        <v>0</v>
      </c>
    </row>
    <row r="39" spans="1:13">
      <c r="A39" s="23">
        <f>Продукты!A39</f>
        <v>0</v>
      </c>
      <c r="B39" s="23">
        <f>Продукты!C39</f>
        <v>0</v>
      </c>
      <c r="C39" s="23">
        <f>Продукты!F39</f>
        <v>0</v>
      </c>
      <c r="D39" s="23">
        <f>SUMIF(Калькуляция!$E$6:$E$630,$A39,Калькуляция!$J$6:$J$630)</f>
        <v>0</v>
      </c>
      <c r="E39" s="23">
        <f>$D39*Ввод!$B$6</f>
        <v>0</v>
      </c>
      <c r="F39" s="23">
        <f t="shared" si="3"/>
        <v>0</v>
      </c>
      <c r="G39" s="23">
        <f>Продукты!D39</f>
        <v>0</v>
      </c>
      <c r="H39" s="23">
        <f>Продукты!E39</f>
        <v>0</v>
      </c>
      <c r="I39" s="23">
        <f t="shared" si="4"/>
        <v>0</v>
      </c>
      <c r="J39" s="23">
        <f>Продукты!K39</f>
        <v>0</v>
      </c>
      <c r="K39" s="23">
        <f t="shared" si="5"/>
        <v>0</v>
      </c>
      <c r="L39" s="23">
        <f>Продукты!L39</f>
        <v>0</v>
      </c>
      <c r="M39" s="23">
        <f>Продукты!M39</f>
        <v>0</v>
      </c>
    </row>
    <row r="40" spans="1:13">
      <c r="A40" s="23">
        <f>Продукты!A40</f>
        <v>0</v>
      </c>
      <c r="B40" s="23">
        <f>Продукты!C40</f>
        <v>0</v>
      </c>
      <c r="C40" s="23">
        <f>Продукты!F40</f>
        <v>0</v>
      </c>
      <c r="D40" s="23">
        <f>SUMIF(Калькуляция!$E$6:$E$630,$A40,Калькуляция!$J$6:$J$630)</f>
        <v>0</v>
      </c>
      <c r="E40" s="23">
        <f>$D40*Ввод!$B$6</f>
        <v>0</v>
      </c>
      <c r="F40" s="23">
        <f t="shared" si="3"/>
        <v>0</v>
      </c>
      <c r="G40" s="23">
        <f>Продукты!D40</f>
        <v>0</v>
      </c>
      <c r="H40" s="23">
        <f>Продукты!E40</f>
        <v>0</v>
      </c>
      <c r="I40" s="23">
        <f t="shared" si="4"/>
        <v>0</v>
      </c>
      <c r="J40" s="23">
        <f>Продукты!K40</f>
        <v>0</v>
      </c>
      <c r="K40" s="23">
        <f t="shared" si="5"/>
        <v>0</v>
      </c>
      <c r="L40" s="23">
        <f>Продукты!L40</f>
        <v>0</v>
      </c>
      <c r="M40" s="23">
        <f>Продукты!M40</f>
        <v>0</v>
      </c>
    </row>
    <row r="41" spans="1:13">
      <c r="A41" s="23">
        <f>Продукты!A41</f>
        <v>0</v>
      </c>
      <c r="B41" s="23">
        <f>Продукты!C41</f>
        <v>0</v>
      </c>
      <c r="C41" s="23">
        <f>Продукты!F41</f>
        <v>0</v>
      </c>
      <c r="D41" s="23">
        <f>SUMIF(Калькуляция!$E$6:$E$630,$A41,Калькуляция!$J$6:$J$630)</f>
        <v>0</v>
      </c>
      <c r="E41" s="23">
        <f>$D41*Ввод!$B$6</f>
        <v>0</v>
      </c>
      <c r="F41" s="23">
        <f t="shared" si="3"/>
        <v>0</v>
      </c>
      <c r="G41" s="23">
        <f>Продукты!D41</f>
        <v>0</v>
      </c>
      <c r="H41" s="23">
        <f>Продукты!E41</f>
        <v>0</v>
      </c>
      <c r="I41" s="23">
        <f t="shared" si="4"/>
        <v>0</v>
      </c>
      <c r="J41" s="23">
        <f>Продукты!K41</f>
        <v>0</v>
      </c>
      <c r="K41" s="23">
        <f t="shared" si="5"/>
        <v>0</v>
      </c>
      <c r="L41" s="23">
        <f>Продукты!L41</f>
        <v>0</v>
      </c>
      <c r="M41" s="23">
        <f>Продукты!M41</f>
        <v>0</v>
      </c>
    </row>
    <row r="42" spans="1:13">
      <c r="A42" s="23">
        <f>Продукты!A42</f>
        <v>0</v>
      </c>
      <c r="B42" s="23">
        <f>Продукты!C42</f>
        <v>0</v>
      </c>
      <c r="C42" s="23">
        <f>Продукты!F42</f>
        <v>0</v>
      </c>
      <c r="D42" s="23">
        <f>SUMIF(Калькуляция!$E$6:$E$630,$A42,Калькуляция!$J$6:$J$630)</f>
        <v>0</v>
      </c>
      <c r="E42" s="23">
        <f>$D42*Ввод!$B$6</f>
        <v>0</v>
      </c>
      <c r="F42" s="23">
        <f t="shared" si="3"/>
        <v>0</v>
      </c>
      <c r="G42" s="23">
        <f>Продукты!D42</f>
        <v>0</v>
      </c>
      <c r="H42" s="23">
        <f>Продукты!E42</f>
        <v>0</v>
      </c>
      <c r="I42" s="23">
        <f t="shared" si="4"/>
        <v>0</v>
      </c>
      <c r="J42" s="23">
        <f>Продукты!K42</f>
        <v>0</v>
      </c>
      <c r="K42" s="23">
        <f t="shared" si="5"/>
        <v>0</v>
      </c>
      <c r="L42" s="23">
        <f>Продукты!L42</f>
        <v>0</v>
      </c>
      <c r="M42" s="23">
        <f>Продукты!M42</f>
        <v>0</v>
      </c>
    </row>
    <row r="43" spans="1:13">
      <c r="A43" s="23">
        <f>Продукты!A43</f>
        <v>0</v>
      </c>
      <c r="B43" s="23">
        <f>Продукты!C43</f>
        <v>0</v>
      </c>
      <c r="C43" s="23">
        <f>Продукты!F43</f>
        <v>0</v>
      </c>
      <c r="D43" s="23">
        <f>SUMIF(Калькуляция!$E$6:$E$630,$A43,Калькуляция!$J$6:$J$630)</f>
        <v>0</v>
      </c>
      <c r="E43" s="23">
        <f>$D43*Ввод!$B$6</f>
        <v>0</v>
      </c>
      <c r="F43" s="23">
        <f t="shared" si="3"/>
        <v>0</v>
      </c>
      <c r="G43" s="23">
        <f>Продукты!D43</f>
        <v>0</v>
      </c>
      <c r="H43" s="23">
        <f>Продукты!E43</f>
        <v>0</v>
      </c>
      <c r="I43" s="23">
        <f t="shared" si="4"/>
        <v>0</v>
      </c>
      <c r="J43" s="23">
        <f>Продукты!K43</f>
        <v>0</v>
      </c>
      <c r="K43" s="23">
        <f t="shared" si="5"/>
        <v>0</v>
      </c>
      <c r="L43" s="23">
        <f>Продукты!L43</f>
        <v>0</v>
      </c>
      <c r="M43" s="23">
        <f>Продукты!M43</f>
        <v>0</v>
      </c>
    </row>
    <row r="44" spans="1:13">
      <c r="A44" s="23">
        <f>Продукты!A44</f>
        <v>0</v>
      </c>
      <c r="B44" s="23">
        <f>Продукты!C44</f>
        <v>0</v>
      </c>
      <c r="C44" s="23">
        <f>Продукты!F44</f>
        <v>0</v>
      </c>
      <c r="D44" s="23">
        <f>SUMIF(Калькуляция!$E$6:$E$630,$A44,Калькуляция!$J$6:$J$630)</f>
        <v>0</v>
      </c>
      <c r="E44" s="23">
        <f>$D44*Ввод!$B$6</f>
        <v>0</v>
      </c>
      <c r="F44" s="23">
        <f t="shared" si="3"/>
        <v>0</v>
      </c>
      <c r="G44" s="23">
        <f>Продукты!D44</f>
        <v>0</v>
      </c>
      <c r="H44" s="23">
        <f>Продукты!E44</f>
        <v>0</v>
      </c>
      <c r="I44" s="23">
        <f t="shared" si="4"/>
        <v>0</v>
      </c>
      <c r="J44" s="23">
        <f>Продукты!K44</f>
        <v>0</v>
      </c>
      <c r="K44" s="23">
        <f t="shared" si="5"/>
        <v>0</v>
      </c>
      <c r="L44" s="23">
        <f>Продукты!L44</f>
        <v>0</v>
      </c>
      <c r="M44" s="23">
        <f>Продукты!M44</f>
        <v>0</v>
      </c>
    </row>
    <row r="45" spans="1:13">
      <c r="A45" s="23">
        <f>Продукты!A45</f>
        <v>0</v>
      </c>
      <c r="B45" s="23">
        <f>Продукты!C45</f>
        <v>0</v>
      </c>
      <c r="C45" s="23">
        <f>Продукты!F45</f>
        <v>0</v>
      </c>
      <c r="D45" s="23">
        <f>SUMIF(Калькуляция!$E$6:$E$630,$A45,Калькуляция!$J$6:$J$630)</f>
        <v>0</v>
      </c>
      <c r="E45" s="23">
        <f>$D45*Ввод!$B$6</f>
        <v>0</v>
      </c>
      <c r="F45" s="23">
        <f t="shared" si="3"/>
        <v>0</v>
      </c>
      <c r="G45" s="23">
        <f>Продукты!D45</f>
        <v>0</v>
      </c>
      <c r="H45" s="23">
        <f>Продукты!E45</f>
        <v>0</v>
      </c>
      <c r="I45" s="23">
        <f t="shared" si="4"/>
        <v>0</v>
      </c>
      <c r="J45" s="23">
        <f>Продукты!K45</f>
        <v>0</v>
      </c>
      <c r="K45" s="23">
        <f t="shared" si="5"/>
        <v>0</v>
      </c>
      <c r="L45" s="23">
        <f>Продукты!L45</f>
        <v>0</v>
      </c>
      <c r="M45" s="23">
        <f>Продукты!M45</f>
        <v>0</v>
      </c>
    </row>
    <row r="46" spans="1:13">
      <c r="A46" s="23">
        <f>Продукты!A46</f>
        <v>0</v>
      </c>
      <c r="B46" s="23">
        <f>Продукты!C46</f>
        <v>0</v>
      </c>
      <c r="C46" s="23">
        <f>Продукты!F46</f>
        <v>0</v>
      </c>
      <c r="D46" s="23">
        <f>SUMIF(Калькуляция!$E$6:$E$630,$A46,Калькуляция!$J$6:$J$630)</f>
        <v>0</v>
      </c>
      <c r="E46" s="23">
        <f>$D46*Ввод!$B$6</f>
        <v>0</v>
      </c>
      <c r="F46" s="23">
        <f t="shared" si="3"/>
        <v>0</v>
      </c>
      <c r="G46" s="23">
        <f>Продукты!D46</f>
        <v>0</v>
      </c>
      <c r="H46" s="23">
        <f>Продукты!E46</f>
        <v>0</v>
      </c>
      <c r="I46" s="23">
        <f t="shared" si="4"/>
        <v>0</v>
      </c>
      <c r="J46" s="23">
        <f>Продукты!K46</f>
        <v>0</v>
      </c>
      <c r="K46" s="23">
        <f t="shared" si="5"/>
        <v>0</v>
      </c>
      <c r="L46" s="23">
        <f>Продукты!L46</f>
        <v>0</v>
      </c>
      <c r="M46" s="23">
        <f>Продукты!M46</f>
        <v>0</v>
      </c>
    </row>
    <row r="47" spans="1:13">
      <c r="A47" s="23">
        <f>Продукты!A47</f>
        <v>0</v>
      </c>
      <c r="B47" s="23">
        <f>Продукты!C47</f>
        <v>0</v>
      </c>
      <c r="C47" s="23">
        <f>Продукты!F47</f>
        <v>0</v>
      </c>
      <c r="D47" s="23">
        <f>SUMIF(Калькуляция!$E$6:$E$630,$A47,Калькуляция!$J$6:$J$630)</f>
        <v>0</v>
      </c>
      <c r="E47" s="23">
        <f>$D47*Ввод!$B$6</f>
        <v>0</v>
      </c>
      <c r="F47" s="23">
        <f t="shared" si="3"/>
        <v>0</v>
      </c>
      <c r="G47" s="23">
        <f>Продукты!D47</f>
        <v>0</v>
      </c>
      <c r="H47" s="23">
        <f>Продукты!E47</f>
        <v>0</v>
      </c>
      <c r="I47" s="23">
        <f t="shared" si="4"/>
        <v>0</v>
      </c>
      <c r="J47" s="23">
        <f>Продукты!K47</f>
        <v>0</v>
      </c>
      <c r="K47" s="23">
        <f t="shared" si="5"/>
        <v>0</v>
      </c>
      <c r="L47" s="23">
        <f>Продукты!L47</f>
        <v>0</v>
      </c>
      <c r="M47" s="23">
        <f>Продукты!M47</f>
        <v>0</v>
      </c>
    </row>
    <row r="48" spans="1:13">
      <c r="A48" s="23">
        <f>Продукты!A48</f>
        <v>0</v>
      </c>
      <c r="B48" s="23">
        <f>Продукты!C48</f>
        <v>0</v>
      </c>
      <c r="C48" s="23">
        <f>Продукты!F48</f>
        <v>0</v>
      </c>
      <c r="D48" s="23">
        <f>SUMIF(Калькуляция!$E$6:$E$630,$A48,Калькуляция!$J$6:$J$630)</f>
        <v>0</v>
      </c>
      <c r="E48" s="23">
        <f>$D48*Ввод!$B$6</f>
        <v>0</v>
      </c>
      <c r="F48" s="23">
        <f t="shared" si="3"/>
        <v>0</v>
      </c>
      <c r="G48" s="23">
        <f>Продукты!D48</f>
        <v>0</v>
      </c>
      <c r="H48" s="23">
        <f>Продукты!E48</f>
        <v>0</v>
      </c>
      <c r="I48" s="23">
        <f t="shared" si="4"/>
        <v>0</v>
      </c>
      <c r="J48" s="23">
        <f>Продукты!K48</f>
        <v>0</v>
      </c>
      <c r="K48" s="23">
        <f t="shared" si="5"/>
        <v>0</v>
      </c>
      <c r="L48" s="23">
        <f>Продукты!L48</f>
        <v>0</v>
      </c>
      <c r="M48" s="23">
        <f>Продукты!M48</f>
        <v>0</v>
      </c>
    </row>
    <row r="49" spans="1:13">
      <c r="A49" s="23">
        <f>Продукты!A49</f>
        <v>0</v>
      </c>
      <c r="B49" s="23">
        <f>Продукты!C49</f>
        <v>0</v>
      </c>
      <c r="C49" s="23">
        <f>Продукты!F49</f>
        <v>0</v>
      </c>
      <c r="D49" s="23">
        <f>SUMIF(Калькуляция!$E$6:$E$630,$A49,Калькуляция!$J$6:$J$630)</f>
        <v>0</v>
      </c>
      <c r="E49" s="23">
        <f>$D49*Ввод!$B$6</f>
        <v>0</v>
      </c>
      <c r="F49" s="23">
        <f t="shared" si="3"/>
        <v>0</v>
      </c>
      <c r="G49" s="23">
        <f>Продукты!D49</f>
        <v>0</v>
      </c>
      <c r="H49" s="23">
        <f>Продукты!E49</f>
        <v>0</v>
      </c>
      <c r="I49" s="23">
        <f t="shared" si="4"/>
        <v>0</v>
      </c>
      <c r="J49" s="23">
        <f>Продукты!K49</f>
        <v>0</v>
      </c>
      <c r="K49" s="23">
        <f t="shared" si="5"/>
        <v>0</v>
      </c>
      <c r="L49" s="23">
        <f>Продукты!L49</f>
        <v>0</v>
      </c>
      <c r="M49" s="23">
        <f>Продукты!M49</f>
        <v>0</v>
      </c>
    </row>
    <row r="50" spans="1:13">
      <c r="A50" s="23">
        <f>Продукты!A50</f>
        <v>0</v>
      </c>
      <c r="B50" s="23">
        <f>Продукты!C50</f>
        <v>0</v>
      </c>
      <c r="C50" s="23">
        <f>Продукты!F50</f>
        <v>0</v>
      </c>
      <c r="D50" s="23">
        <f>SUMIF(Калькуляция!$E$6:$E$630,$A50,Калькуляция!$J$6:$J$630)</f>
        <v>0</v>
      </c>
      <c r="E50" s="23">
        <f>$D50*Ввод!$B$6</f>
        <v>0</v>
      </c>
      <c r="F50" s="23">
        <f t="shared" si="3"/>
        <v>0</v>
      </c>
      <c r="G50" s="23">
        <f>Продукты!D50</f>
        <v>0</v>
      </c>
      <c r="H50" s="23">
        <f>Продукты!E50</f>
        <v>0</v>
      </c>
      <c r="I50" s="23">
        <f t="shared" si="4"/>
        <v>0</v>
      </c>
      <c r="J50" s="23">
        <f>Продукты!K50</f>
        <v>0</v>
      </c>
      <c r="K50" s="23">
        <f t="shared" si="5"/>
        <v>0</v>
      </c>
      <c r="L50" s="23">
        <f>Продукты!L50</f>
        <v>0</v>
      </c>
      <c r="M50" s="23">
        <f>Продукты!M50</f>
        <v>0</v>
      </c>
    </row>
    <row r="51" spans="1:13">
      <c r="A51" s="23">
        <f>Продукты!A51</f>
        <v>0</v>
      </c>
      <c r="B51" s="23">
        <f>Продукты!C51</f>
        <v>0</v>
      </c>
      <c r="C51" s="23">
        <f>Продукты!F51</f>
        <v>0</v>
      </c>
      <c r="D51" s="23">
        <f>SUMIF(Калькуляция!$E$6:$E$630,$A51,Калькуляция!$J$6:$J$630)</f>
        <v>0</v>
      </c>
      <c r="E51" s="23">
        <f>$D51*Ввод!$B$6</f>
        <v>0</v>
      </c>
      <c r="F51" s="23">
        <f t="shared" si="3"/>
        <v>0</v>
      </c>
      <c r="G51" s="23">
        <f>Продукты!D51</f>
        <v>0</v>
      </c>
      <c r="H51" s="23">
        <f>Продукты!E51</f>
        <v>0</v>
      </c>
      <c r="I51" s="23">
        <f t="shared" si="4"/>
        <v>0</v>
      </c>
      <c r="J51" s="23">
        <f>Продукты!K51</f>
        <v>0</v>
      </c>
      <c r="K51" s="23">
        <f t="shared" si="5"/>
        <v>0</v>
      </c>
      <c r="L51" s="23">
        <f>Продукты!L51</f>
        <v>0</v>
      </c>
      <c r="M51" s="23">
        <f>Продукты!M51</f>
        <v>0</v>
      </c>
    </row>
    <row r="52" spans="1:13">
      <c r="A52" s="23">
        <f>Продукты!A52</f>
        <v>0</v>
      </c>
      <c r="B52" s="23">
        <f>Продукты!C52</f>
        <v>0</v>
      </c>
      <c r="C52" s="23">
        <f>Продукты!F52</f>
        <v>0</v>
      </c>
      <c r="D52" s="23">
        <f>SUMIF(Калькуляция!$E$6:$E$630,$A52,Калькуляция!$J$6:$J$630)</f>
        <v>0</v>
      </c>
      <c r="E52" s="23">
        <f>$D52*Ввод!$B$6</f>
        <v>0</v>
      </c>
      <c r="F52" s="23">
        <f t="shared" si="3"/>
        <v>0</v>
      </c>
      <c r="G52" s="23">
        <f>Продукты!D52</f>
        <v>0</v>
      </c>
      <c r="H52" s="23">
        <f>Продукты!E52</f>
        <v>0</v>
      </c>
      <c r="I52" s="23">
        <f t="shared" si="4"/>
        <v>0</v>
      </c>
      <c r="J52" s="23">
        <f>Продукты!K52</f>
        <v>0</v>
      </c>
      <c r="K52" s="23">
        <f t="shared" si="5"/>
        <v>0</v>
      </c>
      <c r="L52" s="23">
        <f>Продукты!L52</f>
        <v>0</v>
      </c>
      <c r="M52" s="23">
        <f>Продукты!M52</f>
        <v>0</v>
      </c>
    </row>
    <row r="53" spans="1:13">
      <c r="A53" s="23">
        <f>Продукты!A53</f>
        <v>0</v>
      </c>
      <c r="B53" s="23">
        <f>Продукты!C53</f>
        <v>0</v>
      </c>
      <c r="C53" s="23">
        <f>Продукты!F53</f>
        <v>0</v>
      </c>
      <c r="D53" s="23">
        <f>SUMIF(Калькуляция!$E$6:$E$630,$A53,Калькуляция!$J$6:$J$630)</f>
        <v>0</v>
      </c>
      <c r="E53" s="23">
        <f>$D53*Ввод!$B$6</f>
        <v>0</v>
      </c>
      <c r="F53" s="23">
        <f t="shared" si="3"/>
        <v>0</v>
      </c>
      <c r="G53" s="23">
        <f>Продукты!D53</f>
        <v>0</v>
      </c>
      <c r="H53" s="23">
        <f>Продукты!E53</f>
        <v>0</v>
      </c>
      <c r="I53" s="23">
        <f t="shared" si="4"/>
        <v>0</v>
      </c>
      <c r="J53" s="23">
        <f>Продукты!K53</f>
        <v>0</v>
      </c>
      <c r="K53" s="23">
        <f t="shared" si="5"/>
        <v>0</v>
      </c>
      <c r="L53" s="23">
        <f>Продукты!L53</f>
        <v>0</v>
      </c>
      <c r="M53" s="23">
        <f>Продукты!M53</f>
        <v>0</v>
      </c>
    </row>
    <row r="54" spans="1:13">
      <c r="A54" s="23">
        <f>Продукты!A54</f>
        <v>0</v>
      </c>
      <c r="B54" s="23">
        <f>Продукты!C54</f>
        <v>0</v>
      </c>
      <c r="C54" s="23">
        <f>Продукты!F54</f>
        <v>0</v>
      </c>
      <c r="D54" s="23">
        <f>SUMIF(Калькуляция!$E$6:$E$630,$A54,Калькуляция!$J$6:$J$630)</f>
        <v>0</v>
      </c>
      <c r="E54" s="23">
        <f>$D54*Ввод!$B$6</f>
        <v>0</v>
      </c>
      <c r="F54" s="23">
        <f t="shared" si="3"/>
        <v>0</v>
      </c>
      <c r="G54" s="23">
        <f>Продукты!D54</f>
        <v>0</v>
      </c>
      <c r="H54" s="23">
        <f>Продукты!E54</f>
        <v>0</v>
      </c>
      <c r="I54" s="23">
        <f t="shared" si="4"/>
        <v>0</v>
      </c>
      <c r="J54" s="23">
        <f>Продукты!K54</f>
        <v>0</v>
      </c>
      <c r="K54" s="23">
        <f t="shared" si="5"/>
        <v>0</v>
      </c>
      <c r="L54" s="23">
        <f>Продукты!L54</f>
        <v>0</v>
      </c>
      <c r="M54" s="23">
        <f>Продукты!M54</f>
        <v>0</v>
      </c>
    </row>
    <row r="55" spans="1:13">
      <c r="A55" s="23">
        <f>Продукты!A55</f>
        <v>0</v>
      </c>
      <c r="B55" s="23">
        <f>Продукты!C55</f>
        <v>0</v>
      </c>
      <c r="C55" s="23">
        <f>Продукты!F55</f>
        <v>0</v>
      </c>
      <c r="D55" s="23">
        <f>SUMIF(Калькуляция!$E$6:$E$630,$A55,Калькуляция!$J$6:$J$630)</f>
        <v>0</v>
      </c>
      <c r="E55" s="23">
        <f>$D55*Ввод!$B$6</f>
        <v>0</v>
      </c>
      <c r="F55" s="23">
        <f t="shared" si="3"/>
        <v>0</v>
      </c>
      <c r="G55" s="23">
        <f>Продукты!D55</f>
        <v>0</v>
      </c>
      <c r="H55" s="23">
        <f>Продукты!E55</f>
        <v>0</v>
      </c>
      <c r="I55" s="23">
        <f t="shared" si="4"/>
        <v>0</v>
      </c>
      <c r="J55" s="23">
        <f>Продукты!K55</f>
        <v>0</v>
      </c>
      <c r="K55" s="23">
        <f t="shared" si="5"/>
        <v>0</v>
      </c>
      <c r="L55" s="23">
        <f>Продукты!L55</f>
        <v>0</v>
      </c>
      <c r="M55" s="23">
        <f>Продукты!M55</f>
        <v>0</v>
      </c>
    </row>
    <row r="56" spans="1:13">
      <c r="A56" s="23">
        <f>Продукты!A56</f>
        <v>0</v>
      </c>
      <c r="B56" s="23">
        <f>Продукты!C56</f>
        <v>0</v>
      </c>
      <c r="C56" s="23">
        <f>Продукты!F56</f>
        <v>0</v>
      </c>
      <c r="D56" s="23">
        <f>SUMIF(Калькуляция!$E$6:$E$630,$A56,Калькуляция!$J$6:$J$630)</f>
        <v>0</v>
      </c>
      <c r="E56" s="23">
        <f>$D56*Ввод!$B$6</f>
        <v>0</v>
      </c>
      <c r="F56" s="23">
        <f t="shared" si="3"/>
        <v>0</v>
      </c>
      <c r="G56" s="23">
        <f>Продукты!D56</f>
        <v>0</v>
      </c>
      <c r="H56" s="23">
        <f>Продукты!E56</f>
        <v>0</v>
      </c>
      <c r="I56" s="23">
        <f t="shared" si="4"/>
        <v>0</v>
      </c>
      <c r="J56" s="23">
        <f>Продукты!K56</f>
        <v>0</v>
      </c>
      <c r="K56" s="23">
        <f t="shared" si="5"/>
        <v>0</v>
      </c>
      <c r="L56" s="23">
        <f>Продукты!L56</f>
        <v>0</v>
      </c>
      <c r="M56" s="23">
        <f>Продукты!M56</f>
        <v>0</v>
      </c>
    </row>
    <row r="57" spans="1:13">
      <c r="A57" s="23">
        <f>Продукты!A57</f>
        <v>0</v>
      </c>
      <c r="B57" s="23">
        <f>Продукты!C57</f>
        <v>0</v>
      </c>
      <c r="C57" s="23">
        <f>Продукты!F57</f>
        <v>0</v>
      </c>
      <c r="D57" s="23">
        <f>SUMIF(Калькуляция!$E$6:$E$630,$A57,Калькуляция!$J$6:$J$630)</f>
        <v>0</v>
      </c>
      <c r="E57" s="23">
        <f>$D57*Ввод!$B$6</f>
        <v>0</v>
      </c>
      <c r="F57" s="23">
        <f t="shared" si="3"/>
        <v>0</v>
      </c>
      <c r="G57" s="23">
        <f>Продукты!D57</f>
        <v>0</v>
      </c>
      <c r="H57" s="23">
        <f>Продукты!E57</f>
        <v>0</v>
      </c>
      <c r="I57" s="23">
        <f t="shared" si="4"/>
        <v>0</v>
      </c>
      <c r="J57" s="23">
        <f>Продукты!K57</f>
        <v>0</v>
      </c>
      <c r="K57" s="23">
        <f t="shared" si="5"/>
        <v>0</v>
      </c>
      <c r="L57" s="23">
        <f>Продукты!L57</f>
        <v>0</v>
      </c>
      <c r="M57" s="23">
        <f>Продукты!M57</f>
        <v>0</v>
      </c>
    </row>
    <row r="58" spans="1:13">
      <c r="A58" s="23">
        <f>Продукты!A58</f>
        <v>0</v>
      </c>
      <c r="B58" s="23">
        <f>Продукты!C58</f>
        <v>0</v>
      </c>
      <c r="C58" s="23">
        <f>Продукты!F58</f>
        <v>0</v>
      </c>
      <c r="D58" s="23">
        <f>SUMIF(Калькуляция!$E$6:$E$630,$A58,Калькуляция!$J$6:$J$630)</f>
        <v>0</v>
      </c>
      <c r="E58" s="23">
        <f>$D58*Ввод!$B$6</f>
        <v>0</v>
      </c>
      <c r="F58" s="23">
        <f t="shared" si="3"/>
        <v>0</v>
      </c>
      <c r="G58" s="23">
        <f>Продукты!D58</f>
        <v>0</v>
      </c>
      <c r="H58" s="23">
        <f>Продукты!E58</f>
        <v>0</v>
      </c>
      <c r="I58" s="23">
        <f t="shared" si="4"/>
        <v>0</v>
      </c>
      <c r="J58" s="23">
        <f>Продукты!K58</f>
        <v>0</v>
      </c>
      <c r="K58" s="23">
        <f t="shared" si="5"/>
        <v>0</v>
      </c>
      <c r="L58" s="23">
        <f>Продукты!L58</f>
        <v>0</v>
      </c>
      <c r="M58" s="23">
        <f>Продукты!M58</f>
        <v>0</v>
      </c>
    </row>
    <row r="59" spans="1:13">
      <c r="A59" s="23">
        <f>Продукты!A59</f>
        <v>0</v>
      </c>
      <c r="B59" s="23">
        <f>Продукты!C59</f>
        <v>0</v>
      </c>
      <c r="C59" s="23">
        <f>Продукты!F59</f>
        <v>0</v>
      </c>
      <c r="D59" s="23">
        <f>SUMIF(Калькуляция!$E$6:$E$630,$A59,Калькуляция!$J$6:$J$630)</f>
        <v>0</v>
      </c>
      <c r="E59" s="23">
        <f>$D59*Ввод!$B$6</f>
        <v>0</v>
      </c>
      <c r="F59" s="23">
        <f t="shared" si="3"/>
        <v>0</v>
      </c>
      <c r="G59" s="23">
        <f>Продукты!D59</f>
        <v>0</v>
      </c>
      <c r="H59" s="23">
        <f>Продукты!E59</f>
        <v>0</v>
      </c>
      <c r="I59" s="23">
        <f t="shared" si="4"/>
        <v>0</v>
      </c>
      <c r="J59" s="23">
        <f>Продукты!K59</f>
        <v>0</v>
      </c>
      <c r="K59" s="23">
        <f t="shared" si="5"/>
        <v>0</v>
      </c>
      <c r="L59" s="23">
        <f>Продукты!L59</f>
        <v>0</v>
      </c>
      <c r="M59" s="23">
        <f>Продукты!M59</f>
        <v>0</v>
      </c>
    </row>
    <row r="60" spans="1:13">
      <c r="A60" s="23">
        <f>Продукты!A60</f>
        <v>0</v>
      </c>
      <c r="B60" s="23">
        <f>Продукты!C60</f>
        <v>0</v>
      </c>
      <c r="C60" s="23">
        <f>Продукты!F60</f>
        <v>0</v>
      </c>
      <c r="D60" s="23">
        <f>SUMIF(Калькуляция!$E$6:$E$630,$A60,Калькуляция!$J$6:$J$630)</f>
        <v>0</v>
      </c>
      <c r="E60" s="23">
        <f>$D60*Ввод!$B$6</f>
        <v>0</v>
      </c>
      <c r="F60" s="23">
        <f t="shared" si="3"/>
        <v>0</v>
      </c>
      <c r="G60" s="23">
        <f>Продукты!D60</f>
        <v>0</v>
      </c>
      <c r="H60" s="23">
        <f>Продукты!E60</f>
        <v>0</v>
      </c>
      <c r="I60" s="23">
        <f t="shared" si="4"/>
        <v>0</v>
      </c>
      <c r="J60" s="23">
        <f>Продукты!K60</f>
        <v>0</v>
      </c>
      <c r="K60" s="23">
        <f t="shared" si="5"/>
        <v>0</v>
      </c>
      <c r="L60" s="23">
        <f>Продукты!L60</f>
        <v>0</v>
      </c>
      <c r="M60" s="23">
        <f>Продукты!M60</f>
        <v>0</v>
      </c>
    </row>
    <row r="61" spans="1:13">
      <c r="A61" s="23">
        <f>Продукты!A61</f>
        <v>0</v>
      </c>
      <c r="B61" s="23">
        <f>Продукты!C61</f>
        <v>0</v>
      </c>
      <c r="C61" s="23">
        <f>Продукты!F61</f>
        <v>0</v>
      </c>
      <c r="D61" s="23">
        <f>SUMIF(Калькуляция!$E$6:$E$630,$A61,Калькуляция!$J$6:$J$630)</f>
        <v>0</v>
      </c>
      <c r="E61" s="23">
        <f>$D61*Ввод!$B$6</f>
        <v>0</v>
      </c>
      <c r="F61" s="23">
        <f t="shared" si="3"/>
        <v>0</v>
      </c>
      <c r="G61" s="23">
        <f>Продукты!D61</f>
        <v>0</v>
      </c>
      <c r="H61" s="23">
        <f>Продукты!E61</f>
        <v>0</v>
      </c>
      <c r="I61" s="23">
        <f t="shared" si="4"/>
        <v>0</v>
      </c>
      <c r="J61" s="23">
        <f>Продукты!K61</f>
        <v>0</v>
      </c>
      <c r="K61" s="23">
        <f t="shared" si="5"/>
        <v>0</v>
      </c>
      <c r="L61" s="23">
        <f>Продукты!L61</f>
        <v>0</v>
      </c>
      <c r="M61" s="23">
        <f>Продукты!M61</f>
        <v>0</v>
      </c>
    </row>
    <row r="62" spans="1:13">
      <c r="A62" s="23">
        <f>Продукты!A62</f>
        <v>0</v>
      </c>
      <c r="B62" s="23">
        <f>Продукты!C62</f>
        <v>0</v>
      </c>
      <c r="C62" s="23">
        <f>Продукты!F62</f>
        <v>0</v>
      </c>
      <c r="D62" s="23">
        <f>SUMIF(Калькуляция!$E$6:$E$630,$A62,Калькуляция!$J$6:$J$630)</f>
        <v>0</v>
      </c>
      <c r="E62" s="23">
        <f>$D62*Ввод!$B$6</f>
        <v>0</v>
      </c>
      <c r="F62" s="23">
        <f t="shared" si="3"/>
        <v>0</v>
      </c>
      <c r="G62" s="23">
        <f>Продукты!D62</f>
        <v>0</v>
      </c>
      <c r="H62" s="23">
        <f>Продукты!E62</f>
        <v>0</v>
      </c>
      <c r="I62" s="23">
        <f t="shared" si="4"/>
        <v>0</v>
      </c>
      <c r="J62" s="23">
        <f>Продукты!K62</f>
        <v>0</v>
      </c>
      <c r="K62" s="23">
        <f t="shared" si="5"/>
        <v>0</v>
      </c>
      <c r="L62" s="23">
        <f>Продукты!L62</f>
        <v>0</v>
      </c>
      <c r="M62" s="23">
        <f>Продукты!M62</f>
        <v>0</v>
      </c>
    </row>
    <row r="63" spans="1:13">
      <c r="A63" s="23">
        <f>Продукты!A63</f>
        <v>0</v>
      </c>
      <c r="B63" s="23">
        <f>Продукты!C63</f>
        <v>0</v>
      </c>
      <c r="C63" s="23">
        <f>Продукты!F63</f>
        <v>0</v>
      </c>
      <c r="D63" s="23">
        <f>SUMIF(Калькуляция!$E$6:$E$630,$A63,Калькуляция!$J$6:$J$630)</f>
        <v>0</v>
      </c>
      <c r="E63" s="23">
        <f>$D63*Ввод!$B$6</f>
        <v>0</v>
      </c>
      <c r="F63" s="23">
        <f t="shared" si="3"/>
        <v>0</v>
      </c>
      <c r="G63" s="23">
        <f>Продукты!D63</f>
        <v>0</v>
      </c>
      <c r="H63" s="23">
        <f>Продукты!E63</f>
        <v>0</v>
      </c>
      <c r="I63" s="23">
        <f t="shared" si="4"/>
        <v>0</v>
      </c>
      <c r="J63" s="23">
        <f>Продукты!K63</f>
        <v>0</v>
      </c>
      <c r="K63" s="23">
        <f t="shared" si="5"/>
        <v>0</v>
      </c>
      <c r="L63" s="23">
        <f>Продукты!L63</f>
        <v>0</v>
      </c>
      <c r="M63" s="23">
        <f>Продукты!M63</f>
        <v>0</v>
      </c>
    </row>
    <row r="64" spans="1:13">
      <c r="A64" s="23">
        <f>Продукты!A64</f>
        <v>0</v>
      </c>
      <c r="B64" s="23">
        <f>Продукты!C64</f>
        <v>0</v>
      </c>
      <c r="C64" s="23">
        <f>Продукты!F64</f>
        <v>0</v>
      </c>
      <c r="D64" s="23">
        <f>SUMIF(Калькуляция!$E$6:$E$630,$A64,Калькуляция!$J$6:$J$630)</f>
        <v>0</v>
      </c>
      <c r="E64" s="23">
        <f>$D64*Ввод!$B$6</f>
        <v>0</v>
      </c>
      <c r="F64" s="23">
        <f t="shared" si="3"/>
        <v>0</v>
      </c>
      <c r="G64" s="23">
        <f>Продукты!D64</f>
        <v>0</v>
      </c>
      <c r="H64" s="23">
        <f>Продукты!E64</f>
        <v>0</v>
      </c>
      <c r="I64" s="23">
        <f t="shared" si="4"/>
        <v>0</v>
      </c>
      <c r="J64" s="23">
        <f>Продукты!K64</f>
        <v>0</v>
      </c>
      <c r="K64" s="23">
        <f t="shared" si="5"/>
        <v>0</v>
      </c>
      <c r="L64" s="23">
        <f>Продукты!L64</f>
        <v>0</v>
      </c>
      <c r="M64" s="23">
        <f>Продукты!M64</f>
        <v>0</v>
      </c>
    </row>
    <row r="65" spans="1:13">
      <c r="A65" s="23">
        <f>Продукты!A65</f>
        <v>0</v>
      </c>
      <c r="B65" s="23">
        <f>Продукты!C65</f>
        <v>0</v>
      </c>
      <c r="C65" s="23">
        <f>Продукты!F65</f>
        <v>0</v>
      </c>
      <c r="D65" s="23">
        <f>SUMIF(Калькуляция!$E$6:$E$630,$A65,Калькуляция!$J$6:$J$630)</f>
        <v>0</v>
      </c>
      <c r="E65" s="23">
        <f>$D65*Ввод!$B$6</f>
        <v>0</v>
      </c>
      <c r="F65" s="23">
        <f t="shared" si="3"/>
        <v>0</v>
      </c>
      <c r="G65" s="23">
        <f>Продукты!D65</f>
        <v>0</v>
      </c>
      <c r="H65" s="23">
        <f>Продукты!E65</f>
        <v>0</v>
      </c>
      <c r="I65" s="23">
        <f t="shared" si="4"/>
        <v>0</v>
      </c>
      <c r="J65" s="23">
        <f>Продукты!K65</f>
        <v>0</v>
      </c>
      <c r="K65" s="23">
        <f t="shared" si="5"/>
        <v>0</v>
      </c>
      <c r="L65" s="23">
        <f>Продукты!L65</f>
        <v>0</v>
      </c>
      <c r="M65" s="23">
        <f>Продукты!M65</f>
        <v>0</v>
      </c>
    </row>
    <row r="66" spans="1:13">
      <c r="A66" s="23">
        <f>Продукты!A66</f>
        <v>0</v>
      </c>
      <c r="B66" s="23">
        <f>Продукты!C66</f>
        <v>0</v>
      </c>
      <c r="C66" s="23">
        <f>Продукты!F66</f>
        <v>0</v>
      </c>
      <c r="D66" s="23">
        <f>SUMIF(Калькуляция!$E$6:$E$630,$A66,Калькуляция!$J$6:$J$630)</f>
        <v>0</v>
      </c>
      <c r="E66" s="23">
        <f>$D66*Ввод!$B$6</f>
        <v>0</v>
      </c>
      <c r="F66" s="23">
        <f t="shared" si="3"/>
        <v>0</v>
      </c>
      <c r="G66" s="23">
        <f>Продукты!D66</f>
        <v>0</v>
      </c>
      <c r="H66" s="23">
        <f>Продукты!E66</f>
        <v>0</v>
      </c>
      <c r="I66" s="23">
        <f t="shared" si="4"/>
        <v>0</v>
      </c>
      <c r="J66" s="23">
        <f>Продукты!K66</f>
        <v>0</v>
      </c>
      <c r="K66" s="23">
        <f t="shared" si="5"/>
        <v>0</v>
      </c>
      <c r="L66" s="23">
        <f>Продукты!L66</f>
        <v>0</v>
      </c>
      <c r="M66" s="23">
        <f>Продукты!M66</f>
        <v>0</v>
      </c>
    </row>
    <row r="67" spans="1:13">
      <c r="A67" s="23" t="s">
        <v>203</v>
      </c>
      <c r="B67" s="23"/>
      <c r="C67" s="23"/>
      <c r="D67" s="23">
        <f>SUM(D6:D66)</f>
        <v>0</v>
      </c>
      <c r="E67" s="23">
        <f>SUM(E6:E66)</f>
        <v>0</v>
      </c>
      <c r="F67" s="23">
        <f>SUM(F6:F66)</f>
        <v>0</v>
      </c>
      <c r="G67" s="23"/>
      <c r="H67" s="23"/>
      <c r="I67" s="23">
        <f>SUM(I6:I66)</f>
        <v>0</v>
      </c>
      <c r="J67" s="23"/>
      <c r="K67" s="23">
        <f>SUM(K6:K66)</f>
        <v>0</v>
      </c>
      <c r="L67" s="23"/>
      <c r="M67" s="23"/>
    </row>
  </sheetData>
  <mergeCells count="2">
    <mergeCell ref="A1:M1"/>
    <mergeCell ref="A3:M3"/>
  </mergeCells>
  <conditionalFormatting sqref="F6:F31">
    <cfRule type="dataBar" priority="1">
      <dataBar>
        <cfvo type="min"/>
        <cfvo type="max"/>
        <color rgb="FF2C7A7B"/>
      </dataBar>
    </cfRule>
    <cfRule type="dataBar" priority="2">
      <dataBar>
        <cfvo type="min"/>
        <cfvo type="max"/>
        <color rgb="FF2C7A7B"/>
      </dataBar>
    </cfRule>
    <cfRule type="dataBar" priority="3">
      <dataBar>
        <cfvo type="min"/>
        <cfvo type="max"/>
        <color rgb="FF2C7A7B"/>
      </dataBar>
      <extLst>
        <ext xmlns:x14="http://schemas.microsoft.com/office/spreadsheetml/2009/9/main" uri="{B025F937-C7B1-47D3-B67F-A62EFF666E3E}">
          <x14:id>{AEDC2BDD-463A-5F8E-8B70-36DF9BBADA3C}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DC2BDD-463A-5F8E-8B70-36DF9BBADA3C}">
            <x14:dataBar>
              <x14:cfvo type="min"/>
              <x14:cfvo type="max"/>
              <x14:negativeFillColor auto="1"/>
              <x14:axisColor auto="1"/>
            </x14:dataBar>
          </x14:cfRule>
          <xm:sqref>F6:F31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showGridLines="0" tabSelected="1" workbookViewId="0">
      <pane ySplit="3" topLeftCell="A25" activePane="bottomLeft" state="frozen"/>
      <selection pane="bottomLeft" activeCell="B20" sqref="B20:C32"/>
    </sheetView>
  </sheetViews>
  <sheetFormatPr defaultRowHeight="14.25"/>
  <cols>
    <col min="1" max="1" width="37.875" customWidth="1"/>
    <col min="2" max="2" width="22" customWidth="1"/>
    <col min="3" max="3" width="12.375" customWidth="1"/>
    <col min="4" max="4" width="30" customWidth="1"/>
    <col min="5" max="5" width="18" customWidth="1"/>
    <col min="7" max="12" width="16" customWidth="1"/>
  </cols>
  <sheetData>
    <row r="1" spans="1:12" ht="30" customHeight="1">
      <c r="A1" s="28" t="s">
        <v>147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19" t="s">
        <v>148</v>
      </c>
      <c r="B3" s="19" t="s">
        <v>40</v>
      </c>
      <c r="C3" s="2"/>
      <c r="D3" s="1" t="s">
        <v>149</v>
      </c>
      <c r="E3" s="1" t="s">
        <v>150</v>
      </c>
      <c r="F3" s="2"/>
      <c r="G3" s="2"/>
      <c r="H3" s="2"/>
      <c r="I3" s="2"/>
      <c r="J3" s="2"/>
      <c r="K3" s="2"/>
      <c r="L3" s="2"/>
    </row>
    <row r="4" spans="1:12" ht="15">
      <c r="A4" s="4" t="s">
        <v>42</v>
      </c>
      <c r="B4" s="14"/>
      <c r="C4" s="2"/>
      <c r="D4" s="10" t="s">
        <v>151</v>
      </c>
      <c r="E4" s="16" t="str">
        <f>IF(COUNTIF(Меню!$C$6:$C$95,"?*")=COUNTIF(Меню!$D$6:$D$95,"?*"),"OK","Проверить")</f>
        <v>OK</v>
      </c>
      <c r="F4" s="2"/>
      <c r="G4" s="2"/>
      <c r="H4" s="2"/>
      <c r="I4" s="2"/>
      <c r="J4" s="2"/>
      <c r="K4" s="2"/>
      <c r="L4" s="2"/>
    </row>
    <row r="5" spans="1:12" ht="15">
      <c r="A5" s="4" t="s">
        <v>44</v>
      </c>
      <c r="B5" s="14"/>
      <c r="C5" s="2"/>
      <c r="D5" s="10" t="s">
        <v>152</v>
      </c>
      <c r="E5" s="16" t="str">
        <f>IF(COUNTIFS(Раскладка!$L$6:$L$66,"Да",Раскладка!$D$6:$D$66,"&gt;0")=COUNTIFS(Раскладка!$L$6:$L$66,"Да",Раскладка!$D$6:$D$66,"&gt;0",Раскладка!$J$6:$J$66,"&gt;0"),"OK","Проверить")</f>
        <v>OK</v>
      </c>
      <c r="F5" s="2"/>
      <c r="G5" s="2"/>
      <c r="H5" s="2"/>
      <c r="I5" s="2"/>
      <c r="J5" s="2"/>
      <c r="K5" s="2"/>
      <c r="L5" s="2"/>
    </row>
    <row r="6" spans="1:12" ht="15">
      <c r="A6" s="4" t="s">
        <v>153</v>
      </c>
      <c r="B6" s="15"/>
      <c r="C6" s="2"/>
      <c r="D6" s="10" t="s">
        <v>154</v>
      </c>
      <c r="E6" s="16" t="str">
        <f>IF(COUNTIFS(Раскладка!$L$6:$L$66,"Да",Раскладка!$D$6:$D$66,"&gt;0")=COUNTIFS(Раскладка!$L$6:$L$66,"Да",Раскладка!$D$6:$D$66,"&gt;0",Раскладка!$I$6:$I$66,"&gt;0"),"OK","Проверить")</f>
        <v>OK</v>
      </c>
      <c r="F6" s="2"/>
      <c r="G6" s="2"/>
      <c r="H6" s="2"/>
      <c r="I6" s="2"/>
      <c r="J6" s="2"/>
      <c r="K6" s="2"/>
      <c r="L6" s="2"/>
    </row>
    <row r="7" spans="1:12" ht="15">
      <c r="A7" s="4" t="s">
        <v>155</v>
      </c>
      <c r="B7" s="15"/>
      <c r="C7" s="2"/>
      <c r="D7" s="10" t="s">
        <v>156</v>
      </c>
      <c r="E7" s="16" t="str">
        <f>IF(B14&gt;0,"OK","Проверить")</f>
        <v>Проверить</v>
      </c>
      <c r="F7" s="2"/>
      <c r="G7" s="2"/>
      <c r="H7" s="2"/>
      <c r="I7" s="2"/>
      <c r="J7" s="2"/>
      <c r="K7" s="2"/>
      <c r="L7" s="2"/>
    </row>
    <row r="8" spans="1:12" ht="15">
      <c r="A8" s="4" t="s">
        <v>157</v>
      </c>
      <c r="B8" s="15"/>
      <c r="C8" s="2"/>
      <c r="D8" s="10" t="s">
        <v>158</v>
      </c>
      <c r="E8" s="17">
        <f>Ввод!B6</f>
        <v>0</v>
      </c>
      <c r="F8" s="2"/>
      <c r="G8" s="2"/>
      <c r="H8" s="2"/>
      <c r="I8" s="2"/>
      <c r="J8" s="2"/>
      <c r="K8" s="2"/>
      <c r="L8" s="2"/>
    </row>
    <row r="9" spans="1:12">
      <c r="A9" s="4" t="s">
        <v>159</v>
      </c>
      <c r="B9" s="15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>
      <c r="A10" s="4" t="s">
        <v>160</v>
      </c>
      <c r="B10" s="15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4" t="s">
        <v>161</v>
      </c>
      <c r="B11" s="15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>
      <c r="A12" s="4" t="s">
        <v>162</v>
      </c>
      <c r="B12" s="15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>
      <c r="A13" s="4" t="s">
        <v>163</v>
      </c>
      <c r="B13" s="15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>
      <c r="A14" s="4" t="s">
        <v>164</v>
      </c>
      <c r="B14" s="15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>
      <c r="A15" s="4" t="s">
        <v>165</v>
      </c>
      <c r="B15" s="14" t="str">
        <f>IF(AND(B7&gt;=B6*(1-Ввод!$B$6),B7&lt;=B6*(1+Ввод!$B$6)),"OK","Проверить")</f>
        <v>OK</v>
      </c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25.5">
      <c r="A19" s="1" t="s">
        <v>58</v>
      </c>
      <c r="B19" s="1" t="s">
        <v>166</v>
      </c>
      <c r="C19" s="1" t="s">
        <v>167</v>
      </c>
      <c r="D19" s="2"/>
      <c r="E19" s="2"/>
      <c r="F19" s="2"/>
      <c r="G19" s="2"/>
      <c r="H19" s="2"/>
      <c r="I19" s="2"/>
      <c r="J19" s="2"/>
      <c r="K19" s="2"/>
      <c r="L19" s="2"/>
    </row>
    <row r="20" spans="1:12">
      <c r="A20" s="2" t="s">
        <v>70</v>
      </c>
      <c r="B20" s="18"/>
      <c r="C20" s="18"/>
      <c r="D20" s="2"/>
      <c r="E20" s="2"/>
      <c r="F20" s="2"/>
      <c r="G20" s="2"/>
      <c r="H20" s="2"/>
      <c r="I20" s="2"/>
      <c r="J20" s="2"/>
      <c r="K20" s="2"/>
      <c r="L20" s="2"/>
    </row>
    <row r="21" spans="1:12">
      <c r="A21" s="2" t="s">
        <v>77</v>
      </c>
      <c r="B21" s="18"/>
      <c r="C21" s="18"/>
      <c r="D21" s="2"/>
      <c r="E21" s="2"/>
      <c r="F21" s="2"/>
      <c r="G21" s="2"/>
      <c r="H21" s="2"/>
      <c r="I21" s="2"/>
      <c r="J21" s="2"/>
      <c r="K21" s="2"/>
      <c r="L21" s="2"/>
    </row>
    <row r="22" spans="1:12">
      <c r="A22" s="2" t="s">
        <v>78</v>
      </c>
      <c r="B22" s="18"/>
      <c r="C22" s="18"/>
      <c r="D22" s="2"/>
      <c r="E22" s="2"/>
      <c r="F22" s="2"/>
      <c r="G22" s="2"/>
      <c r="H22" s="2"/>
      <c r="I22" s="2"/>
      <c r="J22" s="2"/>
      <c r="K22" s="2"/>
      <c r="L22" s="2"/>
    </row>
    <row r="23" spans="1:12">
      <c r="A23" s="2" t="s">
        <v>81</v>
      </c>
      <c r="B23" s="18"/>
      <c r="C23" s="18"/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A24" s="2" t="s">
        <v>83</v>
      </c>
      <c r="B24" s="18"/>
      <c r="C24" s="18"/>
      <c r="D24" s="2"/>
      <c r="E24" s="2"/>
      <c r="F24" s="2"/>
      <c r="G24" s="2"/>
      <c r="H24" s="2"/>
      <c r="I24" s="2"/>
      <c r="J24" s="2"/>
      <c r="K24" s="2"/>
      <c r="L24" s="2"/>
    </row>
    <row r="25" spans="1:12">
      <c r="A25" s="2" t="s">
        <v>84</v>
      </c>
      <c r="B25" s="18"/>
      <c r="C25" s="18"/>
      <c r="D25" s="2"/>
      <c r="E25" s="2"/>
      <c r="F25" s="2"/>
      <c r="G25" s="2"/>
      <c r="H25" s="2"/>
      <c r="I25" s="2"/>
      <c r="J25" s="2"/>
      <c r="K25" s="2"/>
      <c r="L25" s="2"/>
    </row>
    <row r="26" spans="1:12">
      <c r="A26" s="2" t="s">
        <v>85</v>
      </c>
      <c r="B26" s="18"/>
      <c r="C26" s="18"/>
      <c r="D26" s="2"/>
      <c r="E26" s="2"/>
      <c r="F26" s="2"/>
      <c r="G26" s="2"/>
      <c r="H26" s="2"/>
      <c r="I26" s="2"/>
      <c r="J26" s="2"/>
      <c r="K26" s="2"/>
      <c r="L26" s="2"/>
    </row>
    <row r="27" spans="1:12">
      <c r="A27" s="2" t="s">
        <v>87</v>
      </c>
      <c r="B27" s="18"/>
      <c r="C27" s="18"/>
      <c r="D27" s="2"/>
      <c r="E27" s="2"/>
      <c r="F27" s="2"/>
      <c r="G27" s="2"/>
      <c r="H27" s="2"/>
      <c r="I27" s="2"/>
      <c r="J27" s="2"/>
      <c r="K27" s="2"/>
      <c r="L27" s="2"/>
    </row>
    <row r="28" spans="1:12">
      <c r="A28" t="s">
        <v>169</v>
      </c>
    </row>
    <row r="29" spans="1:12">
      <c r="A29" t="s">
        <v>189</v>
      </c>
    </row>
    <row r="30" spans="1:12">
      <c r="A30" t="s">
        <v>180</v>
      </c>
    </row>
    <row r="31" spans="1:12">
      <c r="A31" t="s">
        <v>192</v>
      </c>
    </row>
    <row r="32" spans="1:12">
      <c r="A32" t="s">
        <v>90</v>
      </c>
    </row>
  </sheetData>
  <mergeCells count="1">
    <mergeCell ref="A1:L1"/>
  </mergeCells>
  <conditionalFormatting sqref="B15">
    <cfRule type="expression" dxfId="3" priority="1">
      <formula>B15="OK"</formula>
    </cfRule>
    <cfRule type="expression" dxfId="2" priority="2">
      <formula>B15="Проверить"</formula>
    </cfRule>
  </conditionalFormatting>
  <conditionalFormatting sqref="E4:E7">
    <cfRule type="expression" dxfId="1" priority="3">
      <formula>E4="OK"</formula>
    </cfRule>
    <cfRule type="expression" dxfId="0" priority="4">
      <formula>E4="Проверить"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Инструкция</vt:lpstr>
      <vt:lpstr>Ввод</vt:lpstr>
      <vt:lpstr>Продукты</vt:lpstr>
      <vt:lpstr>Рецепты</vt:lpstr>
      <vt:lpstr>Меню</vt:lpstr>
      <vt:lpstr>Калькуляция</vt:lpstr>
      <vt:lpstr>Раскладка</vt:lpstr>
      <vt:lpstr>Сводка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Хоменко Виктор [AKZ]</dc:creator>
  <cp:lastModifiedBy>Home</cp:lastModifiedBy>
  <dcterms:created xsi:type="dcterms:W3CDTF">2026-09-29T12:58:01Z</dcterms:created>
  <dcterms:modified xsi:type="dcterms:W3CDTF">2026-10-20T14:12:00Z</dcterms:modified>
</cp:coreProperties>
</file>